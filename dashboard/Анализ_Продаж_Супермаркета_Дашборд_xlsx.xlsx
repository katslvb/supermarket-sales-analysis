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itoseller4\Desktop\Аналитик\личное\дата для работы\Портфолио1\"/>
    </mc:Choice>
  </mc:AlternateContent>
  <bookViews>
    <workbookView xWindow="0" yWindow="0" windowWidth="19200" windowHeight="7050"/>
  </bookViews>
  <sheets>
    <sheet name="README" sheetId="11" r:id="rId1"/>
    <sheet name="Raw Data" sheetId="1" r:id="rId2"/>
    <sheet name="Cleaned Data" sheetId="3" r:id="rId3"/>
    <sheet name="Pivot Tables" sheetId="6" r:id="rId4"/>
    <sheet name="Dashboard" sheetId="12" r:id="rId5"/>
  </sheets>
  <calcPr calcId="162913" calcMode="manual"/>
  <pivotCaches>
    <pivotCache cacheId="0" r:id="rId6"/>
  </pivotCaches>
</workbook>
</file>

<file path=xl/calcChain.xml><?xml version="1.0" encoding="utf-8"?>
<calcChain xmlns="http://schemas.openxmlformats.org/spreadsheetml/2006/main">
  <c r="G2" i="3" l="1"/>
  <c r="Q1001" i="3" l="1"/>
  <c r="P1001" i="3"/>
  <c r="O1001" i="3"/>
  <c r="N1001" i="3"/>
  <c r="L1001" i="3"/>
  <c r="K1001" i="3"/>
  <c r="J1001" i="3"/>
  <c r="I1001" i="3"/>
  <c r="H1001" i="3"/>
  <c r="G1001" i="3"/>
  <c r="Q1000" i="3"/>
  <c r="P1000" i="3"/>
  <c r="O1000" i="3"/>
  <c r="N1000" i="3"/>
  <c r="L1000" i="3"/>
  <c r="K1000" i="3"/>
  <c r="J1000" i="3"/>
  <c r="I1000" i="3"/>
  <c r="H1000" i="3"/>
  <c r="G1000" i="3"/>
  <c r="Q999" i="3"/>
  <c r="P999" i="3"/>
  <c r="O999" i="3"/>
  <c r="N999" i="3"/>
  <c r="L999" i="3"/>
  <c r="K999" i="3"/>
  <c r="J999" i="3"/>
  <c r="I999" i="3"/>
  <c r="H999" i="3"/>
  <c r="G999" i="3"/>
  <c r="Q998" i="3"/>
  <c r="P998" i="3"/>
  <c r="O998" i="3"/>
  <c r="N998" i="3"/>
  <c r="L998" i="3"/>
  <c r="K998" i="3"/>
  <c r="J998" i="3"/>
  <c r="I998" i="3"/>
  <c r="H998" i="3"/>
  <c r="G998" i="3"/>
  <c r="Q997" i="3"/>
  <c r="P997" i="3"/>
  <c r="O997" i="3"/>
  <c r="N997" i="3"/>
  <c r="L997" i="3"/>
  <c r="K997" i="3"/>
  <c r="J997" i="3"/>
  <c r="I997" i="3"/>
  <c r="H997" i="3"/>
  <c r="G997" i="3"/>
  <c r="Q996" i="3"/>
  <c r="P996" i="3"/>
  <c r="O996" i="3"/>
  <c r="N996" i="3"/>
  <c r="L996" i="3"/>
  <c r="K996" i="3"/>
  <c r="J996" i="3"/>
  <c r="I996" i="3"/>
  <c r="H996" i="3"/>
  <c r="G996" i="3"/>
  <c r="Q995" i="3"/>
  <c r="P995" i="3"/>
  <c r="O995" i="3"/>
  <c r="N995" i="3"/>
  <c r="L995" i="3"/>
  <c r="K995" i="3"/>
  <c r="J995" i="3"/>
  <c r="I995" i="3"/>
  <c r="H995" i="3"/>
  <c r="G995" i="3"/>
  <c r="Q994" i="3"/>
  <c r="P994" i="3"/>
  <c r="O994" i="3"/>
  <c r="N994" i="3"/>
  <c r="L994" i="3"/>
  <c r="K994" i="3"/>
  <c r="J994" i="3"/>
  <c r="I994" i="3"/>
  <c r="H994" i="3"/>
  <c r="G994" i="3"/>
  <c r="Q993" i="3"/>
  <c r="P993" i="3"/>
  <c r="O993" i="3"/>
  <c r="N993" i="3"/>
  <c r="L993" i="3"/>
  <c r="K993" i="3"/>
  <c r="J993" i="3"/>
  <c r="I993" i="3"/>
  <c r="H993" i="3"/>
  <c r="G993" i="3"/>
  <c r="Q992" i="3"/>
  <c r="P992" i="3"/>
  <c r="O992" i="3"/>
  <c r="N992" i="3"/>
  <c r="L992" i="3"/>
  <c r="K992" i="3"/>
  <c r="J992" i="3"/>
  <c r="I992" i="3"/>
  <c r="H992" i="3"/>
  <c r="G992" i="3"/>
  <c r="Q991" i="3"/>
  <c r="P991" i="3"/>
  <c r="O991" i="3"/>
  <c r="N991" i="3"/>
  <c r="L991" i="3"/>
  <c r="K991" i="3"/>
  <c r="J991" i="3"/>
  <c r="I991" i="3"/>
  <c r="H991" i="3"/>
  <c r="G991" i="3"/>
  <c r="Q990" i="3"/>
  <c r="P990" i="3"/>
  <c r="O990" i="3"/>
  <c r="N990" i="3"/>
  <c r="L990" i="3"/>
  <c r="K990" i="3"/>
  <c r="J990" i="3"/>
  <c r="I990" i="3"/>
  <c r="H990" i="3"/>
  <c r="G990" i="3"/>
  <c r="Q989" i="3"/>
  <c r="P989" i="3"/>
  <c r="O989" i="3"/>
  <c r="N989" i="3"/>
  <c r="L989" i="3"/>
  <c r="K989" i="3"/>
  <c r="J989" i="3"/>
  <c r="I989" i="3"/>
  <c r="H989" i="3"/>
  <c r="G989" i="3"/>
  <c r="Q988" i="3"/>
  <c r="P988" i="3"/>
  <c r="O988" i="3"/>
  <c r="N988" i="3"/>
  <c r="L988" i="3"/>
  <c r="K988" i="3"/>
  <c r="J988" i="3"/>
  <c r="I988" i="3"/>
  <c r="H988" i="3"/>
  <c r="G988" i="3"/>
  <c r="Q987" i="3"/>
  <c r="P987" i="3"/>
  <c r="O987" i="3"/>
  <c r="N987" i="3"/>
  <c r="L987" i="3"/>
  <c r="K987" i="3"/>
  <c r="J987" i="3"/>
  <c r="I987" i="3"/>
  <c r="H987" i="3"/>
  <c r="G987" i="3"/>
  <c r="Q986" i="3"/>
  <c r="P986" i="3"/>
  <c r="O986" i="3"/>
  <c r="N986" i="3"/>
  <c r="L986" i="3"/>
  <c r="K986" i="3"/>
  <c r="J986" i="3"/>
  <c r="I986" i="3"/>
  <c r="H986" i="3"/>
  <c r="G986" i="3"/>
  <c r="Q985" i="3"/>
  <c r="P985" i="3"/>
  <c r="O985" i="3"/>
  <c r="N985" i="3"/>
  <c r="L985" i="3"/>
  <c r="K985" i="3"/>
  <c r="J985" i="3"/>
  <c r="I985" i="3"/>
  <c r="H985" i="3"/>
  <c r="G985" i="3"/>
  <c r="Q984" i="3"/>
  <c r="P984" i="3"/>
  <c r="O984" i="3"/>
  <c r="N984" i="3"/>
  <c r="L984" i="3"/>
  <c r="K984" i="3"/>
  <c r="J984" i="3"/>
  <c r="I984" i="3"/>
  <c r="H984" i="3"/>
  <c r="G984" i="3"/>
  <c r="Q983" i="3"/>
  <c r="P983" i="3"/>
  <c r="O983" i="3"/>
  <c r="N983" i="3"/>
  <c r="L983" i="3"/>
  <c r="K983" i="3"/>
  <c r="J983" i="3"/>
  <c r="I983" i="3"/>
  <c r="H983" i="3"/>
  <c r="G983" i="3"/>
  <c r="Q982" i="3"/>
  <c r="P982" i="3"/>
  <c r="O982" i="3"/>
  <c r="N982" i="3"/>
  <c r="L982" i="3"/>
  <c r="K982" i="3"/>
  <c r="J982" i="3"/>
  <c r="I982" i="3"/>
  <c r="H982" i="3"/>
  <c r="G982" i="3"/>
  <c r="Q981" i="3"/>
  <c r="P981" i="3"/>
  <c r="O981" i="3"/>
  <c r="N981" i="3"/>
  <c r="L981" i="3"/>
  <c r="K981" i="3"/>
  <c r="J981" i="3"/>
  <c r="I981" i="3"/>
  <c r="H981" i="3"/>
  <c r="G981" i="3"/>
  <c r="Q980" i="3"/>
  <c r="P980" i="3"/>
  <c r="O980" i="3"/>
  <c r="N980" i="3"/>
  <c r="L980" i="3"/>
  <c r="K980" i="3"/>
  <c r="J980" i="3"/>
  <c r="I980" i="3"/>
  <c r="H980" i="3"/>
  <c r="G980" i="3"/>
  <c r="Q979" i="3"/>
  <c r="P979" i="3"/>
  <c r="O979" i="3"/>
  <c r="N979" i="3"/>
  <c r="L979" i="3"/>
  <c r="K979" i="3"/>
  <c r="J979" i="3"/>
  <c r="I979" i="3"/>
  <c r="H979" i="3"/>
  <c r="G979" i="3"/>
  <c r="Q978" i="3"/>
  <c r="P978" i="3"/>
  <c r="O978" i="3"/>
  <c r="N978" i="3"/>
  <c r="L978" i="3"/>
  <c r="K978" i="3"/>
  <c r="J978" i="3"/>
  <c r="I978" i="3"/>
  <c r="H978" i="3"/>
  <c r="G978" i="3"/>
  <c r="Q977" i="3"/>
  <c r="P977" i="3"/>
  <c r="O977" i="3"/>
  <c r="N977" i="3"/>
  <c r="L977" i="3"/>
  <c r="K977" i="3"/>
  <c r="J977" i="3"/>
  <c r="I977" i="3"/>
  <c r="H977" i="3"/>
  <c r="G977" i="3"/>
  <c r="Q976" i="3"/>
  <c r="P976" i="3"/>
  <c r="O976" i="3"/>
  <c r="N976" i="3"/>
  <c r="L976" i="3"/>
  <c r="K976" i="3"/>
  <c r="J976" i="3"/>
  <c r="I976" i="3"/>
  <c r="H976" i="3"/>
  <c r="G976" i="3"/>
  <c r="Q975" i="3"/>
  <c r="P975" i="3"/>
  <c r="O975" i="3"/>
  <c r="N975" i="3"/>
  <c r="L975" i="3"/>
  <c r="K975" i="3"/>
  <c r="J975" i="3"/>
  <c r="I975" i="3"/>
  <c r="H975" i="3"/>
  <c r="G975" i="3"/>
  <c r="Q974" i="3"/>
  <c r="P974" i="3"/>
  <c r="O974" i="3"/>
  <c r="N974" i="3"/>
  <c r="L974" i="3"/>
  <c r="K974" i="3"/>
  <c r="J974" i="3"/>
  <c r="I974" i="3"/>
  <c r="H974" i="3"/>
  <c r="G974" i="3"/>
  <c r="Q973" i="3"/>
  <c r="P973" i="3"/>
  <c r="O973" i="3"/>
  <c r="N973" i="3"/>
  <c r="L973" i="3"/>
  <c r="K973" i="3"/>
  <c r="J973" i="3"/>
  <c r="I973" i="3"/>
  <c r="H973" i="3"/>
  <c r="G973" i="3"/>
  <c r="Q972" i="3"/>
  <c r="P972" i="3"/>
  <c r="O972" i="3"/>
  <c r="N972" i="3"/>
  <c r="L972" i="3"/>
  <c r="K972" i="3"/>
  <c r="J972" i="3"/>
  <c r="I972" i="3"/>
  <c r="H972" i="3"/>
  <c r="G972" i="3"/>
  <c r="Q971" i="3"/>
  <c r="P971" i="3"/>
  <c r="O971" i="3"/>
  <c r="N971" i="3"/>
  <c r="L971" i="3"/>
  <c r="K971" i="3"/>
  <c r="J971" i="3"/>
  <c r="I971" i="3"/>
  <c r="H971" i="3"/>
  <c r="G971" i="3"/>
  <c r="Q970" i="3"/>
  <c r="P970" i="3"/>
  <c r="O970" i="3"/>
  <c r="N970" i="3"/>
  <c r="L970" i="3"/>
  <c r="K970" i="3"/>
  <c r="J970" i="3"/>
  <c r="I970" i="3"/>
  <c r="H970" i="3"/>
  <c r="G970" i="3"/>
  <c r="Q969" i="3"/>
  <c r="P969" i="3"/>
  <c r="O969" i="3"/>
  <c r="N969" i="3"/>
  <c r="L969" i="3"/>
  <c r="K969" i="3"/>
  <c r="J969" i="3"/>
  <c r="I969" i="3"/>
  <c r="H969" i="3"/>
  <c r="G969" i="3"/>
  <c r="Q968" i="3"/>
  <c r="P968" i="3"/>
  <c r="O968" i="3"/>
  <c r="N968" i="3"/>
  <c r="L968" i="3"/>
  <c r="K968" i="3"/>
  <c r="J968" i="3"/>
  <c r="I968" i="3"/>
  <c r="H968" i="3"/>
  <c r="G968" i="3"/>
  <c r="Q967" i="3"/>
  <c r="P967" i="3"/>
  <c r="O967" i="3"/>
  <c r="N967" i="3"/>
  <c r="L967" i="3"/>
  <c r="K967" i="3"/>
  <c r="J967" i="3"/>
  <c r="I967" i="3"/>
  <c r="H967" i="3"/>
  <c r="G967" i="3"/>
  <c r="Q966" i="3"/>
  <c r="P966" i="3"/>
  <c r="O966" i="3"/>
  <c r="N966" i="3"/>
  <c r="L966" i="3"/>
  <c r="K966" i="3"/>
  <c r="J966" i="3"/>
  <c r="I966" i="3"/>
  <c r="H966" i="3"/>
  <c r="G966" i="3"/>
  <c r="Q965" i="3"/>
  <c r="P965" i="3"/>
  <c r="O965" i="3"/>
  <c r="N965" i="3"/>
  <c r="L965" i="3"/>
  <c r="K965" i="3"/>
  <c r="J965" i="3"/>
  <c r="I965" i="3"/>
  <c r="H965" i="3"/>
  <c r="G965" i="3"/>
  <c r="Q964" i="3"/>
  <c r="P964" i="3"/>
  <c r="O964" i="3"/>
  <c r="N964" i="3"/>
  <c r="L964" i="3"/>
  <c r="K964" i="3"/>
  <c r="J964" i="3"/>
  <c r="I964" i="3"/>
  <c r="H964" i="3"/>
  <c r="G964" i="3"/>
  <c r="Q963" i="3"/>
  <c r="P963" i="3"/>
  <c r="O963" i="3"/>
  <c r="N963" i="3"/>
  <c r="L963" i="3"/>
  <c r="K963" i="3"/>
  <c r="J963" i="3"/>
  <c r="I963" i="3"/>
  <c r="H963" i="3"/>
  <c r="G963" i="3"/>
  <c r="Q962" i="3"/>
  <c r="P962" i="3"/>
  <c r="O962" i="3"/>
  <c r="N962" i="3"/>
  <c r="L962" i="3"/>
  <c r="K962" i="3"/>
  <c r="J962" i="3"/>
  <c r="I962" i="3"/>
  <c r="H962" i="3"/>
  <c r="G962" i="3"/>
  <c r="Q961" i="3"/>
  <c r="P961" i="3"/>
  <c r="O961" i="3"/>
  <c r="N961" i="3"/>
  <c r="L961" i="3"/>
  <c r="K961" i="3"/>
  <c r="J961" i="3"/>
  <c r="I961" i="3"/>
  <c r="H961" i="3"/>
  <c r="G961" i="3"/>
  <c r="Q960" i="3"/>
  <c r="P960" i="3"/>
  <c r="O960" i="3"/>
  <c r="N960" i="3"/>
  <c r="L960" i="3"/>
  <c r="K960" i="3"/>
  <c r="J960" i="3"/>
  <c r="I960" i="3"/>
  <c r="H960" i="3"/>
  <c r="G960" i="3"/>
  <c r="Q959" i="3"/>
  <c r="P959" i="3"/>
  <c r="O959" i="3"/>
  <c r="N959" i="3"/>
  <c r="L959" i="3"/>
  <c r="K959" i="3"/>
  <c r="J959" i="3"/>
  <c r="I959" i="3"/>
  <c r="H959" i="3"/>
  <c r="G959" i="3"/>
  <c r="Q958" i="3"/>
  <c r="P958" i="3"/>
  <c r="O958" i="3"/>
  <c r="N958" i="3"/>
  <c r="L958" i="3"/>
  <c r="K958" i="3"/>
  <c r="J958" i="3"/>
  <c r="I958" i="3"/>
  <c r="H958" i="3"/>
  <c r="G958" i="3"/>
  <c r="Q957" i="3"/>
  <c r="P957" i="3"/>
  <c r="O957" i="3"/>
  <c r="N957" i="3"/>
  <c r="L957" i="3"/>
  <c r="K957" i="3"/>
  <c r="J957" i="3"/>
  <c r="I957" i="3"/>
  <c r="H957" i="3"/>
  <c r="G957" i="3"/>
  <c r="Q956" i="3"/>
  <c r="P956" i="3"/>
  <c r="O956" i="3"/>
  <c r="N956" i="3"/>
  <c r="L956" i="3"/>
  <c r="K956" i="3"/>
  <c r="J956" i="3"/>
  <c r="I956" i="3"/>
  <c r="H956" i="3"/>
  <c r="G956" i="3"/>
  <c r="Q955" i="3"/>
  <c r="P955" i="3"/>
  <c r="O955" i="3"/>
  <c r="N955" i="3"/>
  <c r="L955" i="3"/>
  <c r="K955" i="3"/>
  <c r="J955" i="3"/>
  <c r="I955" i="3"/>
  <c r="H955" i="3"/>
  <c r="G955" i="3"/>
  <c r="Q954" i="3"/>
  <c r="P954" i="3"/>
  <c r="O954" i="3"/>
  <c r="N954" i="3"/>
  <c r="L954" i="3"/>
  <c r="K954" i="3"/>
  <c r="J954" i="3"/>
  <c r="I954" i="3"/>
  <c r="H954" i="3"/>
  <c r="G954" i="3"/>
  <c r="Q953" i="3"/>
  <c r="P953" i="3"/>
  <c r="O953" i="3"/>
  <c r="N953" i="3"/>
  <c r="L953" i="3"/>
  <c r="K953" i="3"/>
  <c r="J953" i="3"/>
  <c r="I953" i="3"/>
  <c r="H953" i="3"/>
  <c r="G953" i="3"/>
  <c r="Q952" i="3"/>
  <c r="P952" i="3"/>
  <c r="O952" i="3"/>
  <c r="N952" i="3"/>
  <c r="L952" i="3"/>
  <c r="K952" i="3"/>
  <c r="J952" i="3"/>
  <c r="I952" i="3"/>
  <c r="H952" i="3"/>
  <c r="G952" i="3"/>
  <c r="Q951" i="3"/>
  <c r="P951" i="3"/>
  <c r="O951" i="3"/>
  <c r="N951" i="3"/>
  <c r="L951" i="3"/>
  <c r="K951" i="3"/>
  <c r="J951" i="3"/>
  <c r="I951" i="3"/>
  <c r="H951" i="3"/>
  <c r="G951" i="3"/>
  <c r="Q950" i="3"/>
  <c r="P950" i="3"/>
  <c r="O950" i="3"/>
  <c r="N950" i="3"/>
  <c r="L950" i="3"/>
  <c r="K950" i="3"/>
  <c r="J950" i="3"/>
  <c r="I950" i="3"/>
  <c r="H950" i="3"/>
  <c r="G950" i="3"/>
  <c r="Q949" i="3"/>
  <c r="P949" i="3"/>
  <c r="O949" i="3"/>
  <c r="N949" i="3"/>
  <c r="L949" i="3"/>
  <c r="K949" i="3"/>
  <c r="J949" i="3"/>
  <c r="I949" i="3"/>
  <c r="H949" i="3"/>
  <c r="G949" i="3"/>
  <c r="Q948" i="3"/>
  <c r="P948" i="3"/>
  <c r="O948" i="3"/>
  <c r="N948" i="3"/>
  <c r="L948" i="3"/>
  <c r="K948" i="3"/>
  <c r="J948" i="3"/>
  <c r="I948" i="3"/>
  <c r="H948" i="3"/>
  <c r="G948" i="3"/>
  <c r="Q947" i="3"/>
  <c r="P947" i="3"/>
  <c r="O947" i="3"/>
  <c r="N947" i="3"/>
  <c r="L947" i="3"/>
  <c r="K947" i="3"/>
  <c r="J947" i="3"/>
  <c r="I947" i="3"/>
  <c r="H947" i="3"/>
  <c r="G947" i="3"/>
  <c r="Q946" i="3"/>
  <c r="P946" i="3"/>
  <c r="O946" i="3"/>
  <c r="N946" i="3"/>
  <c r="L946" i="3"/>
  <c r="K946" i="3"/>
  <c r="J946" i="3"/>
  <c r="I946" i="3"/>
  <c r="H946" i="3"/>
  <c r="G946" i="3"/>
  <c r="Q945" i="3"/>
  <c r="P945" i="3"/>
  <c r="O945" i="3"/>
  <c r="N945" i="3"/>
  <c r="L945" i="3"/>
  <c r="K945" i="3"/>
  <c r="J945" i="3"/>
  <c r="I945" i="3"/>
  <c r="H945" i="3"/>
  <c r="G945" i="3"/>
  <c r="Q944" i="3"/>
  <c r="P944" i="3"/>
  <c r="O944" i="3"/>
  <c r="N944" i="3"/>
  <c r="L944" i="3"/>
  <c r="K944" i="3"/>
  <c r="J944" i="3"/>
  <c r="I944" i="3"/>
  <c r="H944" i="3"/>
  <c r="G944" i="3"/>
  <c r="Q943" i="3"/>
  <c r="P943" i="3"/>
  <c r="O943" i="3"/>
  <c r="N943" i="3"/>
  <c r="L943" i="3"/>
  <c r="K943" i="3"/>
  <c r="J943" i="3"/>
  <c r="I943" i="3"/>
  <c r="H943" i="3"/>
  <c r="G943" i="3"/>
  <c r="Q942" i="3"/>
  <c r="P942" i="3"/>
  <c r="O942" i="3"/>
  <c r="N942" i="3"/>
  <c r="L942" i="3"/>
  <c r="K942" i="3"/>
  <c r="J942" i="3"/>
  <c r="I942" i="3"/>
  <c r="H942" i="3"/>
  <c r="G942" i="3"/>
  <c r="Q941" i="3"/>
  <c r="P941" i="3"/>
  <c r="O941" i="3"/>
  <c r="N941" i="3"/>
  <c r="L941" i="3"/>
  <c r="K941" i="3"/>
  <c r="J941" i="3"/>
  <c r="I941" i="3"/>
  <c r="H941" i="3"/>
  <c r="G941" i="3"/>
  <c r="Q940" i="3"/>
  <c r="P940" i="3"/>
  <c r="O940" i="3"/>
  <c r="N940" i="3"/>
  <c r="L940" i="3"/>
  <c r="K940" i="3"/>
  <c r="J940" i="3"/>
  <c r="I940" i="3"/>
  <c r="H940" i="3"/>
  <c r="G940" i="3"/>
  <c r="Q939" i="3"/>
  <c r="P939" i="3"/>
  <c r="O939" i="3"/>
  <c r="N939" i="3"/>
  <c r="L939" i="3"/>
  <c r="K939" i="3"/>
  <c r="J939" i="3"/>
  <c r="I939" i="3"/>
  <c r="H939" i="3"/>
  <c r="G939" i="3"/>
  <c r="Q938" i="3"/>
  <c r="P938" i="3"/>
  <c r="O938" i="3"/>
  <c r="N938" i="3"/>
  <c r="L938" i="3"/>
  <c r="K938" i="3"/>
  <c r="J938" i="3"/>
  <c r="I938" i="3"/>
  <c r="H938" i="3"/>
  <c r="G938" i="3"/>
  <c r="Q937" i="3"/>
  <c r="P937" i="3"/>
  <c r="O937" i="3"/>
  <c r="N937" i="3"/>
  <c r="L937" i="3"/>
  <c r="K937" i="3"/>
  <c r="J937" i="3"/>
  <c r="I937" i="3"/>
  <c r="H937" i="3"/>
  <c r="G937" i="3"/>
  <c r="Q936" i="3"/>
  <c r="P936" i="3"/>
  <c r="O936" i="3"/>
  <c r="N936" i="3"/>
  <c r="L936" i="3"/>
  <c r="K936" i="3"/>
  <c r="J936" i="3"/>
  <c r="I936" i="3"/>
  <c r="H936" i="3"/>
  <c r="G936" i="3"/>
  <c r="Q935" i="3"/>
  <c r="P935" i="3"/>
  <c r="O935" i="3"/>
  <c r="N935" i="3"/>
  <c r="L935" i="3"/>
  <c r="K935" i="3"/>
  <c r="J935" i="3"/>
  <c r="I935" i="3"/>
  <c r="H935" i="3"/>
  <c r="G935" i="3"/>
  <c r="Q934" i="3"/>
  <c r="P934" i="3"/>
  <c r="O934" i="3"/>
  <c r="N934" i="3"/>
  <c r="L934" i="3"/>
  <c r="K934" i="3"/>
  <c r="J934" i="3"/>
  <c r="I934" i="3"/>
  <c r="H934" i="3"/>
  <c r="G934" i="3"/>
  <c r="Q933" i="3"/>
  <c r="P933" i="3"/>
  <c r="O933" i="3"/>
  <c r="N933" i="3"/>
  <c r="L933" i="3"/>
  <c r="K933" i="3"/>
  <c r="J933" i="3"/>
  <c r="I933" i="3"/>
  <c r="H933" i="3"/>
  <c r="G933" i="3"/>
  <c r="Q932" i="3"/>
  <c r="P932" i="3"/>
  <c r="O932" i="3"/>
  <c r="N932" i="3"/>
  <c r="L932" i="3"/>
  <c r="K932" i="3"/>
  <c r="J932" i="3"/>
  <c r="I932" i="3"/>
  <c r="H932" i="3"/>
  <c r="G932" i="3"/>
  <c r="Q931" i="3"/>
  <c r="P931" i="3"/>
  <c r="O931" i="3"/>
  <c r="N931" i="3"/>
  <c r="L931" i="3"/>
  <c r="K931" i="3"/>
  <c r="J931" i="3"/>
  <c r="I931" i="3"/>
  <c r="H931" i="3"/>
  <c r="G931" i="3"/>
  <c r="Q930" i="3"/>
  <c r="P930" i="3"/>
  <c r="O930" i="3"/>
  <c r="N930" i="3"/>
  <c r="L930" i="3"/>
  <c r="K930" i="3"/>
  <c r="J930" i="3"/>
  <c r="I930" i="3"/>
  <c r="H930" i="3"/>
  <c r="G930" i="3"/>
  <c r="Q929" i="3"/>
  <c r="P929" i="3"/>
  <c r="O929" i="3"/>
  <c r="N929" i="3"/>
  <c r="L929" i="3"/>
  <c r="K929" i="3"/>
  <c r="J929" i="3"/>
  <c r="I929" i="3"/>
  <c r="H929" i="3"/>
  <c r="G929" i="3"/>
  <c r="Q928" i="3"/>
  <c r="P928" i="3"/>
  <c r="O928" i="3"/>
  <c r="N928" i="3"/>
  <c r="L928" i="3"/>
  <c r="K928" i="3"/>
  <c r="J928" i="3"/>
  <c r="I928" i="3"/>
  <c r="H928" i="3"/>
  <c r="G928" i="3"/>
  <c r="Q927" i="3"/>
  <c r="P927" i="3"/>
  <c r="O927" i="3"/>
  <c r="N927" i="3"/>
  <c r="L927" i="3"/>
  <c r="K927" i="3"/>
  <c r="J927" i="3"/>
  <c r="I927" i="3"/>
  <c r="H927" i="3"/>
  <c r="G927" i="3"/>
  <c r="Q926" i="3"/>
  <c r="P926" i="3"/>
  <c r="O926" i="3"/>
  <c r="N926" i="3"/>
  <c r="L926" i="3"/>
  <c r="K926" i="3"/>
  <c r="J926" i="3"/>
  <c r="I926" i="3"/>
  <c r="H926" i="3"/>
  <c r="G926" i="3"/>
  <c r="Q925" i="3"/>
  <c r="P925" i="3"/>
  <c r="O925" i="3"/>
  <c r="N925" i="3"/>
  <c r="L925" i="3"/>
  <c r="K925" i="3"/>
  <c r="J925" i="3"/>
  <c r="I925" i="3"/>
  <c r="H925" i="3"/>
  <c r="G925" i="3"/>
  <c r="Q924" i="3"/>
  <c r="P924" i="3"/>
  <c r="O924" i="3"/>
  <c r="N924" i="3"/>
  <c r="L924" i="3"/>
  <c r="K924" i="3"/>
  <c r="J924" i="3"/>
  <c r="I924" i="3"/>
  <c r="H924" i="3"/>
  <c r="G924" i="3"/>
  <c r="Q923" i="3"/>
  <c r="P923" i="3"/>
  <c r="O923" i="3"/>
  <c r="N923" i="3"/>
  <c r="L923" i="3"/>
  <c r="K923" i="3"/>
  <c r="J923" i="3"/>
  <c r="I923" i="3"/>
  <c r="H923" i="3"/>
  <c r="G923" i="3"/>
  <c r="Q922" i="3"/>
  <c r="P922" i="3"/>
  <c r="O922" i="3"/>
  <c r="N922" i="3"/>
  <c r="L922" i="3"/>
  <c r="K922" i="3"/>
  <c r="J922" i="3"/>
  <c r="I922" i="3"/>
  <c r="H922" i="3"/>
  <c r="G922" i="3"/>
  <c r="Q921" i="3"/>
  <c r="P921" i="3"/>
  <c r="O921" i="3"/>
  <c r="N921" i="3"/>
  <c r="L921" i="3"/>
  <c r="K921" i="3"/>
  <c r="J921" i="3"/>
  <c r="I921" i="3"/>
  <c r="H921" i="3"/>
  <c r="G921" i="3"/>
  <c r="Q920" i="3"/>
  <c r="P920" i="3"/>
  <c r="O920" i="3"/>
  <c r="N920" i="3"/>
  <c r="L920" i="3"/>
  <c r="K920" i="3"/>
  <c r="J920" i="3"/>
  <c r="I920" i="3"/>
  <c r="H920" i="3"/>
  <c r="G920" i="3"/>
  <c r="Q919" i="3"/>
  <c r="P919" i="3"/>
  <c r="O919" i="3"/>
  <c r="N919" i="3"/>
  <c r="L919" i="3"/>
  <c r="K919" i="3"/>
  <c r="J919" i="3"/>
  <c r="I919" i="3"/>
  <c r="H919" i="3"/>
  <c r="G919" i="3"/>
  <c r="Q918" i="3"/>
  <c r="P918" i="3"/>
  <c r="O918" i="3"/>
  <c r="N918" i="3"/>
  <c r="L918" i="3"/>
  <c r="K918" i="3"/>
  <c r="J918" i="3"/>
  <c r="I918" i="3"/>
  <c r="H918" i="3"/>
  <c r="G918" i="3"/>
  <c r="Q917" i="3"/>
  <c r="P917" i="3"/>
  <c r="O917" i="3"/>
  <c r="N917" i="3"/>
  <c r="L917" i="3"/>
  <c r="K917" i="3"/>
  <c r="J917" i="3"/>
  <c r="I917" i="3"/>
  <c r="H917" i="3"/>
  <c r="G917" i="3"/>
  <c r="Q916" i="3"/>
  <c r="P916" i="3"/>
  <c r="O916" i="3"/>
  <c r="N916" i="3"/>
  <c r="L916" i="3"/>
  <c r="K916" i="3"/>
  <c r="J916" i="3"/>
  <c r="I916" i="3"/>
  <c r="H916" i="3"/>
  <c r="G916" i="3"/>
  <c r="Q915" i="3"/>
  <c r="P915" i="3"/>
  <c r="O915" i="3"/>
  <c r="N915" i="3"/>
  <c r="L915" i="3"/>
  <c r="K915" i="3"/>
  <c r="J915" i="3"/>
  <c r="I915" i="3"/>
  <c r="H915" i="3"/>
  <c r="G915" i="3"/>
  <c r="Q914" i="3"/>
  <c r="P914" i="3"/>
  <c r="O914" i="3"/>
  <c r="N914" i="3"/>
  <c r="L914" i="3"/>
  <c r="K914" i="3"/>
  <c r="J914" i="3"/>
  <c r="I914" i="3"/>
  <c r="H914" i="3"/>
  <c r="G914" i="3"/>
  <c r="Q913" i="3"/>
  <c r="P913" i="3"/>
  <c r="O913" i="3"/>
  <c r="N913" i="3"/>
  <c r="L913" i="3"/>
  <c r="K913" i="3"/>
  <c r="J913" i="3"/>
  <c r="I913" i="3"/>
  <c r="H913" i="3"/>
  <c r="G913" i="3"/>
  <c r="Q912" i="3"/>
  <c r="P912" i="3"/>
  <c r="O912" i="3"/>
  <c r="N912" i="3"/>
  <c r="L912" i="3"/>
  <c r="K912" i="3"/>
  <c r="J912" i="3"/>
  <c r="I912" i="3"/>
  <c r="H912" i="3"/>
  <c r="G912" i="3"/>
  <c r="Q911" i="3"/>
  <c r="P911" i="3"/>
  <c r="O911" i="3"/>
  <c r="N911" i="3"/>
  <c r="L911" i="3"/>
  <c r="K911" i="3"/>
  <c r="J911" i="3"/>
  <c r="I911" i="3"/>
  <c r="H911" i="3"/>
  <c r="G911" i="3"/>
  <c r="Q910" i="3"/>
  <c r="P910" i="3"/>
  <c r="O910" i="3"/>
  <c r="N910" i="3"/>
  <c r="L910" i="3"/>
  <c r="K910" i="3"/>
  <c r="J910" i="3"/>
  <c r="I910" i="3"/>
  <c r="H910" i="3"/>
  <c r="G910" i="3"/>
  <c r="Q909" i="3"/>
  <c r="P909" i="3"/>
  <c r="O909" i="3"/>
  <c r="N909" i="3"/>
  <c r="L909" i="3"/>
  <c r="K909" i="3"/>
  <c r="J909" i="3"/>
  <c r="I909" i="3"/>
  <c r="H909" i="3"/>
  <c r="G909" i="3"/>
  <c r="Q908" i="3"/>
  <c r="P908" i="3"/>
  <c r="O908" i="3"/>
  <c r="N908" i="3"/>
  <c r="L908" i="3"/>
  <c r="K908" i="3"/>
  <c r="J908" i="3"/>
  <c r="I908" i="3"/>
  <c r="H908" i="3"/>
  <c r="G908" i="3"/>
  <c r="Q907" i="3"/>
  <c r="P907" i="3"/>
  <c r="O907" i="3"/>
  <c r="N907" i="3"/>
  <c r="L907" i="3"/>
  <c r="K907" i="3"/>
  <c r="J907" i="3"/>
  <c r="I907" i="3"/>
  <c r="H907" i="3"/>
  <c r="G907" i="3"/>
  <c r="Q906" i="3"/>
  <c r="P906" i="3"/>
  <c r="O906" i="3"/>
  <c r="N906" i="3"/>
  <c r="L906" i="3"/>
  <c r="K906" i="3"/>
  <c r="J906" i="3"/>
  <c r="I906" i="3"/>
  <c r="H906" i="3"/>
  <c r="G906" i="3"/>
  <c r="Q905" i="3"/>
  <c r="P905" i="3"/>
  <c r="O905" i="3"/>
  <c r="N905" i="3"/>
  <c r="L905" i="3"/>
  <c r="K905" i="3"/>
  <c r="J905" i="3"/>
  <c r="I905" i="3"/>
  <c r="H905" i="3"/>
  <c r="G905" i="3"/>
  <c r="Q904" i="3"/>
  <c r="P904" i="3"/>
  <c r="O904" i="3"/>
  <c r="N904" i="3"/>
  <c r="L904" i="3"/>
  <c r="K904" i="3"/>
  <c r="J904" i="3"/>
  <c r="I904" i="3"/>
  <c r="H904" i="3"/>
  <c r="G904" i="3"/>
  <c r="Q903" i="3"/>
  <c r="P903" i="3"/>
  <c r="O903" i="3"/>
  <c r="N903" i="3"/>
  <c r="L903" i="3"/>
  <c r="K903" i="3"/>
  <c r="J903" i="3"/>
  <c r="I903" i="3"/>
  <c r="H903" i="3"/>
  <c r="G903" i="3"/>
  <c r="Q902" i="3"/>
  <c r="P902" i="3"/>
  <c r="O902" i="3"/>
  <c r="N902" i="3"/>
  <c r="L902" i="3"/>
  <c r="K902" i="3"/>
  <c r="J902" i="3"/>
  <c r="I902" i="3"/>
  <c r="H902" i="3"/>
  <c r="G902" i="3"/>
  <c r="Q901" i="3"/>
  <c r="P901" i="3"/>
  <c r="O901" i="3"/>
  <c r="N901" i="3"/>
  <c r="L901" i="3"/>
  <c r="K901" i="3"/>
  <c r="J901" i="3"/>
  <c r="I901" i="3"/>
  <c r="H901" i="3"/>
  <c r="G901" i="3"/>
  <c r="Q900" i="3"/>
  <c r="P900" i="3"/>
  <c r="O900" i="3"/>
  <c r="N900" i="3"/>
  <c r="L900" i="3"/>
  <c r="K900" i="3"/>
  <c r="J900" i="3"/>
  <c r="I900" i="3"/>
  <c r="H900" i="3"/>
  <c r="G900" i="3"/>
  <c r="Q899" i="3"/>
  <c r="P899" i="3"/>
  <c r="O899" i="3"/>
  <c r="N899" i="3"/>
  <c r="L899" i="3"/>
  <c r="K899" i="3"/>
  <c r="J899" i="3"/>
  <c r="I899" i="3"/>
  <c r="H899" i="3"/>
  <c r="G899" i="3"/>
  <c r="Q898" i="3"/>
  <c r="P898" i="3"/>
  <c r="O898" i="3"/>
  <c r="N898" i="3"/>
  <c r="L898" i="3"/>
  <c r="K898" i="3"/>
  <c r="J898" i="3"/>
  <c r="I898" i="3"/>
  <c r="H898" i="3"/>
  <c r="G898" i="3"/>
  <c r="Q897" i="3"/>
  <c r="P897" i="3"/>
  <c r="O897" i="3"/>
  <c r="N897" i="3"/>
  <c r="L897" i="3"/>
  <c r="K897" i="3"/>
  <c r="J897" i="3"/>
  <c r="I897" i="3"/>
  <c r="H897" i="3"/>
  <c r="G897" i="3"/>
  <c r="Q896" i="3"/>
  <c r="P896" i="3"/>
  <c r="O896" i="3"/>
  <c r="N896" i="3"/>
  <c r="L896" i="3"/>
  <c r="K896" i="3"/>
  <c r="J896" i="3"/>
  <c r="I896" i="3"/>
  <c r="H896" i="3"/>
  <c r="G896" i="3"/>
  <c r="Q895" i="3"/>
  <c r="P895" i="3"/>
  <c r="O895" i="3"/>
  <c r="N895" i="3"/>
  <c r="L895" i="3"/>
  <c r="K895" i="3"/>
  <c r="J895" i="3"/>
  <c r="I895" i="3"/>
  <c r="H895" i="3"/>
  <c r="G895" i="3"/>
  <c r="Q894" i="3"/>
  <c r="P894" i="3"/>
  <c r="O894" i="3"/>
  <c r="N894" i="3"/>
  <c r="L894" i="3"/>
  <c r="K894" i="3"/>
  <c r="J894" i="3"/>
  <c r="I894" i="3"/>
  <c r="H894" i="3"/>
  <c r="G894" i="3"/>
  <c r="Q893" i="3"/>
  <c r="P893" i="3"/>
  <c r="O893" i="3"/>
  <c r="N893" i="3"/>
  <c r="L893" i="3"/>
  <c r="K893" i="3"/>
  <c r="J893" i="3"/>
  <c r="I893" i="3"/>
  <c r="H893" i="3"/>
  <c r="G893" i="3"/>
  <c r="Q892" i="3"/>
  <c r="P892" i="3"/>
  <c r="O892" i="3"/>
  <c r="N892" i="3"/>
  <c r="L892" i="3"/>
  <c r="K892" i="3"/>
  <c r="J892" i="3"/>
  <c r="I892" i="3"/>
  <c r="H892" i="3"/>
  <c r="G892" i="3"/>
  <c r="Q891" i="3"/>
  <c r="P891" i="3"/>
  <c r="O891" i="3"/>
  <c r="N891" i="3"/>
  <c r="L891" i="3"/>
  <c r="K891" i="3"/>
  <c r="J891" i="3"/>
  <c r="I891" i="3"/>
  <c r="H891" i="3"/>
  <c r="G891" i="3"/>
  <c r="Q890" i="3"/>
  <c r="P890" i="3"/>
  <c r="O890" i="3"/>
  <c r="N890" i="3"/>
  <c r="L890" i="3"/>
  <c r="K890" i="3"/>
  <c r="J890" i="3"/>
  <c r="I890" i="3"/>
  <c r="H890" i="3"/>
  <c r="G890" i="3"/>
  <c r="Q889" i="3"/>
  <c r="P889" i="3"/>
  <c r="O889" i="3"/>
  <c r="N889" i="3"/>
  <c r="L889" i="3"/>
  <c r="K889" i="3"/>
  <c r="J889" i="3"/>
  <c r="I889" i="3"/>
  <c r="H889" i="3"/>
  <c r="G889" i="3"/>
  <c r="Q888" i="3"/>
  <c r="P888" i="3"/>
  <c r="O888" i="3"/>
  <c r="N888" i="3"/>
  <c r="L888" i="3"/>
  <c r="K888" i="3"/>
  <c r="J888" i="3"/>
  <c r="I888" i="3"/>
  <c r="H888" i="3"/>
  <c r="G888" i="3"/>
  <c r="Q887" i="3"/>
  <c r="P887" i="3"/>
  <c r="O887" i="3"/>
  <c r="N887" i="3"/>
  <c r="L887" i="3"/>
  <c r="K887" i="3"/>
  <c r="J887" i="3"/>
  <c r="I887" i="3"/>
  <c r="H887" i="3"/>
  <c r="G887" i="3"/>
  <c r="Q886" i="3"/>
  <c r="P886" i="3"/>
  <c r="O886" i="3"/>
  <c r="N886" i="3"/>
  <c r="L886" i="3"/>
  <c r="K886" i="3"/>
  <c r="J886" i="3"/>
  <c r="I886" i="3"/>
  <c r="H886" i="3"/>
  <c r="G886" i="3"/>
  <c r="Q885" i="3"/>
  <c r="P885" i="3"/>
  <c r="O885" i="3"/>
  <c r="N885" i="3"/>
  <c r="L885" i="3"/>
  <c r="K885" i="3"/>
  <c r="J885" i="3"/>
  <c r="I885" i="3"/>
  <c r="H885" i="3"/>
  <c r="G885" i="3"/>
  <c r="Q884" i="3"/>
  <c r="P884" i="3"/>
  <c r="O884" i="3"/>
  <c r="N884" i="3"/>
  <c r="L884" i="3"/>
  <c r="K884" i="3"/>
  <c r="J884" i="3"/>
  <c r="I884" i="3"/>
  <c r="H884" i="3"/>
  <c r="G884" i="3"/>
  <c r="Q883" i="3"/>
  <c r="P883" i="3"/>
  <c r="O883" i="3"/>
  <c r="N883" i="3"/>
  <c r="L883" i="3"/>
  <c r="K883" i="3"/>
  <c r="J883" i="3"/>
  <c r="I883" i="3"/>
  <c r="H883" i="3"/>
  <c r="G883" i="3"/>
  <c r="Q882" i="3"/>
  <c r="P882" i="3"/>
  <c r="O882" i="3"/>
  <c r="N882" i="3"/>
  <c r="L882" i="3"/>
  <c r="K882" i="3"/>
  <c r="J882" i="3"/>
  <c r="I882" i="3"/>
  <c r="H882" i="3"/>
  <c r="G882" i="3"/>
  <c r="Q881" i="3"/>
  <c r="P881" i="3"/>
  <c r="O881" i="3"/>
  <c r="N881" i="3"/>
  <c r="L881" i="3"/>
  <c r="K881" i="3"/>
  <c r="J881" i="3"/>
  <c r="I881" i="3"/>
  <c r="H881" i="3"/>
  <c r="G881" i="3"/>
  <c r="Q880" i="3"/>
  <c r="P880" i="3"/>
  <c r="O880" i="3"/>
  <c r="N880" i="3"/>
  <c r="L880" i="3"/>
  <c r="K880" i="3"/>
  <c r="J880" i="3"/>
  <c r="I880" i="3"/>
  <c r="H880" i="3"/>
  <c r="G880" i="3"/>
  <c r="Q879" i="3"/>
  <c r="P879" i="3"/>
  <c r="O879" i="3"/>
  <c r="N879" i="3"/>
  <c r="L879" i="3"/>
  <c r="K879" i="3"/>
  <c r="J879" i="3"/>
  <c r="I879" i="3"/>
  <c r="H879" i="3"/>
  <c r="G879" i="3"/>
  <c r="Q878" i="3"/>
  <c r="P878" i="3"/>
  <c r="O878" i="3"/>
  <c r="N878" i="3"/>
  <c r="L878" i="3"/>
  <c r="K878" i="3"/>
  <c r="J878" i="3"/>
  <c r="I878" i="3"/>
  <c r="H878" i="3"/>
  <c r="G878" i="3"/>
  <c r="Q877" i="3"/>
  <c r="P877" i="3"/>
  <c r="O877" i="3"/>
  <c r="N877" i="3"/>
  <c r="L877" i="3"/>
  <c r="K877" i="3"/>
  <c r="J877" i="3"/>
  <c r="I877" i="3"/>
  <c r="H877" i="3"/>
  <c r="G877" i="3"/>
  <c r="Q876" i="3"/>
  <c r="P876" i="3"/>
  <c r="O876" i="3"/>
  <c r="N876" i="3"/>
  <c r="L876" i="3"/>
  <c r="K876" i="3"/>
  <c r="J876" i="3"/>
  <c r="I876" i="3"/>
  <c r="H876" i="3"/>
  <c r="G876" i="3"/>
  <c r="Q875" i="3"/>
  <c r="P875" i="3"/>
  <c r="O875" i="3"/>
  <c r="N875" i="3"/>
  <c r="L875" i="3"/>
  <c r="K875" i="3"/>
  <c r="J875" i="3"/>
  <c r="I875" i="3"/>
  <c r="H875" i="3"/>
  <c r="G875" i="3"/>
  <c r="Q874" i="3"/>
  <c r="P874" i="3"/>
  <c r="O874" i="3"/>
  <c r="N874" i="3"/>
  <c r="L874" i="3"/>
  <c r="K874" i="3"/>
  <c r="J874" i="3"/>
  <c r="I874" i="3"/>
  <c r="H874" i="3"/>
  <c r="G874" i="3"/>
  <c r="Q873" i="3"/>
  <c r="P873" i="3"/>
  <c r="O873" i="3"/>
  <c r="N873" i="3"/>
  <c r="L873" i="3"/>
  <c r="K873" i="3"/>
  <c r="J873" i="3"/>
  <c r="I873" i="3"/>
  <c r="H873" i="3"/>
  <c r="G873" i="3"/>
  <c r="Q872" i="3"/>
  <c r="P872" i="3"/>
  <c r="O872" i="3"/>
  <c r="N872" i="3"/>
  <c r="L872" i="3"/>
  <c r="K872" i="3"/>
  <c r="J872" i="3"/>
  <c r="I872" i="3"/>
  <c r="H872" i="3"/>
  <c r="G872" i="3"/>
  <c r="Q871" i="3"/>
  <c r="P871" i="3"/>
  <c r="O871" i="3"/>
  <c r="N871" i="3"/>
  <c r="L871" i="3"/>
  <c r="K871" i="3"/>
  <c r="J871" i="3"/>
  <c r="I871" i="3"/>
  <c r="H871" i="3"/>
  <c r="G871" i="3"/>
  <c r="Q870" i="3"/>
  <c r="P870" i="3"/>
  <c r="O870" i="3"/>
  <c r="N870" i="3"/>
  <c r="L870" i="3"/>
  <c r="K870" i="3"/>
  <c r="J870" i="3"/>
  <c r="I870" i="3"/>
  <c r="H870" i="3"/>
  <c r="G870" i="3"/>
  <c r="Q869" i="3"/>
  <c r="P869" i="3"/>
  <c r="O869" i="3"/>
  <c r="N869" i="3"/>
  <c r="L869" i="3"/>
  <c r="K869" i="3"/>
  <c r="J869" i="3"/>
  <c r="I869" i="3"/>
  <c r="H869" i="3"/>
  <c r="G869" i="3"/>
  <c r="Q868" i="3"/>
  <c r="P868" i="3"/>
  <c r="O868" i="3"/>
  <c r="N868" i="3"/>
  <c r="L868" i="3"/>
  <c r="K868" i="3"/>
  <c r="J868" i="3"/>
  <c r="I868" i="3"/>
  <c r="H868" i="3"/>
  <c r="G868" i="3"/>
  <c r="Q867" i="3"/>
  <c r="P867" i="3"/>
  <c r="O867" i="3"/>
  <c r="N867" i="3"/>
  <c r="L867" i="3"/>
  <c r="K867" i="3"/>
  <c r="J867" i="3"/>
  <c r="I867" i="3"/>
  <c r="H867" i="3"/>
  <c r="G867" i="3"/>
  <c r="Q866" i="3"/>
  <c r="P866" i="3"/>
  <c r="O866" i="3"/>
  <c r="N866" i="3"/>
  <c r="L866" i="3"/>
  <c r="K866" i="3"/>
  <c r="J866" i="3"/>
  <c r="I866" i="3"/>
  <c r="H866" i="3"/>
  <c r="G866" i="3"/>
  <c r="Q865" i="3"/>
  <c r="P865" i="3"/>
  <c r="O865" i="3"/>
  <c r="N865" i="3"/>
  <c r="L865" i="3"/>
  <c r="K865" i="3"/>
  <c r="J865" i="3"/>
  <c r="I865" i="3"/>
  <c r="H865" i="3"/>
  <c r="G865" i="3"/>
  <c r="Q864" i="3"/>
  <c r="P864" i="3"/>
  <c r="O864" i="3"/>
  <c r="N864" i="3"/>
  <c r="L864" i="3"/>
  <c r="K864" i="3"/>
  <c r="J864" i="3"/>
  <c r="I864" i="3"/>
  <c r="H864" i="3"/>
  <c r="G864" i="3"/>
  <c r="Q863" i="3"/>
  <c r="P863" i="3"/>
  <c r="O863" i="3"/>
  <c r="N863" i="3"/>
  <c r="L863" i="3"/>
  <c r="K863" i="3"/>
  <c r="J863" i="3"/>
  <c r="I863" i="3"/>
  <c r="H863" i="3"/>
  <c r="G863" i="3"/>
  <c r="Q862" i="3"/>
  <c r="P862" i="3"/>
  <c r="O862" i="3"/>
  <c r="N862" i="3"/>
  <c r="L862" i="3"/>
  <c r="K862" i="3"/>
  <c r="J862" i="3"/>
  <c r="I862" i="3"/>
  <c r="H862" i="3"/>
  <c r="G862" i="3"/>
  <c r="Q861" i="3"/>
  <c r="P861" i="3"/>
  <c r="O861" i="3"/>
  <c r="N861" i="3"/>
  <c r="L861" i="3"/>
  <c r="K861" i="3"/>
  <c r="J861" i="3"/>
  <c r="I861" i="3"/>
  <c r="H861" i="3"/>
  <c r="G861" i="3"/>
  <c r="Q860" i="3"/>
  <c r="P860" i="3"/>
  <c r="O860" i="3"/>
  <c r="N860" i="3"/>
  <c r="L860" i="3"/>
  <c r="K860" i="3"/>
  <c r="J860" i="3"/>
  <c r="I860" i="3"/>
  <c r="H860" i="3"/>
  <c r="G860" i="3"/>
  <c r="Q859" i="3"/>
  <c r="P859" i="3"/>
  <c r="O859" i="3"/>
  <c r="N859" i="3"/>
  <c r="L859" i="3"/>
  <c r="K859" i="3"/>
  <c r="J859" i="3"/>
  <c r="I859" i="3"/>
  <c r="H859" i="3"/>
  <c r="G859" i="3"/>
  <c r="Q858" i="3"/>
  <c r="P858" i="3"/>
  <c r="O858" i="3"/>
  <c r="N858" i="3"/>
  <c r="L858" i="3"/>
  <c r="K858" i="3"/>
  <c r="J858" i="3"/>
  <c r="I858" i="3"/>
  <c r="H858" i="3"/>
  <c r="G858" i="3"/>
  <c r="Q857" i="3"/>
  <c r="P857" i="3"/>
  <c r="O857" i="3"/>
  <c r="N857" i="3"/>
  <c r="L857" i="3"/>
  <c r="K857" i="3"/>
  <c r="J857" i="3"/>
  <c r="I857" i="3"/>
  <c r="H857" i="3"/>
  <c r="G857" i="3"/>
  <c r="Q856" i="3"/>
  <c r="P856" i="3"/>
  <c r="O856" i="3"/>
  <c r="N856" i="3"/>
  <c r="L856" i="3"/>
  <c r="K856" i="3"/>
  <c r="J856" i="3"/>
  <c r="I856" i="3"/>
  <c r="H856" i="3"/>
  <c r="G856" i="3"/>
  <c r="Q855" i="3"/>
  <c r="P855" i="3"/>
  <c r="O855" i="3"/>
  <c r="N855" i="3"/>
  <c r="L855" i="3"/>
  <c r="K855" i="3"/>
  <c r="J855" i="3"/>
  <c r="I855" i="3"/>
  <c r="H855" i="3"/>
  <c r="G855" i="3"/>
  <c r="Q854" i="3"/>
  <c r="P854" i="3"/>
  <c r="O854" i="3"/>
  <c r="N854" i="3"/>
  <c r="L854" i="3"/>
  <c r="K854" i="3"/>
  <c r="J854" i="3"/>
  <c r="I854" i="3"/>
  <c r="H854" i="3"/>
  <c r="G854" i="3"/>
  <c r="Q853" i="3"/>
  <c r="P853" i="3"/>
  <c r="O853" i="3"/>
  <c r="N853" i="3"/>
  <c r="L853" i="3"/>
  <c r="K853" i="3"/>
  <c r="J853" i="3"/>
  <c r="I853" i="3"/>
  <c r="H853" i="3"/>
  <c r="G853" i="3"/>
  <c r="Q852" i="3"/>
  <c r="P852" i="3"/>
  <c r="O852" i="3"/>
  <c r="N852" i="3"/>
  <c r="L852" i="3"/>
  <c r="K852" i="3"/>
  <c r="J852" i="3"/>
  <c r="I852" i="3"/>
  <c r="H852" i="3"/>
  <c r="G852" i="3"/>
  <c r="Q851" i="3"/>
  <c r="P851" i="3"/>
  <c r="O851" i="3"/>
  <c r="N851" i="3"/>
  <c r="L851" i="3"/>
  <c r="K851" i="3"/>
  <c r="J851" i="3"/>
  <c r="I851" i="3"/>
  <c r="H851" i="3"/>
  <c r="G851" i="3"/>
  <c r="Q850" i="3"/>
  <c r="P850" i="3"/>
  <c r="O850" i="3"/>
  <c r="N850" i="3"/>
  <c r="L850" i="3"/>
  <c r="K850" i="3"/>
  <c r="J850" i="3"/>
  <c r="I850" i="3"/>
  <c r="H850" i="3"/>
  <c r="G850" i="3"/>
  <c r="Q849" i="3"/>
  <c r="P849" i="3"/>
  <c r="O849" i="3"/>
  <c r="N849" i="3"/>
  <c r="L849" i="3"/>
  <c r="K849" i="3"/>
  <c r="J849" i="3"/>
  <c r="I849" i="3"/>
  <c r="H849" i="3"/>
  <c r="G849" i="3"/>
  <c r="Q848" i="3"/>
  <c r="P848" i="3"/>
  <c r="O848" i="3"/>
  <c r="N848" i="3"/>
  <c r="L848" i="3"/>
  <c r="K848" i="3"/>
  <c r="J848" i="3"/>
  <c r="I848" i="3"/>
  <c r="H848" i="3"/>
  <c r="G848" i="3"/>
  <c r="Q847" i="3"/>
  <c r="P847" i="3"/>
  <c r="O847" i="3"/>
  <c r="N847" i="3"/>
  <c r="L847" i="3"/>
  <c r="K847" i="3"/>
  <c r="J847" i="3"/>
  <c r="I847" i="3"/>
  <c r="H847" i="3"/>
  <c r="G847" i="3"/>
  <c r="Q846" i="3"/>
  <c r="P846" i="3"/>
  <c r="O846" i="3"/>
  <c r="N846" i="3"/>
  <c r="L846" i="3"/>
  <c r="K846" i="3"/>
  <c r="J846" i="3"/>
  <c r="I846" i="3"/>
  <c r="H846" i="3"/>
  <c r="G846" i="3"/>
  <c r="Q845" i="3"/>
  <c r="P845" i="3"/>
  <c r="O845" i="3"/>
  <c r="N845" i="3"/>
  <c r="L845" i="3"/>
  <c r="K845" i="3"/>
  <c r="J845" i="3"/>
  <c r="I845" i="3"/>
  <c r="H845" i="3"/>
  <c r="G845" i="3"/>
  <c r="Q844" i="3"/>
  <c r="P844" i="3"/>
  <c r="O844" i="3"/>
  <c r="N844" i="3"/>
  <c r="L844" i="3"/>
  <c r="K844" i="3"/>
  <c r="J844" i="3"/>
  <c r="I844" i="3"/>
  <c r="H844" i="3"/>
  <c r="G844" i="3"/>
  <c r="Q843" i="3"/>
  <c r="P843" i="3"/>
  <c r="O843" i="3"/>
  <c r="N843" i="3"/>
  <c r="L843" i="3"/>
  <c r="K843" i="3"/>
  <c r="J843" i="3"/>
  <c r="I843" i="3"/>
  <c r="H843" i="3"/>
  <c r="G843" i="3"/>
  <c r="Q842" i="3"/>
  <c r="P842" i="3"/>
  <c r="O842" i="3"/>
  <c r="N842" i="3"/>
  <c r="L842" i="3"/>
  <c r="K842" i="3"/>
  <c r="J842" i="3"/>
  <c r="I842" i="3"/>
  <c r="H842" i="3"/>
  <c r="G842" i="3"/>
  <c r="Q841" i="3"/>
  <c r="P841" i="3"/>
  <c r="O841" i="3"/>
  <c r="N841" i="3"/>
  <c r="L841" i="3"/>
  <c r="K841" i="3"/>
  <c r="J841" i="3"/>
  <c r="I841" i="3"/>
  <c r="H841" i="3"/>
  <c r="G841" i="3"/>
  <c r="Q840" i="3"/>
  <c r="P840" i="3"/>
  <c r="O840" i="3"/>
  <c r="N840" i="3"/>
  <c r="L840" i="3"/>
  <c r="K840" i="3"/>
  <c r="J840" i="3"/>
  <c r="I840" i="3"/>
  <c r="H840" i="3"/>
  <c r="G840" i="3"/>
  <c r="Q839" i="3"/>
  <c r="P839" i="3"/>
  <c r="O839" i="3"/>
  <c r="N839" i="3"/>
  <c r="L839" i="3"/>
  <c r="K839" i="3"/>
  <c r="J839" i="3"/>
  <c r="I839" i="3"/>
  <c r="H839" i="3"/>
  <c r="G839" i="3"/>
  <c r="Q838" i="3"/>
  <c r="P838" i="3"/>
  <c r="O838" i="3"/>
  <c r="N838" i="3"/>
  <c r="L838" i="3"/>
  <c r="K838" i="3"/>
  <c r="J838" i="3"/>
  <c r="I838" i="3"/>
  <c r="H838" i="3"/>
  <c r="G838" i="3"/>
  <c r="Q837" i="3"/>
  <c r="P837" i="3"/>
  <c r="O837" i="3"/>
  <c r="N837" i="3"/>
  <c r="L837" i="3"/>
  <c r="K837" i="3"/>
  <c r="J837" i="3"/>
  <c r="I837" i="3"/>
  <c r="H837" i="3"/>
  <c r="G837" i="3"/>
  <c r="Q836" i="3"/>
  <c r="P836" i="3"/>
  <c r="O836" i="3"/>
  <c r="N836" i="3"/>
  <c r="L836" i="3"/>
  <c r="K836" i="3"/>
  <c r="J836" i="3"/>
  <c r="I836" i="3"/>
  <c r="H836" i="3"/>
  <c r="G836" i="3"/>
  <c r="Q835" i="3"/>
  <c r="P835" i="3"/>
  <c r="O835" i="3"/>
  <c r="N835" i="3"/>
  <c r="L835" i="3"/>
  <c r="K835" i="3"/>
  <c r="J835" i="3"/>
  <c r="I835" i="3"/>
  <c r="H835" i="3"/>
  <c r="G835" i="3"/>
  <c r="Q834" i="3"/>
  <c r="P834" i="3"/>
  <c r="O834" i="3"/>
  <c r="N834" i="3"/>
  <c r="L834" i="3"/>
  <c r="K834" i="3"/>
  <c r="J834" i="3"/>
  <c r="I834" i="3"/>
  <c r="H834" i="3"/>
  <c r="G834" i="3"/>
  <c r="Q833" i="3"/>
  <c r="P833" i="3"/>
  <c r="O833" i="3"/>
  <c r="N833" i="3"/>
  <c r="L833" i="3"/>
  <c r="K833" i="3"/>
  <c r="J833" i="3"/>
  <c r="I833" i="3"/>
  <c r="H833" i="3"/>
  <c r="G833" i="3"/>
  <c r="Q832" i="3"/>
  <c r="P832" i="3"/>
  <c r="O832" i="3"/>
  <c r="N832" i="3"/>
  <c r="L832" i="3"/>
  <c r="K832" i="3"/>
  <c r="J832" i="3"/>
  <c r="I832" i="3"/>
  <c r="H832" i="3"/>
  <c r="G832" i="3"/>
  <c r="Q831" i="3"/>
  <c r="P831" i="3"/>
  <c r="O831" i="3"/>
  <c r="N831" i="3"/>
  <c r="L831" i="3"/>
  <c r="K831" i="3"/>
  <c r="J831" i="3"/>
  <c r="I831" i="3"/>
  <c r="H831" i="3"/>
  <c r="G831" i="3"/>
  <c r="Q830" i="3"/>
  <c r="P830" i="3"/>
  <c r="O830" i="3"/>
  <c r="N830" i="3"/>
  <c r="L830" i="3"/>
  <c r="K830" i="3"/>
  <c r="J830" i="3"/>
  <c r="I830" i="3"/>
  <c r="H830" i="3"/>
  <c r="G830" i="3"/>
  <c r="Q829" i="3"/>
  <c r="P829" i="3"/>
  <c r="O829" i="3"/>
  <c r="N829" i="3"/>
  <c r="L829" i="3"/>
  <c r="K829" i="3"/>
  <c r="J829" i="3"/>
  <c r="I829" i="3"/>
  <c r="H829" i="3"/>
  <c r="G829" i="3"/>
  <c r="Q828" i="3"/>
  <c r="P828" i="3"/>
  <c r="O828" i="3"/>
  <c r="N828" i="3"/>
  <c r="L828" i="3"/>
  <c r="K828" i="3"/>
  <c r="J828" i="3"/>
  <c r="I828" i="3"/>
  <c r="H828" i="3"/>
  <c r="G828" i="3"/>
  <c r="Q827" i="3"/>
  <c r="P827" i="3"/>
  <c r="O827" i="3"/>
  <c r="N827" i="3"/>
  <c r="L827" i="3"/>
  <c r="K827" i="3"/>
  <c r="J827" i="3"/>
  <c r="I827" i="3"/>
  <c r="H827" i="3"/>
  <c r="G827" i="3"/>
  <c r="Q826" i="3"/>
  <c r="P826" i="3"/>
  <c r="O826" i="3"/>
  <c r="N826" i="3"/>
  <c r="L826" i="3"/>
  <c r="K826" i="3"/>
  <c r="J826" i="3"/>
  <c r="I826" i="3"/>
  <c r="H826" i="3"/>
  <c r="G826" i="3"/>
  <c r="Q825" i="3"/>
  <c r="P825" i="3"/>
  <c r="O825" i="3"/>
  <c r="N825" i="3"/>
  <c r="L825" i="3"/>
  <c r="K825" i="3"/>
  <c r="J825" i="3"/>
  <c r="I825" i="3"/>
  <c r="H825" i="3"/>
  <c r="G825" i="3"/>
  <c r="Q824" i="3"/>
  <c r="P824" i="3"/>
  <c r="O824" i="3"/>
  <c r="N824" i="3"/>
  <c r="L824" i="3"/>
  <c r="K824" i="3"/>
  <c r="J824" i="3"/>
  <c r="I824" i="3"/>
  <c r="H824" i="3"/>
  <c r="G824" i="3"/>
  <c r="Q823" i="3"/>
  <c r="P823" i="3"/>
  <c r="O823" i="3"/>
  <c r="N823" i="3"/>
  <c r="L823" i="3"/>
  <c r="K823" i="3"/>
  <c r="J823" i="3"/>
  <c r="I823" i="3"/>
  <c r="H823" i="3"/>
  <c r="G823" i="3"/>
  <c r="Q822" i="3"/>
  <c r="P822" i="3"/>
  <c r="O822" i="3"/>
  <c r="N822" i="3"/>
  <c r="L822" i="3"/>
  <c r="K822" i="3"/>
  <c r="J822" i="3"/>
  <c r="I822" i="3"/>
  <c r="H822" i="3"/>
  <c r="G822" i="3"/>
  <c r="Q821" i="3"/>
  <c r="P821" i="3"/>
  <c r="O821" i="3"/>
  <c r="N821" i="3"/>
  <c r="L821" i="3"/>
  <c r="K821" i="3"/>
  <c r="J821" i="3"/>
  <c r="I821" i="3"/>
  <c r="H821" i="3"/>
  <c r="G821" i="3"/>
  <c r="Q820" i="3"/>
  <c r="P820" i="3"/>
  <c r="O820" i="3"/>
  <c r="N820" i="3"/>
  <c r="L820" i="3"/>
  <c r="K820" i="3"/>
  <c r="J820" i="3"/>
  <c r="I820" i="3"/>
  <c r="H820" i="3"/>
  <c r="G820" i="3"/>
  <c r="Q819" i="3"/>
  <c r="P819" i="3"/>
  <c r="O819" i="3"/>
  <c r="N819" i="3"/>
  <c r="L819" i="3"/>
  <c r="K819" i="3"/>
  <c r="J819" i="3"/>
  <c r="I819" i="3"/>
  <c r="H819" i="3"/>
  <c r="G819" i="3"/>
  <c r="Q818" i="3"/>
  <c r="P818" i="3"/>
  <c r="O818" i="3"/>
  <c r="N818" i="3"/>
  <c r="L818" i="3"/>
  <c r="K818" i="3"/>
  <c r="J818" i="3"/>
  <c r="I818" i="3"/>
  <c r="H818" i="3"/>
  <c r="G818" i="3"/>
  <c r="Q817" i="3"/>
  <c r="P817" i="3"/>
  <c r="O817" i="3"/>
  <c r="N817" i="3"/>
  <c r="L817" i="3"/>
  <c r="K817" i="3"/>
  <c r="J817" i="3"/>
  <c r="I817" i="3"/>
  <c r="H817" i="3"/>
  <c r="G817" i="3"/>
  <c r="Q816" i="3"/>
  <c r="P816" i="3"/>
  <c r="O816" i="3"/>
  <c r="N816" i="3"/>
  <c r="L816" i="3"/>
  <c r="K816" i="3"/>
  <c r="J816" i="3"/>
  <c r="I816" i="3"/>
  <c r="H816" i="3"/>
  <c r="G816" i="3"/>
  <c r="Q815" i="3"/>
  <c r="P815" i="3"/>
  <c r="O815" i="3"/>
  <c r="N815" i="3"/>
  <c r="L815" i="3"/>
  <c r="K815" i="3"/>
  <c r="J815" i="3"/>
  <c r="I815" i="3"/>
  <c r="H815" i="3"/>
  <c r="G815" i="3"/>
  <c r="Q814" i="3"/>
  <c r="P814" i="3"/>
  <c r="O814" i="3"/>
  <c r="N814" i="3"/>
  <c r="L814" i="3"/>
  <c r="K814" i="3"/>
  <c r="J814" i="3"/>
  <c r="I814" i="3"/>
  <c r="H814" i="3"/>
  <c r="G814" i="3"/>
  <c r="Q813" i="3"/>
  <c r="P813" i="3"/>
  <c r="O813" i="3"/>
  <c r="N813" i="3"/>
  <c r="L813" i="3"/>
  <c r="K813" i="3"/>
  <c r="J813" i="3"/>
  <c r="I813" i="3"/>
  <c r="H813" i="3"/>
  <c r="G813" i="3"/>
  <c r="Q812" i="3"/>
  <c r="P812" i="3"/>
  <c r="O812" i="3"/>
  <c r="N812" i="3"/>
  <c r="L812" i="3"/>
  <c r="K812" i="3"/>
  <c r="J812" i="3"/>
  <c r="I812" i="3"/>
  <c r="H812" i="3"/>
  <c r="G812" i="3"/>
  <c r="Q811" i="3"/>
  <c r="P811" i="3"/>
  <c r="O811" i="3"/>
  <c r="N811" i="3"/>
  <c r="L811" i="3"/>
  <c r="K811" i="3"/>
  <c r="J811" i="3"/>
  <c r="I811" i="3"/>
  <c r="H811" i="3"/>
  <c r="G811" i="3"/>
  <c r="Q810" i="3"/>
  <c r="P810" i="3"/>
  <c r="O810" i="3"/>
  <c r="N810" i="3"/>
  <c r="L810" i="3"/>
  <c r="K810" i="3"/>
  <c r="J810" i="3"/>
  <c r="I810" i="3"/>
  <c r="H810" i="3"/>
  <c r="G810" i="3"/>
  <c r="Q809" i="3"/>
  <c r="P809" i="3"/>
  <c r="O809" i="3"/>
  <c r="N809" i="3"/>
  <c r="L809" i="3"/>
  <c r="K809" i="3"/>
  <c r="J809" i="3"/>
  <c r="I809" i="3"/>
  <c r="H809" i="3"/>
  <c r="G809" i="3"/>
  <c r="Q808" i="3"/>
  <c r="P808" i="3"/>
  <c r="O808" i="3"/>
  <c r="N808" i="3"/>
  <c r="L808" i="3"/>
  <c r="K808" i="3"/>
  <c r="J808" i="3"/>
  <c r="I808" i="3"/>
  <c r="H808" i="3"/>
  <c r="G808" i="3"/>
  <c r="Q807" i="3"/>
  <c r="P807" i="3"/>
  <c r="O807" i="3"/>
  <c r="N807" i="3"/>
  <c r="L807" i="3"/>
  <c r="K807" i="3"/>
  <c r="J807" i="3"/>
  <c r="I807" i="3"/>
  <c r="H807" i="3"/>
  <c r="G807" i="3"/>
  <c r="Q806" i="3"/>
  <c r="P806" i="3"/>
  <c r="O806" i="3"/>
  <c r="N806" i="3"/>
  <c r="L806" i="3"/>
  <c r="K806" i="3"/>
  <c r="J806" i="3"/>
  <c r="I806" i="3"/>
  <c r="H806" i="3"/>
  <c r="G806" i="3"/>
  <c r="Q805" i="3"/>
  <c r="P805" i="3"/>
  <c r="O805" i="3"/>
  <c r="N805" i="3"/>
  <c r="L805" i="3"/>
  <c r="K805" i="3"/>
  <c r="J805" i="3"/>
  <c r="I805" i="3"/>
  <c r="H805" i="3"/>
  <c r="G805" i="3"/>
  <c r="Q804" i="3"/>
  <c r="P804" i="3"/>
  <c r="O804" i="3"/>
  <c r="N804" i="3"/>
  <c r="L804" i="3"/>
  <c r="K804" i="3"/>
  <c r="J804" i="3"/>
  <c r="I804" i="3"/>
  <c r="H804" i="3"/>
  <c r="G804" i="3"/>
  <c r="Q803" i="3"/>
  <c r="P803" i="3"/>
  <c r="O803" i="3"/>
  <c r="N803" i="3"/>
  <c r="L803" i="3"/>
  <c r="K803" i="3"/>
  <c r="J803" i="3"/>
  <c r="I803" i="3"/>
  <c r="H803" i="3"/>
  <c r="G803" i="3"/>
  <c r="Q802" i="3"/>
  <c r="P802" i="3"/>
  <c r="O802" i="3"/>
  <c r="N802" i="3"/>
  <c r="L802" i="3"/>
  <c r="K802" i="3"/>
  <c r="J802" i="3"/>
  <c r="I802" i="3"/>
  <c r="H802" i="3"/>
  <c r="G802" i="3"/>
  <c r="Q801" i="3"/>
  <c r="P801" i="3"/>
  <c r="O801" i="3"/>
  <c r="N801" i="3"/>
  <c r="L801" i="3"/>
  <c r="K801" i="3"/>
  <c r="J801" i="3"/>
  <c r="I801" i="3"/>
  <c r="H801" i="3"/>
  <c r="G801" i="3"/>
  <c r="Q800" i="3"/>
  <c r="P800" i="3"/>
  <c r="O800" i="3"/>
  <c r="N800" i="3"/>
  <c r="L800" i="3"/>
  <c r="K800" i="3"/>
  <c r="J800" i="3"/>
  <c r="I800" i="3"/>
  <c r="H800" i="3"/>
  <c r="G800" i="3"/>
  <c r="Q799" i="3"/>
  <c r="P799" i="3"/>
  <c r="O799" i="3"/>
  <c r="N799" i="3"/>
  <c r="L799" i="3"/>
  <c r="K799" i="3"/>
  <c r="J799" i="3"/>
  <c r="I799" i="3"/>
  <c r="H799" i="3"/>
  <c r="G799" i="3"/>
  <c r="Q798" i="3"/>
  <c r="P798" i="3"/>
  <c r="O798" i="3"/>
  <c r="N798" i="3"/>
  <c r="L798" i="3"/>
  <c r="K798" i="3"/>
  <c r="J798" i="3"/>
  <c r="I798" i="3"/>
  <c r="H798" i="3"/>
  <c r="G798" i="3"/>
  <c r="Q797" i="3"/>
  <c r="P797" i="3"/>
  <c r="O797" i="3"/>
  <c r="N797" i="3"/>
  <c r="L797" i="3"/>
  <c r="K797" i="3"/>
  <c r="J797" i="3"/>
  <c r="I797" i="3"/>
  <c r="H797" i="3"/>
  <c r="G797" i="3"/>
  <c r="Q796" i="3"/>
  <c r="P796" i="3"/>
  <c r="O796" i="3"/>
  <c r="N796" i="3"/>
  <c r="L796" i="3"/>
  <c r="K796" i="3"/>
  <c r="J796" i="3"/>
  <c r="I796" i="3"/>
  <c r="H796" i="3"/>
  <c r="G796" i="3"/>
  <c r="Q795" i="3"/>
  <c r="P795" i="3"/>
  <c r="O795" i="3"/>
  <c r="N795" i="3"/>
  <c r="L795" i="3"/>
  <c r="K795" i="3"/>
  <c r="J795" i="3"/>
  <c r="I795" i="3"/>
  <c r="H795" i="3"/>
  <c r="G795" i="3"/>
  <c r="Q794" i="3"/>
  <c r="P794" i="3"/>
  <c r="O794" i="3"/>
  <c r="N794" i="3"/>
  <c r="L794" i="3"/>
  <c r="K794" i="3"/>
  <c r="J794" i="3"/>
  <c r="I794" i="3"/>
  <c r="H794" i="3"/>
  <c r="G794" i="3"/>
  <c r="Q793" i="3"/>
  <c r="P793" i="3"/>
  <c r="O793" i="3"/>
  <c r="N793" i="3"/>
  <c r="L793" i="3"/>
  <c r="K793" i="3"/>
  <c r="J793" i="3"/>
  <c r="I793" i="3"/>
  <c r="H793" i="3"/>
  <c r="G793" i="3"/>
  <c r="Q792" i="3"/>
  <c r="P792" i="3"/>
  <c r="O792" i="3"/>
  <c r="N792" i="3"/>
  <c r="L792" i="3"/>
  <c r="K792" i="3"/>
  <c r="J792" i="3"/>
  <c r="I792" i="3"/>
  <c r="H792" i="3"/>
  <c r="G792" i="3"/>
  <c r="Q791" i="3"/>
  <c r="P791" i="3"/>
  <c r="O791" i="3"/>
  <c r="N791" i="3"/>
  <c r="L791" i="3"/>
  <c r="K791" i="3"/>
  <c r="J791" i="3"/>
  <c r="I791" i="3"/>
  <c r="H791" i="3"/>
  <c r="G791" i="3"/>
  <c r="Q790" i="3"/>
  <c r="P790" i="3"/>
  <c r="O790" i="3"/>
  <c r="N790" i="3"/>
  <c r="L790" i="3"/>
  <c r="K790" i="3"/>
  <c r="J790" i="3"/>
  <c r="I790" i="3"/>
  <c r="H790" i="3"/>
  <c r="G790" i="3"/>
  <c r="Q789" i="3"/>
  <c r="P789" i="3"/>
  <c r="O789" i="3"/>
  <c r="N789" i="3"/>
  <c r="L789" i="3"/>
  <c r="K789" i="3"/>
  <c r="J789" i="3"/>
  <c r="I789" i="3"/>
  <c r="H789" i="3"/>
  <c r="G789" i="3"/>
  <c r="Q788" i="3"/>
  <c r="P788" i="3"/>
  <c r="O788" i="3"/>
  <c r="N788" i="3"/>
  <c r="L788" i="3"/>
  <c r="K788" i="3"/>
  <c r="J788" i="3"/>
  <c r="I788" i="3"/>
  <c r="H788" i="3"/>
  <c r="G788" i="3"/>
  <c r="Q787" i="3"/>
  <c r="P787" i="3"/>
  <c r="O787" i="3"/>
  <c r="N787" i="3"/>
  <c r="L787" i="3"/>
  <c r="K787" i="3"/>
  <c r="J787" i="3"/>
  <c r="I787" i="3"/>
  <c r="H787" i="3"/>
  <c r="G787" i="3"/>
  <c r="Q786" i="3"/>
  <c r="P786" i="3"/>
  <c r="O786" i="3"/>
  <c r="N786" i="3"/>
  <c r="L786" i="3"/>
  <c r="K786" i="3"/>
  <c r="J786" i="3"/>
  <c r="I786" i="3"/>
  <c r="H786" i="3"/>
  <c r="G786" i="3"/>
  <c r="Q785" i="3"/>
  <c r="P785" i="3"/>
  <c r="O785" i="3"/>
  <c r="N785" i="3"/>
  <c r="L785" i="3"/>
  <c r="K785" i="3"/>
  <c r="J785" i="3"/>
  <c r="I785" i="3"/>
  <c r="H785" i="3"/>
  <c r="G785" i="3"/>
  <c r="Q784" i="3"/>
  <c r="P784" i="3"/>
  <c r="O784" i="3"/>
  <c r="N784" i="3"/>
  <c r="L784" i="3"/>
  <c r="K784" i="3"/>
  <c r="J784" i="3"/>
  <c r="I784" i="3"/>
  <c r="H784" i="3"/>
  <c r="G784" i="3"/>
  <c r="Q783" i="3"/>
  <c r="P783" i="3"/>
  <c r="O783" i="3"/>
  <c r="N783" i="3"/>
  <c r="L783" i="3"/>
  <c r="K783" i="3"/>
  <c r="J783" i="3"/>
  <c r="I783" i="3"/>
  <c r="H783" i="3"/>
  <c r="G783" i="3"/>
  <c r="Q782" i="3"/>
  <c r="P782" i="3"/>
  <c r="O782" i="3"/>
  <c r="N782" i="3"/>
  <c r="L782" i="3"/>
  <c r="K782" i="3"/>
  <c r="J782" i="3"/>
  <c r="I782" i="3"/>
  <c r="H782" i="3"/>
  <c r="G782" i="3"/>
  <c r="Q781" i="3"/>
  <c r="P781" i="3"/>
  <c r="O781" i="3"/>
  <c r="N781" i="3"/>
  <c r="L781" i="3"/>
  <c r="K781" i="3"/>
  <c r="J781" i="3"/>
  <c r="I781" i="3"/>
  <c r="H781" i="3"/>
  <c r="G781" i="3"/>
  <c r="Q780" i="3"/>
  <c r="P780" i="3"/>
  <c r="O780" i="3"/>
  <c r="N780" i="3"/>
  <c r="L780" i="3"/>
  <c r="K780" i="3"/>
  <c r="J780" i="3"/>
  <c r="I780" i="3"/>
  <c r="H780" i="3"/>
  <c r="G780" i="3"/>
  <c r="Q779" i="3"/>
  <c r="P779" i="3"/>
  <c r="O779" i="3"/>
  <c r="N779" i="3"/>
  <c r="L779" i="3"/>
  <c r="K779" i="3"/>
  <c r="J779" i="3"/>
  <c r="I779" i="3"/>
  <c r="H779" i="3"/>
  <c r="G779" i="3"/>
  <c r="Q778" i="3"/>
  <c r="P778" i="3"/>
  <c r="O778" i="3"/>
  <c r="N778" i="3"/>
  <c r="L778" i="3"/>
  <c r="K778" i="3"/>
  <c r="J778" i="3"/>
  <c r="I778" i="3"/>
  <c r="H778" i="3"/>
  <c r="G778" i="3"/>
  <c r="Q777" i="3"/>
  <c r="P777" i="3"/>
  <c r="O777" i="3"/>
  <c r="N777" i="3"/>
  <c r="L777" i="3"/>
  <c r="K777" i="3"/>
  <c r="J777" i="3"/>
  <c r="I777" i="3"/>
  <c r="H777" i="3"/>
  <c r="G777" i="3"/>
  <c r="Q776" i="3"/>
  <c r="P776" i="3"/>
  <c r="O776" i="3"/>
  <c r="N776" i="3"/>
  <c r="L776" i="3"/>
  <c r="K776" i="3"/>
  <c r="J776" i="3"/>
  <c r="I776" i="3"/>
  <c r="H776" i="3"/>
  <c r="G776" i="3"/>
  <c r="Q775" i="3"/>
  <c r="P775" i="3"/>
  <c r="O775" i="3"/>
  <c r="N775" i="3"/>
  <c r="L775" i="3"/>
  <c r="K775" i="3"/>
  <c r="J775" i="3"/>
  <c r="I775" i="3"/>
  <c r="H775" i="3"/>
  <c r="G775" i="3"/>
  <c r="Q774" i="3"/>
  <c r="P774" i="3"/>
  <c r="O774" i="3"/>
  <c r="N774" i="3"/>
  <c r="L774" i="3"/>
  <c r="K774" i="3"/>
  <c r="J774" i="3"/>
  <c r="I774" i="3"/>
  <c r="H774" i="3"/>
  <c r="G774" i="3"/>
  <c r="Q773" i="3"/>
  <c r="P773" i="3"/>
  <c r="O773" i="3"/>
  <c r="N773" i="3"/>
  <c r="L773" i="3"/>
  <c r="K773" i="3"/>
  <c r="J773" i="3"/>
  <c r="I773" i="3"/>
  <c r="H773" i="3"/>
  <c r="G773" i="3"/>
  <c r="Q772" i="3"/>
  <c r="P772" i="3"/>
  <c r="O772" i="3"/>
  <c r="N772" i="3"/>
  <c r="L772" i="3"/>
  <c r="K772" i="3"/>
  <c r="J772" i="3"/>
  <c r="I772" i="3"/>
  <c r="H772" i="3"/>
  <c r="G772" i="3"/>
  <c r="Q771" i="3"/>
  <c r="P771" i="3"/>
  <c r="O771" i="3"/>
  <c r="N771" i="3"/>
  <c r="L771" i="3"/>
  <c r="K771" i="3"/>
  <c r="J771" i="3"/>
  <c r="I771" i="3"/>
  <c r="H771" i="3"/>
  <c r="G771" i="3"/>
  <c r="Q770" i="3"/>
  <c r="P770" i="3"/>
  <c r="O770" i="3"/>
  <c r="N770" i="3"/>
  <c r="L770" i="3"/>
  <c r="K770" i="3"/>
  <c r="J770" i="3"/>
  <c r="I770" i="3"/>
  <c r="H770" i="3"/>
  <c r="G770" i="3"/>
  <c r="Q769" i="3"/>
  <c r="P769" i="3"/>
  <c r="O769" i="3"/>
  <c r="N769" i="3"/>
  <c r="L769" i="3"/>
  <c r="K769" i="3"/>
  <c r="J769" i="3"/>
  <c r="I769" i="3"/>
  <c r="H769" i="3"/>
  <c r="G769" i="3"/>
  <c r="Q768" i="3"/>
  <c r="P768" i="3"/>
  <c r="O768" i="3"/>
  <c r="N768" i="3"/>
  <c r="L768" i="3"/>
  <c r="K768" i="3"/>
  <c r="J768" i="3"/>
  <c r="I768" i="3"/>
  <c r="H768" i="3"/>
  <c r="G768" i="3"/>
  <c r="Q767" i="3"/>
  <c r="P767" i="3"/>
  <c r="O767" i="3"/>
  <c r="N767" i="3"/>
  <c r="L767" i="3"/>
  <c r="K767" i="3"/>
  <c r="J767" i="3"/>
  <c r="I767" i="3"/>
  <c r="H767" i="3"/>
  <c r="G767" i="3"/>
  <c r="Q766" i="3"/>
  <c r="P766" i="3"/>
  <c r="O766" i="3"/>
  <c r="N766" i="3"/>
  <c r="L766" i="3"/>
  <c r="K766" i="3"/>
  <c r="J766" i="3"/>
  <c r="I766" i="3"/>
  <c r="H766" i="3"/>
  <c r="G766" i="3"/>
  <c r="Q765" i="3"/>
  <c r="P765" i="3"/>
  <c r="O765" i="3"/>
  <c r="N765" i="3"/>
  <c r="L765" i="3"/>
  <c r="K765" i="3"/>
  <c r="J765" i="3"/>
  <c r="I765" i="3"/>
  <c r="H765" i="3"/>
  <c r="G765" i="3"/>
  <c r="Q764" i="3"/>
  <c r="P764" i="3"/>
  <c r="O764" i="3"/>
  <c r="N764" i="3"/>
  <c r="L764" i="3"/>
  <c r="K764" i="3"/>
  <c r="J764" i="3"/>
  <c r="I764" i="3"/>
  <c r="H764" i="3"/>
  <c r="G764" i="3"/>
  <c r="Q763" i="3"/>
  <c r="P763" i="3"/>
  <c r="O763" i="3"/>
  <c r="N763" i="3"/>
  <c r="L763" i="3"/>
  <c r="K763" i="3"/>
  <c r="J763" i="3"/>
  <c r="I763" i="3"/>
  <c r="H763" i="3"/>
  <c r="G763" i="3"/>
  <c r="Q762" i="3"/>
  <c r="P762" i="3"/>
  <c r="O762" i="3"/>
  <c r="N762" i="3"/>
  <c r="L762" i="3"/>
  <c r="K762" i="3"/>
  <c r="J762" i="3"/>
  <c r="I762" i="3"/>
  <c r="H762" i="3"/>
  <c r="G762" i="3"/>
  <c r="Q761" i="3"/>
  <c r="P761" i="3"/>
  <c r="O761" i="3"/>
  <c r="N761" i="3"/>
  <c r="L761" i="3"/>
  <c r="K761" i="3"/>
  <c r="J761" i="3"/>
  <c r="I761" i="3"/>
  <c r="H761" i="3"/>
  <c r="G761" i="3"/>
  <c r="Q760" i="3"/>
  <c r="P760" i="3"/>
  <c r="O760" i="3"/>
  <c r="N760" i="3"/>
  <c r="L760" i="3"/>
  <c r="K760" i="3"/>
  <c r="J760" i="3"/>
  <c r="I760" i="3"/>
  <c r="H760" i="3"/>
  <c r="G760" i="3"/>
  <c r="Q759" i="3"/>
  <c r="P759" i="3"/>
  <c r="O759" i="3"/>
  <c r="N759" i="3"/>
  <c r="L759" i="3"/>
  <c r="K759" i="3"/>
  <c r="J759" i="3"/>
  <c r="I759" i="3"/>
  <c r="H759" i="3"/>
  <c r="G759" i="3"/>
  <c r="Q758" i="3"/>
  <c r="P758" i="3"/>
  <c r="O758" i="3"/>
  <c r="N758" i="3"/>
  <c r="L758" i="3"/>
  <c r="K758" i="3"/>
  <c r="J758" i="3"/>
  <c r="I758" i="3"/>
  <c r="H758" i="3"/>
  <c r="G758" i="3"/>
  <c r="Q757" i="3"/>
  <c r="P757" i="3"/>
  <c r="O757" i="3"/>
  <c r="N757" i="3"/>
  <c r="L757" i="3"/>
  <c r="K757" i="3"/>
  <c r="J757" i="3"/>
  <c r="I757" i="3"/>
  <c r="H757" i="3"/>
  <c r="G757" i="3"/>
  <c r="Q756" i="3"/>
  <c r="P756" i="3"/>
  <c r="O756" i="3"/>
  <c r="N756" i="3"/>
  <c r="L756" i="3"/>
  <c r="K756" i="3"/>
  <c r="J756" i="3"/>
  <c r="I756" i="3"/>
  <c r="H756" i="3"/>
  <c r="G756" i="3"/>
  <c r="Q755" i="3"/>
  <c r="P755" i="3"/>
  <c r="O755" i="3"/>
  <c r="N755" i="3"/>
  <c r="L755" i="3"/>
  <c r="K755" i="3"/>
  <c r="J755" i="3"/>
  <c r="I755" i="3"/>
  <c r="H755" i="3"/>
  <c r="G755" i="3"/>
  <c r="Q754" i="3"/>
  <c r="P754" i="3"/>
  <c r="O754" i="3"/>
  <c r="N754" i="3"/>
  <c r="L754" i="3"/>
  <c r="K754" i="3"/>
  <c r="J754" i="3"/>
  <c r="I754" i="3"/>
  <c r="H754" i="3"/>
  <c r="G754" i="3"/>
  <c r="Q753" i="3"/>
  <c r="P753" i="3"/>
  <c r="O753" i="3"/>
  <c r="N753" i="3"/>
  <c r="L753" i="3"/>
  <c r="K753" i="3"/>
  <c r="J753" i="3"/>
  <c r="I753" i="3"/>
  <c r="H753" i="3"/>
  <c r="G753" i="3"/>
  <c r="Q752" i="3"/>
  <c r="P752" i="3"/>
  <c r="O752" i="3"/>
  <c r="N752" i="3"/>
  <c r="L752" i="3"/>
  <c r="K752" i="3"/>
  <c r="J752" i="3"/>
  <c r="I752" i="3"/>
  <c r="H752" i="3"/>
  <c r="G752" i="3"/>
  <c r="Q751" i="3"/>
  <c r="P751" i="3"/>
  <c r="O751" i="3"/>
  <c r="N751" i="3"/>
  <c r="L751" i="3"/>
  <c r="K751" i="3"/>
  <c r="J751" i="3"/>
  <c r="I751" i="3"/>
  <c r="H751" i="3"/>
  <c r="G751" i="3"/>
  <c r="Q750" i="3"/>
  <c r="P750" i="3"/>
  <c r="O750" i="3"/>
  <c r="N750" i="3"/>
  <c r="L750" i="3"/>
  <c r="K750" i="3"/>
  <c r="J750" i="3"/>
  <c r="I750" i="3"/>
  <c r="H750" i="3"/>
  <c r="G750" i="3"/>
  <c r="Q749" i="3"/>
  <c r="P749" i="3"/>
  <c r="O749" i="3"/>
  <c r="N749" i="3"/>
  <c r="L749" i="3"/>
  <c r="K749" i="3"/>
  <c r="J749" i="3"/>
  <c r="I749" i="3"/>
  <c r="H749" i="3"/>
  <c r="G749" i="3"/>
  <c r="Q748" i="3"/>
  <c r="P748" i="3"/>
  <c r="O748" i="3"/>
  <c r="N748" i="3"/>
  <c r="L748" i="3"/>
  <c r="K748" i="3"/>
  <c r="J748" i="3"/>
  <c r="I748" i="3"/>
  <c r="H748" i="3"/>
  <c r="G748" i="3"/>
  <c r="Q747" i="3"/>
  <c r="P747" i="3"/>
  <c r="O747" i="3"/>
  <c r="N747" i="3"/>
  <c r="L747" i="3"/>
  <c r="K747" i="3"/>
  <c r="J747" i="3"/>
  <c r="I747" i="3"/>
  <c r="H747" i="3"/>
  <c r="G747" i="3"/>
  <c r="Q746" i="3"/>
  <c r="P746" i="3"/>
  <c r="O746" i="3"/>
  <c r="N746" i="3"/>
  <c r="L746" i="3"/>
  <c r="K746" i="3"/>
  <c r="J746" i="3"/>
  <c r="I746" i="3"/>
  <c r="H746" i="3"/>
  <c r="G746" i="3"/>
  <c r="Q745" i="3"/>
  <c r="P745" i="3"/>
  <c r="O745" i="3"/>
  <c r="N745" i="3"/>
  <c r="L745" i="3"/>
  <c r="K745" i="3"/>
  <c r="J745" i="3"/>
  <c r="I745" i="3"/>
  <c r="H745" i="3"/>
  <c r="G745" i="3"/>
  <c r="Q744" i="3"/>
  <c r="P744" i="3"/>
  <c r="O744" i="3"/>
  <c r="N744" i="3"/>
  <c r="L744" i="3"/>
  <c r="K744" i="3"/>
  <c r="J744" i="3"/>
  <c r="I744" i="3"/>
  <c r="H744" i="3"/>
  <c r="G744" i="3"/>
  <c r="Q743" i="3"/>
  <c r="P743" i="3"/>
  <c r="O743" i="3"/>
  <c r="N743" i="3"/>
  <c r="L743" i="3"/>
  <c r="K743" i="3"/>
  <c r="J743" i="3"/>
  <c r="I743" i="3"/>
  <c r="H743" i="3"/>
  <c r="G743" i="3"/>
  <c r="Q742" i="3"/>
  <c r="P742" i="3"/>
  <c r="O742" i="3"/>
  <c r="N742" i="3"/>
  <c r="L742" i="3"/>
  <c r="K742" i="3"/>
  <c r="J742" i="3"/>
  <c r="I742" i="3"/>
  <c r="H742" i="3"/>
  <c r="G742" i="3"/>
  <c r="Q741" i="3"/>
  <c r="P741" i="3"/>
  <c r="O741" i="3"/>
  <c r="N741" i="3"/>
  <c r="L741" i="3"/>
  <c r="K741" i="3"/>
  <c r="J741" i="3"/>
  <c r="I741" i="3"/>
  <c r="H741" i="3"/>
  <c r="G741" i="3"/>
  <c r="Q740" i="3"/>
  <c r="P740" i="3"/>
  <c r="O740" i="3"/>
  <c r="N740" i="3"/>
  <c r="L740" i="3"/>
  <c r="K740" i="3"/>
  <c r="J740" i="3"/>
  <c r="I740" i="3"/>
  <c r="H740" i="3"/>
  <c r="G740" i="3"/>
  <c r="Q739" i="3"/>
  <c r="P739" i="3"/>
  <c r="O739" i="3"/>
  <c r="N739" i="3"/>
  <c r="L739" i="3"/>
  <c r="K739" i="3"/>
  <c r="J739" i="3"/>
  <c r="I739" i="3"/>
  <c r="H739" i="3"/>
  <c r="G739" i="3"/>
  <c r="Q738" i="3"/>
  <c r="P738" i="3"/>
  <c r="O738" i="3"/>
  <c r="N738" i="3"/>
  <c r="L738" i="3"/>
  <c r="K738" i="3"/>
  <c r="J738" i="3"/>
  <c r="I738" i="3"/>
  <c r="H738" i="3"/>
  <c r="G738" i="3"/>
  <c r="Q737" i="3"/>
  <c r="P737" i="3"/>
  <c r="O737" i="3"/>
  <c r="N737" i="3"/>
  <c r="L737" i="3"/>
  <c r="K737" i="3"/>
  <c r="J737" i="3"/>
  <c r="I737" i="3"/>
  <c r="H737" i="3"/>
  <c r="G737" i="3"/>
  <c r="Q736" i="3"/>
  <c r="P736" i="3"/>
  <c r="O736" i="3"/>
  <c r="N736" i="3"/>
  <c r="L736" i="3"/>
  <c r="K736" i="3"/>
  <c r="J736" i="3"/>
  <c r="I736" i="3"/>
  <c r="H736" i="3"/>
  <c r="G736" i="3"/>
  <c r="Q735" i="3"/>
  <c r="P735" i="3"/>
  <c r="O735" i="3"/>
  <c r="N735" i="3"/>
  <c r="L735" i="3"/>
  <c r="K735" i="3"/>
  <c r="J735" i="3"/>
  <c r="I735" i="3"/>
  <c r="H735" i="3"/>
  <c r="G735" i="3"/>
  <c r="Q734" i="3"/>
  <c r="P734" i="3"/>
  <c r="O734" i="3"/>
  <c r="N734" i="3"/>
  <c r="L734" i="3"/>
  <c r="K734" i="3"/>
  <c r="J734" i="3"/>
  <c r="I734" i="3"/>
  <c r="H734" i="3"/>
  <c r="G734" i="3"/>
  <c r="Q733" i="3"/>
  <c r="P733" i="3"/>
  <c r="O733" i="3"/>
  <c r="N733" i="3"/>
  <c r="L733" i="3"/>
  <c r="K733" i="3"/>
  <c r="J733" i="3"/>
  <c r="I733" i="3"/>
  <c r="H733" i="3"/>
  <c r="G733" i="3"/>
  <c r="Q732" i="3"/>
  <c r="P732" i="3"/>
  <c r="O732" i="3"/>
  <c r="N732" i="3"/>
  <c r="L732" i="3"/>
  <c r="K732" i="3"/>
  <c r="J732" i="3"/>
  <c r="I732" i="3"/>
  <c r="H732" i="3"/>
  <c r="G732" i="3"/>
  <c r="Q731" i="3"/>
  <c r="P731" i="3"/>
  <c r="O731" i="3"/>
  <c r="N731" i="3"/>
  <c r="L731" i="3"/>
  <c r="K731" i="3"/>
  <c r="J731" i="3"/>
  <c r="I731" i="3"/>
  <c r="H731" i="3"/>
  <c r="G731" i="3"/>
  <c r="Q730" i="3"/>
  <c r="P730" i="3"/>
  <c r="O730" i="3"/>
  <c r="N730" i="3"/>
  <c r="L730" i="3"/>
  <c r="K730" i="3"/>
  <c r="J730" i="3"/>
  <c r="I730" i="3"/>
  <c r="H730" i="3"/>
  <c r="G730" i="3"/>
  <c r="Q729" i="3"/>
  <c r="P729" i="3"/>
  <c r="O729" i="3"/>
  <c r="N729" i="3"/>
  <c r="L729" i="3"/>
  <c r="K729" i="3"/>
  <c r="J729" i="3"/>
  <c r="I729" i="3"/>
  <c r="H729" i="3"/>
  <c r="G729" i="3"/>
  <c r="Q728" i="3"/>
  <c r="P728" i="3"/>
  <c r="O728" i="3"/>
  <c r="N728" i="3"/>
  <c r="L728" i="3"/>
  <c r="K728" i="3"/>
  <c r="J728" i="3"/>
  <c r="I728" i="3"/>
  <c r="H728" i="3"/>
  <c r="G728" i="3"/>
  <c r="Q727" i="3"/>
  <c r="P727" i="3"/>
  <c r="O727" i="3"/>
  <c r="N727" i="3"/>
  <c r="L727" i="3"/>
  <c r="K727" i="3"/>
  <c r="J727" i="3"/>
  <c r="I727" i="3"/>
  <c r="H727" i="3"/>
  <c r="G727" i="3"/>
  <c r="Q726" i="3"/>
  <c r="P726" i="3"/>
  <c r="O726" i="3"/>
  <c r="N726" i="3"/>
  <c r="L726" i="3"/>
  <c r="K726" i="3"/>
  <c r="J726" i="3"/>
  <c r="I726" i="3"/>
  <c r="H726" i="3"/>
  <c r="G726" i="3"/>
  <c r="Q725" i="3"/>
  <c r="P725" i="3"/>
  <c r="O725" i="3"/>
  <c r="N725" i="3"/>
  <c r="L725" i="3"/>
  <c r="K725" i="3"/>
  <c r="J725" i="3"/>
  <c r="I725" i="3"/>
  <c r="H725" i="3"/>
  <c r="G725" i="3"/>
  <c r="Q724" i="3"/>
  <c r="P724" i="3"/>
  <c r="O724" i="3"/>
  <c r="N724" i="3"/>
  <c r="L724" i="3"/>
  <c r="K724" i="3"/>
  <c r="J724" i="3"/>
  <c r="I724" i="3"/>
  <c r="H724" i="3"/>
  <c r="G724" i="3"/>
  <c r="Q723" i="3"/>
  <c r="P723" i="3"/>
  <c r="O723" i="3"/>
  <c r="N723" i="3"/>
  <c r="L723" i="3"/>
  <c r="K723" i="3"/>
  <c r="J723" i="3"/>
  <c r="I723" i="3"/>
  <c r="H723" i="3"/>
  <c r="G723" i="3"/>
  <c r="Q722" i="3"/>
  <c r="P722" i="3"/>
  <c r="O722" i="3"/>
  <c r="N722" i="3"/>
  <c r="L722" i="3"/>
  <c r="K722" i="3"/>
  <c r="J722" i="3"/>
  <c r="I722" i="3"/>
  <c r="H722" i="3"/>
  <c r="G722" i="3"/>
  <c r="Q721" i="3"/>
  <c r="P721" i="3"/>
  <c r="O721" i="3"/>
  <c r="N721" i="3"/>
  <c r="L721" i="3"/>
  <c r="K721" i="3"/>
  <c r="J721" i="3"/>
  <c r="I721" i="3"/>
  <c r="H721" i="3"/>
  <c r="G721" i="3"/>
  <c r="Q720" i="3"/>
  <c r="P720" i="3"/>
  <c r="O720" i="3"/>
  <c r="N720" i="3"/>
  <c r="L720" i="3"/>
  <c r="K720" i="3"/>
  <c r="J720" i="3"/>
  <c r="I720" i="3"/>
  <c r="H720" i="3"/>
  <c r="G720" i="3"/>
  <c r="Q719" i="3"/>
  <c r="P719" i="3"/>
  <c r="O719" i="3"/>
  <c r="N719" i="3"/>
  <c r="L719" i="3"/>
  <c r="K719" i="3"/>
  <c r="J719" i="3"/>
  <c r="I719" i="3"/>
  <c r="H719" i="3"/>
  <c r="G719" i="3"/>
  <c r="Q718" i="3"/>
  <c r="P718" i="3"/>
  <c r="O718" i="3"/>
  <c r="N718" i="3"/>
  <c r="L718" i="3"/>
  <c r="K718" i="3"/>
  <c r="J718" i="3"/>
  <c r="I718" i="3"/>
  <c r="H718" i="3"/>
  <c r="G718" i="3"/>
  <c r="Q717" i="3"/>
  <c r="P717" i="3"/>
  <c r="O717" i="3"/>
  <c r="N717" i="3"/>
  <c r="L717" i="3"/>
  <c r="K717" i="3"/>
  <c r="J717" i="3"/>
  <c r="I717" i="3"/>
  <c r="H717" i="3"/>
  <c r="G717" i="3"/>
  <c r="Q716" i="3"/>
  <c r="P716" i="3"/>
  <c r="O716" i="3"/>
  <c r="N716" i="3"/>
  <c r="L716" i="3"/>
  <c r="K716" i="3"/>
  <c r="J716" i="3"/>
  <c r="I716" i="3"/>
  <c r="H716" i="3"/>
  <c r="G716" i="3"/>
  <c r="Q715" i="3"/>
  <c r="P715" i="3"/>
  <c r="O715" i="3"/>
  <c r="N715" i="3"/>
  <c r="L715" i="3"/>
  <c r="K715" i="3"/>
  <c r="J715" i="3"/>
  <c r="I715" i="3"/>
  <c r="H715" i="3"/>
  <c r="G715" i="3"/>
  <c r="Q714" i="3"/>
  <c r="P714" i="3"/>
  <c r="O714" i="3"/>
  <c r="N714" i="3"/>
  <c r="L714" i="3"/>
  <c r="K714" i="3"/>
  <c r="J714" i="3"/>
  <c r="I714" i="3"/>
  <c r="H714" i="3"/>
  <c r="G714" i="3"/>
  <c r="Q713" i="3"/>
  <c r="P713" i="3"/>
  <c r="O713" i="3"/>
  <c r="N713" i="3"/>
  <c r="L713" i="3"/>
  <c r="K713" i="3"/>
  <c r="J713" i="3"/>
  <c r="I713" i="3"/>
  <c r="H713" i="3"/>
  <c r="G713" i="3"/>
  <c r="Q712" i="3"/>
  <c r="P712" i="3"/>
  <c r="O712" i="3"/>
  <c r="N712" i="3"/>
  <c r="L712" i="3"/>
  <c r="K712" i="3"/>
  <c r="J712" i="3"/>
  <c r="I712" i="3"/>
  <c r="H712" i="3"/>
  <c r="G712" i="3"/>
  <c r="Q711" i="3"/>
  <c r="P711" i="3"/>
  <c r="O711" i="3"/>
  <c r="N711" i="3"/>
  <c r="L711" i="3"/>
  <c r="K711" i="3"/>
  <c r="J711" i="3"/>
  <c r="I711" i="3"/>
  <c r="H711" i="3"/>
  <c r="G711" i="3"/>
  <c r="Q710" i="3"/>
  <c r="P710" i="3"/>
  <c r="O710" i="3"/>
  <c r="N710" i="3"/>
  <c r="L710" i="3"/>
  <c r="K710" i="3"/>
  <c r="J710" i="3"/>
  <c r="I710" i="3"/>
  <c r="H710" i="3"/>
  <c r="G710" i="3"/>
  <c r="Q709" i="3"/>
  <c r="P709" i="3"/>
  <c r="O709" i="3"/>
  <c r="N709" i="3"/>
  <c r="L709" i="3"/>
  <c r="K709" i="3"/>
  <c r="J709" i="3"/>
  <c r="I709" i="3"/>
  <c r="H709" i="3"/>
  <c r="G709" i="3"/>
  <c r="Q708" i="3"/>
  <c r="P708" i="3"/>
  <c r="O708" i="3"/>
  <c r="N708" i="3"/>
  <c r="L708" i="3"/>
  <c r="K708" i="3"/>
  <c r="J708" i="3"/>
  <c r="I708" i="3"/>
  <c r="H708" i="3"/>
  <c r="G708" i="3"/>
  <c r="Q707" i="3"/>
  <c r="P707" i="3"/>
  <c r="O707" i="3"/>
  <c r="N707" i="3"/>
  <c r="L707" i="3"/>
  <c r="K707" i="3"/>
  <c r="J707" i="3"/>
  <c r="I707" i="3"/>
  <c r="H707" i="3"/>
  <c r="G707" i="3"/>
  <c r="Q706" i="3"/>
  <c r="P706" i="3"/>
  <c r="O706" i="3"/>
  <c r="N706" i="3"/>
  <c r="L706" i="3"/>
  <c r="K706" i="3"/>
  <c r="J706" i="3"/>
  <c r="I706" i="3"/>
  <c r="H706" i="3"/>
  <c r="G706" i="3"/>
  <c r="Q705" i="3"/>
  <c r="P705" i="3"/>
  <c r="O705" i="3"/>
  <c r="N705" i="3"/>
  <c r="L705" i="3"/>
  <c r="K705" i="3"/>
  <c r="J705" i="3"/>
  <c r="I705" i="3"/>
  <c r="H705" i="3"/>
  <c r="G705" i="3"/>
  <c r="Q704" i="3"/>
  <c r="P704" i="3"/>
  <c r="O704" i="3"/>
  <c r="N704" i="3"/>
  <c r="L704" i="3"/>
  <c r="K704" i="3"/>
  <c r="J704" i="3"/>
  <c r="I704" i="3"/>
  <c r="H704" i="3"/>
  <c r="G704" i="3"/>
  <c r="Q703" i="3"/>
  <c r="P703" i="3"/>
  <c r="O703" i="3"/>
  <c r="N703" i="3"/>
  <c r="L703" i="3"/>
  <c r="K703" i="3"/>
  <c r="J703" i="3"/>
  <c r="I703" i="3"/>
  <c r="H703" i="3"/>
  <c r="G703" i="3"/>
  <c r="Q702" i="3"/>
  <c r="P702" i="3"/>
  <c r="O702" i="3"/>
  <c r="N702" i="3"/>
  <c r="L702" i="3"/>
  <c r="K702" i="3"/>
  <c r="J702" i="3"/>
  <c r="I702" i="3"/>
  <c r="H702" i="3"/>
  <c r="G702" i="3"/>
  <c r="Q701" i="3"/>
  <c r="P701" i="3"/>
  <c r="O701" i="3"/>
  <c r="N701" i="3"/>
  <c r="L701" i="3"/>
  <c r="K701" i="3"/>
  <c r="J701" i="3"/>
  <c r="I701" i="3"/>
  <c r="H701" i="3"/>
  <c r="G701" i="3"/>
  <c r="Q700" i="3"/>
  <c r="P700" i="3"/>
  <c r="O700" i="3"/>
  <c r="N700" i="3"/>
  <c r="L700" i="3"/>
  <c r="K700" i="3"/>
  <c r="J700" i="3"/>
  <c r="I700" i="3"/>
  <c r="H700" i="3"/>
  <c r="G700" i="3"/>
  <c r="Q699" i="3"/>
  <c r="P699" i="3"/>
  <c r="O699" i="3"/>
  <c r="N699" i="3"/>
  <c r="L699" i="3"/>
  <c r="K699" i="3"/>
  <c r="J699" i="3"/>
  <c r="I699" i="3"/>
  <c r="H699" i="3"/>
  <c r="G699" i="3"/>
  <c r="Q698" i="3"/>
  <c r="P698" i="3"/>
  <c r="O698" i="3"/>
  <c r="N698" i="3"/>
  <c r="L698" i="3"/>
  <c r="K698" i="3"/>
  <c r="J698" i="3"/>
  <c r="I698" i="3"/>
  <c r="H698" i="3"/>
  <c r="G698" i="3"/>
  <c r="Q697" i="3"/>
  <c r="P697" i="3"/>
  <c r="O697" i="3"/>
  <c r="N697" i="3"/>
  <c r="L697" i="3"/>
  <c r="K697" i="3"/>
  <c r="J697" i="3"/>
  <c r="I697" i="3"/>
  <c r="H697" i="3"/>
  <c r="G697" i="3"/>
  <c r="Q696" i="3"/>
  <c r="P696" i="3"/>
  <c r="O696" i="3"/>
  <c r="N696" i="3"/>
  <c r="L696" i="3"/>
  <c r="K696" i="3"/>
  <c r="J696" i="3"/>
  <c r="I696" i="3"/>
  <c r="H696" i="3"/>
  <c r="G696" i="3"/>
  <c r="Q695" i="3"/>
  <c r="P695" i="3"/>
  <c r="O695" i="3"/>
  <c r="N695" i="3"/>
  <c r="L695" i="3"/>
  <c r="K695" i="3"/>
  <c r="J695" i="3"/>
  <c r="I695" i="3"/>
  <c r="H695" i="3"/>
  <c r="G695" i="3"/>
  <c r="Q694" i="3"/>
  <c r="P694" i="3"/>
  <c r="O694" i="3"/>
  <c r="N694" i="3"/>
  <c r="L694" i="3"/>
  <c r="K694" i="3"/>
  <c r="J694" i="3"/>
  <c r="I694" i="3"/>
  <c r="H694" i="3"/>
  <c r="G694" i="3"/>
  <c r="Q693" i="3"/>
  <c r="P693" i="3"/>
  <c r="O693" i="3"/>
  <c r="N693" i="3"/>
  <c r="L693" i="3"/>
  <c r="K693" i="3"/>
  <c r="J693" i="3"/>
  <c r="I693" i="3"/>
  <c r="H693" i="3"/>
  <c r="G693" i="3"/>
  <c r="Q692" i="3"/>
  <c r="P692" i="3"/>
  <c r="O692" i="3"/>
  <c r="N692" i="3"/>
  <c r="L692" i="3"/>
  <c r="K692" i="3"/>
  <c r="J692" i="3"/>
  <c r="I692" i="3"/>
  <c r="H692" i="3"/>
  <c r="G692" i="3"/>
  <c r="Q691" i="3"/>
  <c r="P691" i="3"/>
  <c r="O691" i="3"/>
  <c r="N691" i="3"/>
  <c r="L691" i="3"/>
  <c r="K691" i="3"/>
  <c r="J691" i="3"/>
  <c r="I691" i="3"/>
  <c r="H691" i="3"/>
  <c r="G691" i="3"/>
  <c r="Q690" i="3"/>
  <c r="P690" i="3"/>
  <c r="O690" i="3"/>
  <c r="N690" i="3"/>
  <c r="L690" i="3"/>
  <c r="K690" i="3"/>
  <c r="J690" i="3"/>
  <c r="I690" i="3"/>
  <c r="H690" i="3"/>
  <c r="G690" i="3"/>
  <c r="Q689" i="3"/>
  <c r="P689" i="3"/>
  <c r="O689" i="3"/>
  <c r="N689" i="3"/>
  <c r="L689" i="3"/>
  <c r="K689" i="3"/>
  <c r="J689" i="3"/>
  <c r="I689" i="3"/>
  <c r="H689" i="3"/>
  <c r="G689" i="3"/>
  <c r="Q688" i="3"/>
  <c r="P688" i="3"/>
  <c r="O688" i="3"/>
  <c r="N688" i="3"/>
  <c r="L688" i="3"/>
  <c r="K688" i="3"/>
  <c r="J688" i="3"/>
  <c r="I688" i="3"/>
  <c r="H688" i="3"/>
  <c r="G688" i="3"/>
  <c r="Q687" i="3"/>
  <c r="P687" i="3"/>
  <c r="O687" i="3"/>
  <c r="N687" i="3"/>
  <c r="L687" i="3"/>
  <c r="K687" i="3"/>
  <c r="J687" i="3"/>
  <c r="I687" i="3"/>
  <c r="H687" i="3"/>
  <c r="G687" i="3"/>
  <c r="Q686" i="3"/>
  <c r="P686" i="3"/>
  <c r="O686" i="3"/>
  <c r="N686" i="3"/>
  <c r="L686" i="3"/>
  <c r="K686" i="3"/>
  <c r="J686" i="3"/>
  <c r="I686" i="3"/>
  <c r="H686" i="3"/>
  <c r="G686" i="3"/>
  <c r="Q685" i="3"/>
  <c r="P685" i="3"/>
  <c r="O685" i="3"/>
  <c r="N685" i="3"/>
  <c r="L685" i="3"/>
  <c r="K685" i="3"/>
  <c r="J685" i="3"/>
  <c r="I685" i="3"/>
  <c r="H685" i="3"/>
  <c r="G685" i="3"/>
  <c r="Q684" i="3"/>
  <c r="P684" i="3"/>
  <c r="O684" i="3"/>
  <c r="N684" i="3"/>
  <c r="L684" i="3"/>
  <c r="K684" i="3"/>
  <c r="J684" i="3"/>
  <c r="I684" i="3"/>
  <c r="H684" i="3"/>
  <c r="G684" i="3"/>
  <c r="Q683" i="3"/>
  <c r="P683" i="3"/>
  <c r="O683" i="3"/>
  <c r="N683" i="3"/>
  <c r="L683" i="3"/>
  <c r="K683" i="3"/>
  <c r="J683" i="3"/>
  <c r="I683" i="3"/>
  <c r="H683" i="3"/>
  <c r="G683" i="3"/>
  <c r="Q682" i="3"/>
  <c r="P682" i="3"/>
  <c r="O682" i="3"/>
  <c r="N682" i="3"/>
  <c r="L682" i="3"/>
  <c r="K682" i="3"/>
  <c r="J682" i="3"/>
  <c r="I682" i="3"/>
  <c r="H682" i="3"/>
  <c r="G682" i="3"/>
  <c r="Q681" i="3"/>
  <c r="P681" i="3"/>
  <c r="O681" i="3"/>
  <c r="N681" i="3"/>
  <c r="L681" i="3"/>
  <c r="K681" i="3"/>
  <c r="J681" i="3"/>
  <c r="I681" i="3"/>
  <c r="H681" i="3"/>
  <c r="G681" i="3"/>
  <c r="Q680" i="3"/>
  <c r="P680" i="3"/>
  <c r="O680" i="3"/>
  <c r="N680" i="3"/>
  <c r="L680" i="3"/>
  <c r="K680" i="3"/>
  <c r="J680" i="3"/>
  <c r="I680" i="3"/>
  <c r="H680" i="3"/>
  <c r="G680" i="3"/>
  <c r="Q679" i="3"/>
  <c r="P679" i="3"/>
  <c r="O679" i="3"/>
  <c r="N679" i="3"/>
  <c r="L679" i="3"/>
  <c r="K679" i="3"/>
  <c r="J679" i="3"/>
  <c r="I679" i="3"/>
  <c r="H679" i="3"/>
  <c r="G679" i="3"/>
  <c r="Q678" i="3"/>
  <c r="P678" i="3"/>
  <c r="O678" i="3"/>
  <c r="N678" i="3"/>
  <c r="L678" i="3"/>
  <c r="K678" i="3"/>
  <c r="J678" i="3"/>
  <c r="I678" i="3"/>
  <c r="H678" i="3"/>
  <c r="G678" i="3"/>
  <c r="Q677" i="3"/>
  <c r="P677" i="3"/>
  <c r="O677" i="3"/>
  <c r="N677" i="3"/>
  <c r="L677" i="3"/>
  <c r="K677" i="3"/>
  <c r="J677" i="3"/>
  <c r="I677" i="3"/>
  <c r="H677" i="3"/>
  <c r="G677" i="3"/>
  <c r="Q676" i="3"/>
  <c r="P676" i="3"/>
  <c r="O676" i="3"/>
  <c r="N676" i="3"/>
  <c r="L676" i="3"/>
  <c r="K676" i="3"/>
  <c r="J676" i="3"/>
  <c r="I676" i="3"/>
  <c r="H676" i="3"/>
  <c r="G676" i="3"/>
  <c r="Q675" i="3"/>
  <c r="P675" i="3"/>
  <c r="O675" i="3"/>
  <c r="N675" i="3"/>
  <c r="L675" i="3"/>
  <c r="K675" i="3"/>
  <c r="J675" i="3"/>
  <c r="I675" i="3"/>
  <c r="H675" i="3"/>
  <c r="G675" i="3"/>
  <c r="Q674" i="3"/>
  <c r="P674" i="3"/>
  <c r="O674" i="3"/>
  <c r="N674" i="3"/>
  <c r="L674" i="3"/>
  <c r="K674" i="3"/>
  <c r="J674" i="3"/>
  <c r="I674" i="3"/>
  <c r="H674" i="3"/>
  <c r="G674" i="3"/>
  <c r="Q673" i="3"/>
  <c r="P673" i="3"/>
  <c r="O673" i="3"/>
  <c r="N673" i="3"/>
  <c r="L673" i="3"/>
  <c r="K673" i="3"/>
  <c r="J673" i="3"/>
  <c r="I673" i="3"/>
  <c r="H673" i="3"/>
  <c r="G673" i="3"/>
  <c r="Q672" i="3"/>
  <c r="P672" i="3"/>
  <c r="O672" i="3"/>
  <c r="N672" i="3"/>
  <c r="L672" i="3"/>
  <c r="K672" i="3"/>
  <c r="J672" i="3"/>
  <c r="I672" i="3"/>
  <c r="H672" i="3"/>
  <c r="G672" i="3"/>
  <c r="Q671" i="3"/>
  <c r="P671" i="3"/>
  <c r="O671" i="3"/>
  <c r="N671" i="3"/>
  <c r="L671" i="3"/>
  <c r="K671" i="3"/>
  <c r="J671" i="3"/>
  <c r="I671" i="3"/>
  <c r="H671" i="3"/>
  <c r="G671" i="3"/>
  <c r="Q670" i="3"/>
  <c r="P670" i="3"/>
  <c r="O670" i="3"/>
  <c r="N670" i="3"/>
  <c r="L670" i="3"/>
  <c r="K670" i="3"/>
  <c r="J670" i="3"/>
  <c r="I670" i="3"/>
  <c r="H670" i="3"/>
  <c r="G670" i="3"/>
  <c r="Q669" i="3"/>
  <c r="P669" i="3"/>
  <c r="O669" i="3"/>
  <c r="N669" i="3"/>
  <c r="L669" i="3"/>
  <c r="K669" i="3"/>
  <c r="J669" i="3"/>
  <c r="I669" i="3"/>
  <c r="H669" i="3"/>
  <c r="G669" i="3"/>
  <c r="Q668" i="3"/>
  <c r="P668" i="3"/>
  <c r="O668" i="3"/>
  <c r="N668" i="3"/>
  <c r="L668" i="3"/>
  <c r="K668" i="3"/>
  <c r="J668" i="3"/>
  <c r="I668" i="3"/>
  <c r="H668" i="3"/>
  <c r="G668" i="3"/>
  <c r="Q667" i="3"/>
  <c r="P667" i="3"/>
  <c r="O667" i="3"/>
  <c r="N667" i="3"/>
  <c r="L667" i="3"/>
  <c r="K667" i="3"/>
  <c r="J667" i="3"/>
  <c r="I667" i="3"/>
  <c r="H667" i="3"/>
  <c r="G667" i="3"/>
  <c r="Q666" i="3"/>
  <c r="P666" i="3"/>
  <c r="O666" i="3"/>
  <c r="N666" i="3"/>
  <c r="L666" i="3"/>
  <c r="K666" i="3"/>
  <c r="J666" i="3"/>
  <c r="I666" i="3"/>
  <c r="H666" i="3"/>
  <c r="G666" i="3"/>
  <c r="Q665" i="3"/>
  <c r="P665" i="3"/>
  <c r="O665" i="3"/>
  <c r="N665" i="3"/>
  <c r="L665" i="3"/>
  <c r="K665" i="3"/>
  <c r="J665" i="3"/>
  <c r="I665" i="3"/>
  <c r="H665" i="3"/>
  <c r="G665" i="3"/>
  <c r="Q664" i="3"/>
  <c r="P664" i="3"/>
  <c r="O664" i="3"/>
  <c r="N664" i="3"/>
  <c r="L664" i="3"/>
  <c r="K664" i="3"/>
  <c r="J664" i="3"/>
  <c r="I664" i="3"/>
  <c r="H664" i="3"/>
  <c r="G664" i="3"/>
  <c r="Q663" i="3"/>
  <c r="P663" i="3"/>
  <c r="O663" i="3"/>
  <c r="N663" i="3"/>
  <c r="L663" i="3"/>
  <c r="K663" i="3"/>
  <c r="J663" i="3"/>
  <c r="I663" i="3"/>
  <c r="H663" i="3"/>
  <c r="G663" i="3"/>
  <c r="Q662" i="3"/>
  <c r="P662" i="3"/>
  <c r="O662" i="3"/>
  <c r="N662" i="3"/>
  <c r="L662" i="3"/>
  <c r="K662" i="3"/>
  <c r="J662" i="3"/>
  <c r="I662" i="3"/>
  <c r="H662" i="3"/>
  <c r="G662" i="3"/>
  <c r="Q661" i="3"/>
  <c r="P661" i="3"/>
  <c r="O661" i="3"/>
  <c r="N661" i="3"/>
  <c r="L661" i="3"/>
  <c r="K661" i="3"/>
  <c r="J661" i="3"/>
  <c r="I661" i="3"/>
  <c r="H661" i="3"/>
  <c r="G661" i="3"/>
  <c r="Q660" i="3"/>
  <c r="P660" i="3"/>
  <c r="O660" i="3"/>
  <c r="N660" i="3"/>
  <c r="L660" i="3"/>
  <c r="K660" i="3"/>
  <c r="J660" i="3"/>
  <c r="I660" i="3"/>
  <c r="H660" i="3"/>
  <c r="G660" i="3"/>
  <c r="Q659" i="3"/>
  <c r="P659" i="3"/>
  <c r="O659" i="3"/>
  <c r="N659" i="3"/>
  <c r="L659" i="3"/>
  <c r="K659" i="3"/>
  <c r="J659" i="3"/>
  <c r="I659" i="3"/>
  <c r="H659" i="3"/>
  <c r="G659" i="3"/>
  <c r="Q658" i="3"/>
  <c r="P658" i="3"/>
  <c r="O658" i="3"/>
  <c r="N658" i="3"/>
  <c r="L658" i="3"/>
  <c r="K658" i="3"/>
  <c r="J658" i="3"/>
  <c r="I658" i="3"/>
  <c r="H658" i="3"/>
  <c r="G658" i="3"/>
  <c r="Q657" i="3"/>
  <c r="P657" i="3"/>
  <c r="O657" i="3"/>
  <c r="N657" i="3"/>
  <c r="L657" i="3"/>
  <c r="K657" i="3"/>
  <c r="J657" i="3"/>
  <c r="I657" i="3"/>
  <c r="H657" i="3"/>
  <c r="G657" i="3"/>
  <c r="Q656" i="3"/>
  <c r="P656" i="3"/>
  <c r="O656" i="3"/>
  <c r="N656" i="3"/>
  <c r="L656" i="3"/>
  <c r="K656" i="3"/>
  <c r="J656" i="3"/>
  <c r="I656" i="3"/>
  <c r="H656" i="3"/>
  <c r="G656" i="3"/>
  <c r="Q655" i="3"/>
  <c r="P655" i="3"/>
  <c r="O655" i="3"/>
  <c r="N655" i="3"/>
  <c r="L655" i="3"/>
  <c r="K655" i="3"/>
  <c r="J655" i="3"/>
  <c r="I655" i="3"/>
  <c r="H655" i="3"/>
  <c r="G655" i="3"/>
  <c r="Q654" i="3"/>
  <c r="P654" i="3"/>
  <c r="O654" i="3"/>
  <c r="N654" i="3"/>
  <c r="L654" i="3"/>
  <c r="K654" i="3"/>
  <c r="J654" i="3"/>
  <c r="I654" i="3"/>
  <c r="H654" i="3"/>
  <c r="G654" i="3"/>
  <c r="Q653" i="3"/>
  <c r="P653" i="3"/>
  <c r="O653" i="3"/>
  <c r="N653" i="3"/>
  <c r="L653" i="3"/>
  <c r="K653" i="3"/>
  <c r="J653" i="3"/>
  <c r="I653" i="3"/>
  <c r="H653" i="3"/>
  <c r="G653" i="3"/>
  <c r="Q652" i="3"/>
  <c r="P652" i="3"/>
  <c r="O652" i="3"/>
  <c r="N652" i="3"/>
  <c r="L652" i="3"/>
  <c r="K652" i="3"/>
  <c r="J652" i="3"/>
  <c r="I652" i="3"/>
  <c r="H652" i="3"/>
  <c r="G652" i="3"/>
  <c r="Q651" i="3"/>
  <c r="P651" i="3"/>
  <c r="O651" i="3"/>
  <c r="N651" i="3"/>
  <c r="L651" i="3"/>
  <c r="K651" i="3"/>
  <c r="J651" i="3"/>
  <c r="I651" i="3"/>
  <c r="H651" i="3"/>
  <c r="G651" i="3"/>
  <c r="Q650" i="3"/>
  <c r="P650" i="3"/>
  <c r="O650" i="3"/>
  <c r="N650" i="3"/>
  <c r="L650" i="3"/>
  <c r="K650" i="3"/>
  <c r="J650" i="3"/>
  <c r="I650" i="3"/>
  <c r="H650" i="3"/>
  <c r="G650" i="3"/>
  <c r="Q649" i="3"/>
  <c r="P649" i="3"/>
  <c r="O649" i="3"/>
  <c r="N649" i="3"/>
  <c r="L649" i="3"/>
  <c r="K649" i="3"/>
  <c r="J649" i="3"/>
  <c r="I649" i="3"/>
  <c r="H649" i="3"/>
  <c r="G649" i="3"/>
  <c r="Q648" i="3"/>
  <c r="P648" i="3"/>
  <c r="O648" i="3"/>
  <c r="N648" i="3"/>
  <c r="L648" i="3"/>
  <c r="K648" i="3"/>
  <c r="J648" i="3"/>
  <c r="I648" i="3"/>
  <c r="H648" i="3"/>
  <c r="G648" i="3"/>
  <c r="Q647" i="3"/>
  <c r="P647" i="3"/>
  <c r="O647" i="3"/>
  <c r="N647" i="3"/>
  <c r="L647" i="3"/>
  <c r="K647" i="3"/>
  <c r="J647" i="3"/>
  <c r="I647" i="3"/>
  <c r="H647" i="3"/>
  <c r="G647" i="3"/>
  <c r="Q646" i="3"/>
  <c r="P646" i="3"/>
  <c r="O646" i="3"/>
  <c r="N646" i="3"/>
  <c r="L646" i="3"/>
  <c r="K646" i="3"/>
  <c r="J646" i="3"/>
  <c r="I646" i="3"/>
  <c r="H646" i="3"/>
  <c r="G646" i="3"/>
  <c r="Q645" i="3"/>
  <c r="P645" i="3"/>
  <c r="O645" i="3"/>
  <c r="N645" i="3"/>
  <c r="L645" i="3"/>
  <c r="K645" i="3"/>
  <c r="J645" i="3"/>
  <c r="I645" i="3"/>
  <c r="H645" i="3"/>
  <c r="G645" i="3"/>
  <c r="Q644" i="3"/>
  <c r="P644" i="3"/>
  <c r="O644" i="3"/>
  <c r="N644" i="3"/>
  <c r="L644" i="3"/>
  <c r="K644" i="3"/>
  <c r="J644" i="3"/>
  <c r="I644" i="3"/>
  <c r="H644" i="3"/>
  <c r="G644" i="3"/>
  <c r="Q643" i="3"/>
  <c r="P643" i="3"/>
  <c r="O643" i="3"/>
  <c r="N643" i="3"/>
  <c r="L643" i="3"/>
  <c r="K643" i="3"/>
  <c r="J643" i="3"/>
  <c r="I643" i="3"/>
  <c r="H643" i="3"/>
  <c r="G643" i="3"/>
  <c r="Q642" i="3"/>
  <c r="P642" i="3"/>
  <c r="O642" i="3"/>
  <c r="N642" i="3"/>
  <c r="L642" i="3"/>
  <c r="K642" i="3"/>
  <c r="J642" i="3"/>
  <c r="I642" i="3"/>
  <c r="H642" i="3"/>
  <c r="G642" i="3"/>
  <c r="Q641" i="3"/>
  <c r="P641" i="3"/>
  <c r="O641" i="3"/>
  <c r="N641" i="3"/>
  <c r="L641" i="3"/>
  <c r="K641" i="3"/>
  <c r="J641" i="3"/>
  <c r="I641" i="3"/>
  <c r="H641" i="3"/>
  <c r="G641" i="3"/>
  <c r="Q640" i="3"/>
  <c r="P640" i="3"/>
  <c r="O640" i="3"/>
  <c r="N640" i="3"/>
  <c r="L640" i="3"/>
  <c r="K640" i="3"/>
  <c r="J640" i="3"/>
  <c r="I640" i="3"/>
  <c r="H640" i="3"/>
  <c r="G640" i="3"/>
  <c r="Q639" i="3"/>
  <c r="P639" i="3"/>
  <c r="O639" i="3"/>
  <c r="N639" i="3"/>
  <c r="L639" i="3"/>
  <c r="K639" i="3"/>
  <c r="J639" i="3"/>
  <c r="I639" i="3"/>
  <c r="H639" i="3"/>
  <c r="G639" i="3"/>
  <c r="Q638" i="3"/>
  <c r="P638" i="3"/>
  <c r="O638" i="3"/>
  <c r="N638" i="3"/>
  <c r="L638" i="3"/>
  <c r="K638" i="3"/>
  <c r="J638" i="3"/>
  <c r="I638" i="3"/>
  <c r="H638" i="3"/>
  <c r="G638" i="3"/>
  <c r="Q637" i="3"/>
  <c r="P637" i="3"/>
  <c r="O637" i="3"/>
  <c r="N637" i="3"/>
  <c r="L637" i="3"/>
  <c r="K637" i="3"/>
  <c r="J637" i="3"/>
  <c r="I637" i="3"/>
  <c r="H637" i="3"/>
  <c r="G637" i="3"/>
  <c r="Q636" i="3"/>
  <c r="P636" i="3"/>
  <c r="O636" i="3"/>
  <c r="N636" i="3"/>
  <c r="L636" i="3"/>
  <c r="K636" i="3"/>
  <c r="J636" i="3"/>
  <c r="I636" i="3"/>
  <c r="H636" i="3"/>
  <c r="G636" i="3"/>
  <c r="Q635" i="3"/>
  <c r="P635" i="3"/>
  <c r="O635" i="3"/>
  <c r="N635" i="3"/>
  <c r="L635" i="3"/>
  <c r="K635" i="3"/>
  <c r="J635" i="3"/>
  <c r="I635" i="3"/>
  <c r="H635" i="3"/>
  <c r="G635" i="3"/>
  <c r="Q634" i="3"/>
  <c r="P634" i="3"/>
  <c r="O634" i="3"/>
  <c r="N634" i="3"/>
  <c r="L634" i="3"/>
  <c r="K634" i="3"/>
  <c r="J634" i="3"/>
  <c r="I634" i="3"/>
  <c r="H634" i="3"/>
  <c r="G634" i="3"/>
  <c r="Q633" i="3"/>
  <c r="P633" i="3"/>
  <c r="O633" i="3"/>
  <c r="N633" i="3"/>
  <c r="L633" i="3"/>
  <c r="K633" i="3"/>
  <c r="J633" i="3"/>
  <c r="I633" i="3"/>
  <c r="H633" i="3"/>
  <c r="G633" i="3"/>
  <c r="Q632" i="3"/>
  <c r="P632" i="3"/>
  <c r="O632" i="3"/>
  <c r="N632" i="3"/>
  <c r="L632" i="3"/>
  <c r="K632" i="3"/>
  <c r="J632" i="3"/>
  <c r="I632" i="3"/>
  <c r="H632" i="3"/>
  <c r="G632" i="3"/>
  <c r="Q631" i="3"/>
  <c r="P631" i="3"/>
  <c r="O631" i="3"/>
  <c r="N631" i="3"/>
  <c r="L631" i="3"/>
  <c r="K631" i="3"/>
  <c r="J631" i="3"/>
  <c r="I631" i="3"/>
  <c r="H631" i="3"/>
  <c r="G631" i="3"/>
  <c r="Q630" i="3"/>
  <c r="P630" i="3"/>
  <c r="O630" i="3"/>
  <c r="N630" i="3"/>
  <c r="L630" i="3"/>
  <c r="K630" i="3"/>
  <c r="J630" i="3"/>
  <c r="I630" i="3"/>
  <c r="H630" i="3"/>
  <c r="G630" i="3"/>
  <c r="Q629" i="3"/>
  <c r="P629" i="3"/>
  <c r="O629" i="3"/>
  <c r="N629" i="3"/>
  <c r="L629" i="3"/>
  <c r="K629" i="3"/>
  <c r="J629" i="3"/>
  <c r="I629" i="3"/>
  <c r="H629" i="3"/>
  <c r="G629" i="3"/>
  <c r="Q628" i="3"/>
  <c r="P628" i="3"/>
  <c r="O628" i="3"/>
  <c r="N628" i="3"/>
  <c r="L628" i="3"/>
  <c r="K628" i="3"/>
  <c r="J628" i="3"/>
  <c r="I628" i="3"/>
  <c r="H628" i="3"/>
  <c r="G628" i="3"/>
  <c r="Q627" i="3"/>
  <c r="P627" i="3"/>
  <c r="O627" i="3"/>
  <c r="N627" i="3"/>
  <c r="L627" i="3"/>
  <c r="K627" i="3"/>
  <c r="J627" i="3"/>
  <c r="I627" i="3"/>
  <c r="H627" i="3"/>
  <c r="G627" i="3"/>
  <c r="Q626" i="3"/>
  <c r="P626" i="3"/>
  <c r="O626" i="3"/>
  <c r="N626" i="3"/>
  <c r="L626" i="3"/>
  <c r="K626" i="3"/>
  <c r="J626" i="3"/>
  <c r="I626" i="3"/>
  <c r="H626" i="3"/>
  <c r="G626" i="3"/>
  <c r="Q625" i="3"/>
  <c r="P625" i="3"/>
  <c r="O625" i="3"/>
  <c r="N625" i="3"/>
  <c r="L625" i="3"/>
  <c r="K625" i="3"/>
  <c r="J625" i="3"/>
  <c r="I625" i="3"/>
  <c r="H625" i="3"/>
  <c r="G625" i="3"/>
  <c r="Q624" i="3"/>
  <c r="P624" i="3"/>
  <c r="O624" i="3"/>
  <c r="N624" i="3"/>
  <c r="L624" i="3"/>
  <c r="K624" i="3"/>
  <c r="J624" i="3"/>
  <c r="I624" i="3"/>
  <c r="H624" i="3"/>
  <c r="G624" i="3"/>
  <c r="Q623" i="3"/>
  <c r="P623" i="3"/>
  <c r="O623" i="3"/>
  <c r="N623" i="3"/>
  <c r="L623" i="3"/>
  <c r="K623" i="3"/>
  <c r="J623" i="3"/>
  <c r="I623" i="3"/>
  <c r="H623" i="3"/>
  <c r="G623" i="3"/>
  <c r="Q622" i="3"/>
  <c r="P622" i="3"/>
  <c r="O622" i="3"/>
  <c r="N622" i="3"/>
  <c r="L622" i="3"/>
  <c r="K622" i="3"/>
  <c r="J622" i="3"/>
  <c r="I622" i="3"/>
  <c r="H622" i="3"/>
  <c r="G622" i="3"/>
  <c r="Q621" i="3"/>
  <c r="P621" i="3"/>
  <c r="O621" i="3"/>
  <c r="N621" i="3"/>
  <c r="L621" i="3"/>
  <c r="K621" i="3"/>
  <c r="J621" i="3"/>
  <c r="I621" i="3"/>
  <c r="H621" i="3"/>
  <c r="G621" i="3"/>
  <c r="Q620" i="3"/>
  <c r="P620" i="3"/>
  <c r="O620" i="3"/>
  <c r="N620" i="3"/>
  <c r="L620" i="3"/>
  <c r="K620" i="3"/>
  <c r="J620" i="3"/>
  <c r="I620" i="3"/>
  <c r="H620" i="3"/>
  <c r="G620" i="3"/>
  <c r="Q619" i="3"/>
  <c r="P619" i="3"/>
  <c r="O619" i="3"/>
  <c r="N619" i="3"/>
  <c r="L619" i="3"/>
  <c r="K619" i="3"/>
  <c r="J619" i="3"/>
  <c r="I619" i="3"/>
  <c r="H619" i="3"/>
  <c r="G619" i="3"/>
  <c r="Q618" i="3"/>
  <c r="P618" i="3"/>
  <c r="O618" i="3"/>
  <c r="N618" i="3"/>
  <c r="L618" i="3"/>
  <c r="K618" i="3"/>
  <c r="J618" i="3"/>
  <c r="I618" i="3"/>
  <c r="H618" i="3"/>
  <c r="G618" i="3"/>
  <c r="Q617" i="3"/>
  <c r="P617" i="3"/>
  <c r="O617" i="3"/>
  <c r="N617" i="3"/>
  <c r="L617" i="3"/>
  <c r="K617" i="3"/>
  <c r="J617" i="3"/>
  <c r="I617" i="3"/>
  <c r="H617" i="3"/>
  <c r="G617" i="3"/>
  <c r="Q616" i="3"/>
  <c r="P616" i="3"/>
  <c r="O616" i="3"/>
  <c r="N616" i="3"/>
  <c r="L616" i="3"/>
  <c r="K616" i="3"/>
  <c r="J616" i="3"/>
  <c r="I616" i="3"/>
  <c r="H616" i="3"/>
  <c r="G616" i="3"/>
  <c r="Q615" i="3"/>
  <c r="P615" i="3"/>
  <c r="O615" i="3"/>
  <c r="N615" i="3"/>
  <c r="L615" i="3"/>
  <c r="K615" i="3"/>
  <c r="J615" i="3"/>
  <c r="I615" i="3"/>
  <c r="H615" i="3"/>
  <c r="G615" i="3"/>
  <c r="Q614" i="3"/>
  <c r="P614" i="3"/>
  <c r="O614" i="3"/>
  <c r="N614" i="3"/>
  <c r="L614" i="3"/>
  <c r="K614" i="3"/>
  <c r="J614" i="3"/>
  <c r="I614" i="3"/>
  <c r="H614" i="3"/>
  <c r="G614" i="3"/>
  <c r="Q613" i="3"/>
  <c r="P613" i="3"/>
  <c r="O613" i="3"/>
  <c r="N613" i="3"/>
  <c r="L613" i="3"/>
  <c r="K613" i="3"/>
  <c r="J613" i="3"/>
  <c r="I613" i="3"/>
  <c r="H613" i="3"/>
  <c r="G613" i="3"/>
  <c r="Q612" i="3"/>
  <c r="P612" i="3"/>
  <c r="O612" i="3"/>
  <c r="N612" i="3"/>
  <c r="L612" i="3"/>
  <c r="K612" i="3"/>
  <c r="J612" i="3"/>
  <c r="I612" i="3"/>
  <c r="H612" i="3"/>
  <c r="G612" i="3"/>
  <c r="Q611" i="3"/>
  <c r="P611" i="3"/>
  <c r="O611" i="3"/>
  <c r="N611" i="3"/>
  <c r="L611" i="3"/>
  <c r="K611" i="3"/>
  <c r="J611" i="3"/>
  <c r="I611" i="3"/>
  <c r="H611" i="3"/>
  <c r="G611" i="3"/>
  <c r="Q610" i="3"/>
  <c r="P610" i="3"/>
  <c r="O610" i="3"/>
  <c r="N610" i="3"/>
  <c r="L610" i="3"/>
  <c r="K610" i="3"/>
  <c r="J610" i="3"/>
  <c r="I610" i="3"/>
  <c r="H610" i="3"/>
  <c r="G610" i="3"/>
  <c r="Q609" i="3"/>
  <c r="P609" i="3"/>
  <c r="O609" i="3"/>
  <c r="N609" i="3"/>
  <c r="L609" i="3"/>
  <c r="K609" i="3"/>
  <c r="J609" i="3"/>
  <c r="I609" i="3"/>
  <c r="H609" i="3"/>
  <c r="G609" i="3"/>
  <c r="Q608" i="3"/>
  <c r="P608" i="3"/>
  <c r="O608" i="3"/>
  <c r="N608" i="3"/>
  <c r="L608" i="3"/>
  <c r="K608" i="3"/>
  <c r="J608" i="3"/>
  <c r="I608" i="3"/>
  <c r="H608" i="3"/>
  <c r="G608" i="3"/>
  <c r="Q607" i="3"/>
  <c r="P607" i="3"/>
  <c r="O607" i="3"/>
  <c r="N607" i="3"/>
  <c r="L607" i="3"/>
  <c r="K607" i="3"/>
  <c r="J607" i="3"/>
  <c r="I607" i="3"/>
  <c r="H607" i="3"/>
  <c r="G607" i="3"/>
  <c r="Q606" i="3"/>
  <c r="P606" i="3"/>
  <c r="O606" i="3"/>
  <c r="N606" i="3"/>
  <c r="L606" i="3"/>
  <c r="K606" i="3"/>
  <c r="J606" i="3"/>
  <c r="I606" i="3"/>
  <c r="H606" i="3"/>
  <c r="G606" i="3"/>
  <c r="Q605" i="3"/>
  <c r="P605" i="3"/>
  <c r="O605" i="3"/>
  <c r="N605" i="3"/>
  <c r="L605" i="3"/>
  <c r="K605" i="3"/>
  <c r="J605" i="3"/>
  <c r="I605" i="3"/>
  <c r="H605" i="3"/>
  <c r="G605" i="3"/>
  <c r="Q604" i="3"/>
  <c r="P604" i="3"/>
  <c r="O604" i="3"/>
  <c r="N604" i="3"/>
  <c r="L604" i="3"/>
  <c r="K604" i="3"/>
  <c r="J604" i="3"/>
  <c r="I604" i="3"/>
  <c r="H604" i="3"/>
  <c r="G604" i="3"/>
  <c r="Q603" i="3"/>
  <c r="P603" i="3"/>
  <c r="O603" i="3"/>
  <c r="N603" i="3"/>
  <c r="L603" i="3"/>
  <c r="K603" i="3"/>
  <c r="J603" i="3"/>
  <c r="I603" i="3"/>
  <c r="H603" i="3"/>
  <c r="G603" i="3"/>
  <c r="Q602" i="3"/>
  <c r="P602" i="3"/>
  <c r="O602" i="3"/>
  <c r="N602" i="3"/>
  <c r="L602" i="3"/>
  <c r="K602" i="3"/>
  <c r="J602" i="3"/>
  <c r="I602" i="3"/>
  <c r="H602" i="3"/>
  <c r="G602" i="3"/>
  <c r="Q601" i="3"/>
  <c r="P601" i="3"/>
  <c r="O601" i="3"/>
  <c r="N601" i="3"/>
  <c r="L601" i="3"/>
  <c r="K601" i="3"/>
  <c r="J601" i="3"/>
  <c r="I601" i="3"/>
  <c r="H601" i="3"/>
  <c r="G601" i="3"/>
  <c r="Q600" i="3"/>
  <c r="P600" i="3"/>
  <c r="O600" i="3"/>
  <c r="N600" i="3"/>
  <c r="L600" i="3"/>
  <c r="K600" i="3"/>
  <c r="J600" i="3"/>
  <c r="I600" i="3"/>
  <c r="H600" i="3"/>
  <c r="G600" i="3"/>
  <c r="Q599" i="3"/>
  <c r="P599" i="3"/>
  <c r="O599" i="3"/>
  <c r="N599" i="3"/>
  <c r="L599" i="3"/>
  <c r="K599" i="3"/>
  <c r="J599" i="3"/>
  <c r="I599" i="3"/>
  <c r="H599" i="3"/>
  <c r="G599" i="3"/>
  <c r="Q598" i="3"/>
  <c r="P598" i="3"/>
  <c r="O598" i="3"/>
  <c r="N598" i="3"/>
  <c r="L598" i="3"/>
  <c r="K598" i="3"/>
  <c r="J598" i="3"/>
  <c r="I598" i="3"/>
  <c r="H598" i="3"/>
  <c r="G598" i="3"/>
  <c r="Q597" i="3"/>
  <c r="P597" i="3"/>
  <c r="O597" i="3"/>
  <c r="N597" i="3"/>
  <c r="L597" i="3"/>
  <c r="K597" i="3"/>
  <c r="J597" i="3"/>
  <c r="I597" i="3"/>
  <c r="H597" i="3"/>
  <c r="G597" i="3"/>
  <c r="Q596" i="3"/>
  <c r="P596" i="3"/>
  <c r="O596" i="3"/>
  <c r="N596" i="3"/>
  <c r="L596" i="3"/>
  <c r="K596" i="3"/>
  <c r="J596" i="3"/>
  <c r="I596" i="3"/>
  <c r="H596" i="3"/>
  <c r="G596" i="3"/>
  <c r="Q595" i="3"/>
  <c r="P595" i="3"/>
  <c r="O595" i="3"/>
  <c r="N595" i="3"/>
  <c r="L595" i="3"/>
  <c r="K595" i="3"/>
  <c r="J595" i="3"/>
  <c r="I595" i="3"/>
  <c r="H595" i="3"/>
  <c r="G595" i="3"/>
  <c r="Q594" i="3"/>
  <c r="P594" i="3"/>
  <c r="O594" i="3"/>
  <c r="N594" i="3"/>
  <c r="L594" i="3"/>
  <c r="K594" i="3"/>
  <c r="J594" i="3"/>
  <c r="I594" i="3"/>
  <c r="H594" i="3"/>
  <c r="G594" i="3"/>
  <c r="Q593" i="3"/>
  <c r="P593" i="3"/>
  <c r="O593" i="3"/>
  <c r="N593" i="3"/>
  <c r="L593" i="3"/>
  <c r="K593" i="3"/>
  <c r="J593" i="3"/>
  <c r="I593" i="3"/>
  <c r="H593" i="3"/>
  <c r="G593" i="3"/>
  <c r="Q592" i="3"/>
  <c r="P592" i="3"/>
  <c r="O592" i="3"/>
  <c r="N592" i="3"/>
  <c r="L592" i="3"/>
  <c r="K592" i="3"/>
  <c r="J592" i="3"/>
  <c r="I592" i="3"/>
  <c r="H592" i="3"/>
  <c r="G592" i="3"/>
  <c r="Q591" i="3"/>
  <c r="P591" i="3"/>
  <c r="O591" i="3"/>
  <c r="N591" i="3"/>
  <c r="L591" i="3"/>
  <c r="K591" i="3"/>
  <c r="J591" i="3"/>
  <c r="I591" i="3"/>
  <c r="H591" i="3"/>
  <c r="G591" i="3"/>
  <c r="Q590" i="3"/>
  <c r="P590" i="3"/>
  <c r="O590" i="3"/>
  <c r="N590" i="3"/>
  <c r="L590" i="3"/>
  <c r="K590" i="3"/>
  <c r="J590" i="3"/>
  <c r="I590" i="3"/>
  <c r="H590" i="3"/>
  <c r="G590" i="3"/>
  <c r="Q589" i="3"/>
  <c r="P589" i="3"/>
  <c r="O589" i="3"/>
  <c r="N589" i="3"/>
  <c r="L589" i="3"/>
  <c r="K589" i="3"/>
  <c r="J589" i="3"/>
  <c r="I589" i="3"/>
  <c r="H589" i="3"/>
  <c r="G589" i="3"/>
  <c r="Q588" i="3"/>
  <c r="P588" i="3"/>
  <c r="O588" i="3"/>
  <c r="N588" i="3"/>
  <c r="L588" i="3"/>
  <c r="K588" i="3"/>
  <c r="J588" i="3"/>
  <c r="I588" i="3"/>
  <c r="H588" i="3"/>
  <c r="G588" i="3"/>
  <c r="Q587" i="3"/>
  <c r="P587" i="3"/>
  <c r="O587" i="3"/>
  <c r="N587" i="3"/>
  <c r="L587" i="3"/>
  <c r="K587" i="3"/>
  <c r="J587" i="3"/>
  <c r="I587" i="3"/>
  <c r="H587" i="3"/>
  <c r="G587" i="3"/>
  <c r="Q586" i="3"/>
  <c r="P586" i="3"/>
  <c r="O586" i="3"/>
  <c r="N586" i="3"/>
  <c r="L586" i="3"/>
  <c r="K586" i="3"/>
  <c r="J586" i="3"/>
  <c r="I586" i="3"/>
  <c r="H586" i="3"/>
  <c r="G586" i="3"/>
  <c r="Q585" i="3"/>
  <c r="P585" i="3"/>
  <c r="O585" i="3"/>
  <c r="N585" i="3"/>
  <c r="L585" i="3"/>
  <c r="K585" i="3"/>
  <c r="J585" i="3"/>
  <c r="I585" i="3"/>
  <c r="H585" i="3"/>
  <c r="G585" i="3"/>
  <c r="Q584" i="3"/>
  <c r="P584" i="3"/>
  <c r="O584" i="3"/>
  <c r="N584" i="3"/>
  <c r="L584" i="3"/>
  <c r="K584" i="3"/>
  <c r="J584" i="3"/>
  <c r="I584" i="3"/>
  <c r="H584" i="3"/>
  <c r="G584" i="3"/>
  <c r="Q583" i="3"/>
  <c r="P583" i="3"/>
  <c r="O583" i="3"/>
  <c r="N583" i="3"/>
  <c r="L583" i="3"/>
  <c r="K583" i="3"/>
  <c r="J583" i="3"/>
  <c r="I583" i="3"/>
  <c r="H583" i="3"/>
  <c r="G583" i="3"/>
  <c r="Q582" i="3"/>
  <c r="P582" i="3"/>
  <c r="O582" i="3"/>
  <c r="N582" i="3"/>
  <c r="L582" i="3"/>
  <c r="K582" i="3"/>
  <c r="J582" i="3"/>
  <c r="I582" i="3"/>
  <c r="H582" i="3"/>
  <c r="G582" i="3"/>
  <c r="Q581" i="3"/>
  <c r="P581" i="3"/>
  <c r="O581" i="3"/>
  <c r="N581" i="3"/>
  <c r="L581" i="3"/>
  <c r="K581" i="3"/>
  <c r="J581" i="3"/>
  <c r="I581" i="3"/>
  <c r="H581" i="3"/>
  <c r="G581" i="3"/>
  <c r="Q580" i="3"/>
  <c r="P580" i="3"/>
  <c r="O580" i="3"/>
  <c r="N580" i="3"/>
  <c r="L580" i="3"/>
  <c r="K580" i="3"/>
  <c r="J580" i="3"/>
  <c r="I580" i="3"/>
  <c r="H580" i="3"/>
  <c r="G580" i="3"/>
  <c r="Q579" i="3"/>
  <c r="P579" i="3"/>
  <c r="O579" i="3"/>
  <c r="N579" i="3"/>
  <c r="L579" i="3"/>
  <c r="K579" i="3"/>
  <c r="J579" i="3"/>
  <c r="I579" i="3"/>
  <c r="H579" i="3"/>
  <c r="G579" i="3"/>
  <c r="Q578" i="3"/>
  <c r="P578" i="3"/>
  <c r="O578" i="3"/>
  <c r="N578" i="3"/>
  <c r="L578" i="3"/>
  <c r="K578" i="3"/>
  <c r="J578" i="3"/>
  <c r="I578" i="3"/>
  <c r="H578" i="3"/>
  <c r="G578" i="3"/>
  <c r="Q577" i="3"/>
  <c r="P577" i="3"/>
  <c r="O577" i="3"/>
  <c r="N577" i="3"/>
  <c r="L577" i="3"/>
  <c r="K577" i="3"/>
  <c r="J577" i="3"/>
  <c r="I577" i="3"/>
  <c r="H577" i="3"/>
  <c r="G577" i="3"/>
  <c r="Q576" i="3"/>
  <c r="P576" i="3"/>
  <c r="O576" i="3"/>
  <c r="N576" i="3"/>
  <c r="L576" i="3"/>
  <c r="K576" i="3"/>
  <c r="J576" i="3"/>
  <c r="I576" i="3"/>
  <c r="H576" i="3"/>
  <c r="G576" i="3"/>
  <c r="Q575" i="3"/>
  <c r="P575" i="3"/>
  <c r="O575" i="3"/>
  <c r="N575" i="3"/>
  <c r="L575" i="3"/>
  <c r="K575" i="3"/>
  <c r="J575" i="3"/>
  <c r="I575" i="3"/>
  <c r="H575" i="3"/>
  <c r="G575" i="3"/>
  <c r="Q574" i="3"/>
  <c r="P574" i="3"/>
  <c r="O574" i="3"/>
  <c r="N574" i="3"/>
  <c r="L574" i="3"/>
  <c r="K574" i="3"/>
  <c r="J574" i="3"/>
  <c r="I574" i="3"/>
  <c r="H574" i="3"/>
  <c r="G574" i="3"/>
  <c r="Q573" i="3"/>
  <c r="P573" i="3"/>
  <c r="O573" i="3"/>
  <c r="N573" i="3"/>
  <c r="L573" i="3"/>
  <c r="K573" i="3"/>
  <c r="J573" i="3"/>
  <c r="I573" i="3"/>
  <c r="H573" i="3"/>
  <c r="G573" i="3"/>
  <c r="Q572" i="3"/>
  <c r="P572" i="3"/>
  <c r="O572" i="3"/>
  <c r="N572" i="3"/>
  <c r="L572" i="3"/>
  <c r="K572" i="3"/>
  <c r="J572" i="3"/>
  <c r="I572" i="3"/>
  <c r="H572" i="3"/>
  <c r="G572" i="3"/>
  <c r="Q571" i="3"/>
  <c r="P571" i="3"/>
  <c r="O571" i="3"/>
  <c r="N571" i="3"/>
  <c r="L571" i="3"/>
  <c r="K571" i="3"/>
  <c r="J571" i="3"/>
  <c r="I571" i="3"/>
  <c r="H571" i="3"/>
  <c r="G571" i="3"/>
  <c r="Q570" i="3"/>
  <c r="P570" i="3"/>
  <c r="O570" i="3"/>
  <c r="N570" i="3"/>
  <c r="L570" i="3"/>
  <c r="K570" i="3"/>
  <c r="J570" i="3"/>
  <c r="I570" i="3"/>
  <c r="H570" i="3"/>
  <c r="G570" i="3"/>
  <c r="Q569" i="3"/>
  <c r="P569" i="3"/>
  <c r="O569" i="3"/>
  <c r="N569" i="3"/>
  <c r="L569" i="3"/>
  <c r="K569" i="3"/>
  <c r="J569" i="3"/>
  <c r="I569" i="3"/>
  <c r="H569" i="3"/>
  <c r="G569" i="3"/>
  <c r="Q568" i="3"/>
  <c r="P568" i="3"/>
  <c r="O568" i="3"/>
  <c r="N568" i="3"/>
  <c r="L568" i="3"/>
  <c r="K568" i="3"/>
  <c r="J568" i="3"/>
  <c r="I568" i="3"/>
  <c r="H568" i="3"/>
  <c r="G568" i="3"/>
  <c r="Q567" i="3"/>
  <c r="P567" i="3"/>
  <c r="O567" i="3"/>
  <c r="N567" i="3"/>
  <c r="L567" i="3"/>
  <c r="K567" i="3"/>
  <c r="J567" i="3"/>
  <c r="I567" i="3"/>
  <c r="H567" i="3"/>
  <c r="G567" i="3"/>
  <c r="Q566" i="3"/>
  <c r="P566" i="3"/>
  <c r="O566" i="3"/>
  <c r="N566" i="3"/>
  <c r="L566" i="3"/>
  <c r="K566" i="3"/>
  <c r="J566" i="3"/>
  <c r="I566" i="3"/>
  <c r="H566" i="3"/>
  <c r="G566" i="3"/>
  <c r="Q565" i="3"/>
  <c r="P565" i="3"/>
  <c r="O565" i="3"/>
  <c r="N565" i="3"/>
  <c r="L565" i="3"/>
  <c r="K565" i="3"/>
  <c r="J565" i="3"/>
  <c r="I565" i="3"/>
  <c r="H565" i="3"/>
  <c r="G565" i="3"/>
  <c r="Q564" i="3"/>
  <c r="P564" i="3"/>
  <c r="O564" i="3"/>
  <c r="N564" i="3"/>
  <c r="L564" i="3"/>
  <c r="K564" i="3"/>
  <c r="J564" i="3"/>
  <c r="I564" i="3"/>
  <c r="H564" i="3"/>
  <c r="G564" i="3"/>
  <c r="Q563" i="3"/>
  <c r="P563" i="3"/>
  <c r="O563" i="3"/>
  <c r="N563" i="3"/>
  <c r="L563" i="3"/>
  <c r="K563" i="3"/>
  <c r="J563" i="3"/>
  <c r="I563" i="3"/>
  <c r="H563" i="3"/>
  <c r="G563" i="3"/>
  <c r="Q562" i="3"/>
  <c r="P562" i="3"/>
  <c r="O562" i="3"/>
  <c r="N562" i="3"/>
  <c r="L562" i="3"/>
  <c r="K562" i="3"/>
  <c r="J562" i="3"/>
  <c r="I562" i="3"/>
  <c r="H562" i="3"/>
  <c r="G562" i="3"/>
  <c r="Q561" i="3"/>
  <c r="P561" i="3"/>
  <c r="O561" i="3"/>
  <c r="N561" i="3"/>
  <c r="L561" i="3"/>
  <c r="K561" i="3"/>
  <c r="J561" i="3"/>
  <c r="I561" i="3"/>
  <c r="H561" i="3"/>
  <c r="G561" i="3"/>
  <c r="Q560" i="3"/>
  <c r="P560" i="3"/>
  <c r="O560" i="3"/>
  <c r="N560" i="3"/>
  <c r="L560" i="3"/>
  <c r="K560" i="3"/>
  <c r="J560" i="3"/>
  <c r="I560" i="3"/>
  <c r="H560" i="3"/>
  <c r="G560" i="3"/>
  <c r="Q559" i="3"/>
  <c r="P559" i="3"/>
  <c r="O559" i="3"/>
  <c r="N559" i="3"/>
  <c r="L559" i="3"/>
  <c r="K559" i="3"/>
  <c r="J559" i="3"/>
  <c r="I559" i="3"/>
  <c r="H559" i="3"/>
  <c r="G559" i="3"/>
  <c r="Q558" i="3"/>
  <c r="P558" i="3"/>
  <c r="O558" i="3"/>
  <c r="N558" i="3"/>
  <c r="L558" i="3"/>
  <c r="K558" i="3"/>
  <c r="J558" i="3"/>
  <c r="I558" i="3"/>
  <c r="H558" i="3"/>
  <c r="G558" i="3"/>
  <c r="Q557" i="3"/>
  <c r="P557" i="3"/>
  <c r="O557" i="3"/>
  <c r="N557" i="3"/>
  <c r="L557" i="3"/>
  <c r="K557" i="3"/>
  <c r="J557" i="3"/>
  <c r="I557" i="3"/>
  <c r="H557" i="3"/>
  <c r="G557" i="3"/>
  <c r="Q556" i="3"/>
  <c r="P556" i="3"/>
  <c r="O556" i="3"/>
  <c r="N556" i="3"/>
  <c r="L556" i="3"/>
  <c r="K556" i="3"/>
  <c r="J556" i="3"/>
  <c r="I556" i="3"/>
  <c r="H556" i="3"/>
  <c r="G556" i="3"/>
  <c r="Q555" i="3"/>
  <c r="P555" i="3"/>
  <c r="O555" i="3"/>
  <c r="N555" i="3"/>
  <c r="L555" i="3"/>
  <c r="K555" i="3"/>
  <c r="J555" i="3"/>
  <c r="I555" i="3"/>
  <c r="H555" i="3"/>
  <c r="G555" i="3"/>
  <c r="Q554" i="3"/>
  <c r="P554" i="3"/>
  <c r="O554" i="3"/>
  <c r="N554" i="3"/>
  <c r="L554" i="3"/>
  <c r="K554" i="3"/>
  <c r="J554" i="3"/>
  <c r="I554" i="3"/>
  <c r="H554" i="3"/>
  <c r="G554" i="3"/>
  <c r="Q553" i="3"/>
  <c r="P553" i="3"/>
  <c r="O553" i="3"/>
  <c r="N553" i="3"/>
  <c r="L553" i="3"/>
  <c r="K553" i="3"/>
  <c r="J553" i="3"/>
  <c r="I553" i="3"/>
  <c r="H553" i="3"/>
  <c r="G553" i="3"/>
  <c r="Q552" i="3"/>
  <c r="P552" i="3"/>
  <c r="O552" i="3"/>
  <c r="N552" i="3"/>
  <c r="L552" i="3"/>
  <c r="K552" i="3"/>
  <c r="J552" i="3"/>
  <c r="I552" i="3"/>
  <c r="H552" i="3"/>
  <c r="G552" i="3"/>
  <c r="Q551" i="3"/>
  <c r="P551" i="3"/>
  <c r="O551" i="3"/>
  <c r="N551" i="3"/>
  <c r="L551" i="3"/>
  <c r="K551" i="3"/>
  <c r="J551" i="3"/>
  <c r="I551" i="3"/>
  <c r="H551" i="3"/>
  <c r="G551" i="3"/>
  <c r="Q550" i="3"/>
  <c r="P550" i="3"/>
  <c r="O550" i="3"/>
  <c r="N550" i="3"/>
  <c r="L550" i="3"/>
  <c r="K550" i="3"/>
  <c r="J550" i="3"/>
  <c r="I550" i="3"/>
  <c r="H550" i="3"/>
  <c r="G550" i="3"/>
  <c r="Q549" i="3"/>
  <c r="P549" i="3"/>
  <c r="O549" i="3"/>
  <c r="N549" i="3"/>
  <c r="L549" i="3"/>
  <c r="K549" i="3"/>
  <c r="J549" i="3"/>
  <c r="I549" i="3"/>
  <c r="H549" i="3"/>
  <c r="G549" i="3"/>
  <c r="Q548" i="3"/>
  <c r="P548" i="3"/>
  <c r="O548" i="3"/>
  <c r="N548" i="3"/>
  <c r="L548" i="3"/>
  <c r="K548" i="3"/>
  <c r="J548" i="3"/>
  <c r="I548" i="3"/>
  <c r="H548" i="3"/>
  <c r="G548" i="3"/>
  <c r="Q547" i="3"/>
  <c r="P547" i="3"/>
  <c r="O547" i="3"/>
  <c r="N547" i="3"/>
  <c r="L547" i="3"/>
  <c r="K547" i="3"/>
  <c r="J547" i="3"/>
  <c r="I547" i="3"/>
  <c r="H547" i="3"/>
  <c r="G547" i="3"/>
  <c r="Q546" i="3"/>
  <c r="P546" i="3"/>
  <c r="O546" i="3"/>
  <c r="N546" i="3"/>
  <c r="L546" i="3"/>
  <c r="K546" i="3"/>
  <c r="J546" i="3"/>
  <c r="I546" i="3"/>
  <c r="H546" i="3"/>
  <c r="G546" i="3"/>
  <c r="Q545" i="3"/>
  <c r="P545" i="3"/>
  <c r="O545" i="3"/>
  <c r="N545" i="3"/>
  <c r="L545" i="3"/>
  <c r="K545" i="3"/>
  <c r="J545" i="3"/>
  <c r="I545" i="3"/>
  <c r="H545" i="3"/>
  <c r="G545" i="3"/>
  <c r="Q544" i="3"/>
  <c r="P544" i="3"/>
  <c r="O544" i="3"/>
  <c r="N544" i="3"/>
  <c r="L544" i="3"/>
  <c r="K544" i="3"/>
  <c r="J544" i="3"/>
  <c r="I544" i="3"/>
  <c r="H544" i="3"/>
  <c r="G544" i="3"/>
  <c r="Q543" i="3"/>
  <c r="P543" i="3"/>
  <c r="O543" i="3"/>
  <c r="N543" i="3"/>
  <c r="L543" i="3"/>
  <c r="K543" i="3"/>
  <c r="J543" i="3"/>
  <c r="I543" i="3"/>
  <c r="H543" i="3"/>
  <c r="G543" i="3"/>
  <c r="Q542" i="3"/>
  <c r="P542" i="3"/>
  <c r="O542" i="3"/>
  <c r="N542" i="3"/>
  <c r="L542" i="3"/>
  <c r="K542" i="3"/>
  <c r="J542" i="3"/>
  <c r="I542" i="3"/>
  <c r="H542" i="3"/>
  <c r="G542" i="3"/>
  <c r="Q541" i="3"/>
  <c r="P541" i="3"/>
  <c r="O541" i="3"/>
  <c r="N541" i="3"/>
  <c r="L541" i="3"/>
  <c r="K541" i="3"/>
  <c r="J541" i="3"/>
  <c r="I541" i="3"/>
  <c r="H541" i="3"/>
  <c r="G541" i="3"/>
  <c r="Q540" i="3"/>
  <c r="P540" i="3"/>
  <c r="O540" i="3"/>
  <c r="N540" i="3"/>
  <c r="L540" i="3"/>
  <c r="K540" i="3"/>
  <c r="J540" i="3"/>
  <c r="I540" i="3"/>
  <c r="H540" i="3"/>
  <c r="G540" i="3"/>
  <c r="Q539" i="3"/>
  <c r="P539" i="3"/>
  <c r="O539" i="3"/>
  <c r="N539" i="3"/>
  <c r="L539" i="3"/>
  <c r="K539" i="3"/>
  <c r="J539" i="3"/>
  <c r="I539" i="3"/>
  <c r="H539" i="3"/>
  <c r="G539" i="3"/>
  <c r="Q538" i="3"/>
  <c r="P538" i="3"/>
  <c r="O538" i="3"/>
  <c r="N538" i="3"/>
  <c r="L538" i="3"/>
  <c r="K538" i="3"/>
  <c r="J538" i="3"/>
  <c r="I538" i="3"/>
  <c r="H538" i="3"/>
  <c r="G538" i="3"/>
  <c r="Q537" i="3"/>
  <c r="P537" i="3"/>
  <c r="O537" i="3"/>
  <c r="N537" i="3"/>
  <c r="L537" i="3"/>
  <c r="K537" i="3"/>
  <c r="J537" i="3"/>
  <c r="I537" i="3"/>
  <c r="H537" i="3"/>
  <c r="G537" i="3"/>
  <c r="Q536" i="3"/>
  <c r="P536" i="3"/>
  <c r="O536" i="3"/>
  <c r="N536" i="3"/>
  <c r="L536" i="3"/>
  <c r="K536" i="3"/>
  <c r="J536" i="3"/>
  <c r="I536" i="3"/>
  <c r="H536" i="3"/>
  <c r="G536" i="3"/>
  <c r="Q535" i="3"/>
  <c r="P535" i="3"/>
  <c r="O535" i="3"/>
  <c r="N535" i="3"/>
  <c r="L535" i="3"/>
  <c r="K535" i="3"/>
  <c r="J535" i="3"/>
  <c r="I535" i="3"/>
  <c r="H535" i="3"/>
  <c r="G535" i="3"/>
  <c r="Q534" i="3"/>
  <c r="P534" i="3"/>
  <c r="O534" i="3"/>
  <c r="N534" i="3"/>
  <c r="L534" i="3"/>
  <c r="K534" i="3"/>
  <c r="J534" i="3"/>
  <c r="I534" i="3"/>
  <c r="H534" i="3"/>
  <c r="G534" i="3"/>
  <c r="Q533" i="3"/>
  <c r="P533" i="3"/>
  <c r="O533" i="3"/>
  <c r="N533" i="3"/>
  <c r="L533" i="3"/>
  <c r="K533" i="3"/>
  <c r="J533" i="3"/>
  <c r="I533" i="3"/>
  <c r="H533" i="3"/>
  <c r="G533" i="3"/>
  <c r="Q532" i="3"/>
  <c r="P532" i="3"/>
  <c r="O532" i="3"/>
  <c r="N532" i="3"/>
  <c r="L532" i="3"/>
  <c r="K532" i="3"/>
  <c r="J532" i="3"/>
  <c r="I532" i="3"/>
  <c r="H532" i="3"/>
  <c r="G532" i="3"/>
  <c r="Q531" i="3"/>
  <c r="P531" i="3"/>
  <c r="O531" i="3"/>
  <c r="N531" i="3"/>
  <c r="L531" i="3"/>
  <c r="K531" i="3"/>
  <c r="J531" i="3"/>
  <c r="I531" i="3"/>
  <c r="H531" i="3"/>
  <c r="G531" i="3"/>
  <c r="Q530" i="3"/>
  <c r="P530" i="3"/>
  <c r="O530" i="3"/>
  <c r="N530" i="3"/>
  <c r="L530" i="3"/>
  <c r="K530" i="3"/>
  <c r="J530" i="3"/>
  <c r="I530" i="3"/>
  <c r="H530" i="3"/>
  <c r="G530" i="3"/>
  <c r="Q529" i="3"/>
  <c r="P529" i="3"/>
  <c r="O529" i="3"/>
  <c r="N529" i="3"/>
  <c r="L529" i="3"/>
  <c r="K529" i="3"/>
  <c r="J529" i="3"/>
  <c r="I529" i="3"/>
  <c r="H529" i="3"/>
  <c r="G529" i="3"/>
  <c r="Q528" i="3"/>
  <c r="P528" i="3"/>
  <c r="O528" i="3"/>
  <c r="N528" i="3"/>
  <c r="L528" i="3"/>
  <c r="K528" i="3"/>
  <c r="J528" i="3"/>
  <c r="I528" i="3"/>
  <c r="H528" i="3"/>
  <c r="G528" i="3"/>
  <c r="Q527" i="3"/>
  <c r="P527" i="3"/>
  <c r="O527" i="3"/>
  <c r="N527" i="3"/>
  <c r="L527" i="3"/>
  <c r="K527" i="3"/>
  <c r="J527" i="3"/>
  <c r="I527" i="3"/>
  <c r="H527" i="3"/>
  <c r="G527" i="3"/>
  <c r="Q526" i="3"/>
  <c r="P526" i="3"/>
  <c r="O526" i="3"/>
  <c r="N526" i="3"/>
  <c r="L526" i="3"/>
  <c r="K526" i="3"/>
  <c r="J526" i="3"/>
  <c r="I526" i="3"/>
  <c r="H526" i="3"/>
  <c r="G526" i="3"/>
  <c r="Q525" i="3"/>
  <c r="P525" i="3"/>
  <c r="O525" i="3"/>
  <c r="N525" i="3"/>
  <c r="L525" i="3"/>
  <c r="K525" i="3"/>
  <c r="J525" i="3"/>
  <c r="I525" i="3"/>
  <c r="H525" i="3"/>
  <c r="G525" i="3"/>
  <c r="Q524" i="3"/>
  <c r="P524" i="3"/>
  <c r="O524" i="3"/>
  <c r="N524" i="3"/>
  <c r="L524" i="3"/>
  <c r="K524" i="3"/>
  <c r="J524" i="3"/>
  <c r="I524" i="3"/>
  <c r="H524" i="3"/>
  <c r="G524" i="3"/>
  <c r="Q523" i="3"/>
  <c r="P523" i="3"/>
  <c r="O523" i="3"/>
  <c r="N523" i="3"/>
  <c r="L523" i="3"/>
  <c r="K523" i="3"/>
  <c r="J523" i="3"/>
  <c r="I523" i="3"/>
  <c r="H523" i="3"/>
  <c r="G523" i="3"/>
  <c r="Q522" i="3"/>
  <c r="P522" i="3"/>
  <c r="O522" i="3"/>
  <c r="N522" i="3"/>
  <c r="L522" i="3"/>
  <c r="K522" i="3"/>
  <c r="J522" i="3"/>
  <c r="I522" i="3"/>
  <c r="H522" i="3"/>
  <c r="G522" i="3"/>
  <c r="Q521" i="3"/>
  <c r="P521" i="3"/>
  <c r="O521" i="3"/>
  <c r="N521" i="3"/>
  <c r="L521" i="3"/>
  <c r="K521" i="3"/>
  <c r="J521" i="3"/>
  <c r="I521" i="3"/>
  <c r="H521" i="3"/>
  <c r="G521" i="3"/>
  <c r="Q520" i="3"/>
  <c r="P520" i="3"/>
  <c r="O520" i="3"/>
  <c r="N520" i="3"/>
  <c r="L520" i="3"/>
  <c r="K520" i="3"/>
  <c r="J520" i="3"/>
  <c r="I520" i="3"/>
  <c r="H520" i="3"/>
  <c r="G520" i="3"/>
  <c r="Q519" i="3"/>
  <c r="P519" i="3"/>
  <c r="O519" i="3"/>
  <c r="N519" i="3"/>
  <c r="L519" i="3"/>
  <c r="K519" i="3"/>
  <c r="J519" i="3"/>
  <c r="I519" i="3"/>
  <c r="H519" i="3"/>
  <c r="G519" i="3"/>
  <c r="Q518" i="3"/>
  <c r="P518" i="3"/>
  <c r="O518" i="3"/>
  <c r="N518" i="3"/>
  <c r="L518" i="3"/>
  <c r="K518" i="3"/>
  <c r="J518" i="3"/>
  <c r="I518" i="3"/>
  <c r="H518" i="3"/>
  <c r="G518" i="3"/>
  <c r="Q517" i="3"/>
  <c r="P517" i="3"/>
  <c r="O517" i="3"/>
  <c r="N517" i="3"/>
  <c r="L517" i="3"/>
  <c r="K517" i="3"/>
  <c r="J517" i="3"/>
  <c r="I517" i="3"/>
  <c r="H517" i="3"/>
  <c r="G517" i="3"/>
  <c r="Q516" i="3"/>
  <c r="P516" i="3"/>
  <c r="O516" i="3"/>
  <c r="N516" i="3"/>
  <c r="L516" i="3"/>
  <c r="K516" i="3"/>
  <c r="J516" i="3"/>
  <c r="I516" i="3"/>
  <c r="H516" i="3"/>
  <c r="G516" i="3"/>
  <c r="Q515" i="3"/>
  <c r="P515" i="3"/>
  <c r="O515" i="3"/>
  <c r="N515" i="3"/>
  <c r="L515" i="3"/>
  <c r="K515" i="3"/>
  <c r="J515" i="3"/>
  <c r="I515" i="3"/>
  <c r="H515" i="3"/>
  <c r="G515" i="3"/>
  <c r="Q514" i="3"/>
  <c r="P514" i="3"/>
  <c r="O514" i="3"/>
  <c r="N514" i="3"/>
  <c r="L514" i="3"/>
  <c r="K514" i="3"/>
  <c r="J514" i="3"/>
  <c r="I514" i="3"/>
  <c r="H514" i="3"/>
  <c r="G514" i="3"/>
  <c r="Q513" i="3"/>
  <c r="P513" i="3"/>
  <c r="O513" i="3"/>
  <c r="N513" i="3"/>
  <c r="L513" i="3"/>
  <c r="K513" i="3"/>
  <c r="J513" i="3"/>
  <c r="I513" i="3"/>
  <c r="H513" i="3"/>
  <c r="G513" i="3"/>
  <c r="Q512" i="3"/>
  <c r="P512" i="3"/>
  <c r="O512" i="3"/>
  <c r="N512" i="3"/>
  <c r="L512" i="3"/>
  <c r="K512" i="3"/>
  <c r="J512" i="3"/>
  <c r="I512" i="3"/>
  <c r="H512" i="3"/>
  <c r="G512" i="3"/>
  <c r="Q511" i="3"/>
  <c r="P511" i="3"/>
  <c r="O511" i="3"/>
  <c r="N511" i="3"/>
  <c r="L511" i="3"/>
  <c r="K511" i="3"/>
  <c r="J511" i="3"/>
  <c r="I511" i="3"/>
  <c r="H511" i="3"/>
  <c r="G511" i="3"/>
  <c r="Q510" i="3"/>
  <c r="P510" i="3"/>
  <c r="O510" i="3"/>
  <c r="N510" i="3"/>
  <c r="L510" i="3"/>
  <c r="K510" i="3"/>
  <c r="J510" i="3"/>
  <c r="I510" i="3"/>
  <c r="H510" i="3"/>
  <c r="G510" i="3"/>
  <c r="Q509" i="3"/>
  <c r="P509" i="3"/>
  <c r="O509" i="3"/>
  <c r="N509" i="3"/>
  <c r="L509" i="3"/>
  <c r="K509" i="3"/>
  <c r="J509" i="3"/>
  <c r="I509" i="3"/>
  <c r="H509" i="3"/>
  <c r="G509" i="3"/>
  <c r="Q508" i="3"/>
  <c r="P508" i="3"/>
  <c r="O508" i="3"/>
  <c r="N508" i="3"/>
  <c r="L508" i="3"/>
  <c r="K508" i="3"/>
  <c r="J508" i="3"/>
  <c r="I508" i="3"/>
  <c r="H508" i="3"/>
  <c r="G508" i="3"/>
  <c r="Q507" i="3"/>
  <c r="P507" i="3"/>
  <c r="O507" i="3"/>
  <c r="N507" i="3"/>
  <c r="L507" i="3"/>
  <c r="K507" i="3"/>
  <c r="J507" i="3"/>
  <c r="I507" i="3"/>
  <c r="H507" i="3"/>
  <c r="G507" i="3"/>
  <c r="Q506" i="3"/>
  <c r="P506" i="3"/>
  <c r="O506" i="3"/>
  <c r="N506" i="3"/>
  <c r="L506" i="3"/>
  <c r="K506" i="3"/>
  <c r="J506" i="3"/>
  <c r="I506" i="3"/>
  <c r="H506" i="3"/>
  <c r="G506" i="3"/>
  <c r="Q505" i="3"/>
  <c r="P505" i="3"/>
  <c r="O505" i="3"/>
  <c r="N505" i="3"/>
  <c r="L505" i="3"/>
  <c r="K505" i="3"/>
  <c r="J505" i="3"/>
  <c r="I505" i="3"/>
  <c r="H505" i="3"/>
  <c r="G505" i="3"/>
  <c r="Q504" i="3"/>
  <c r="P504" i="3"/>
  <c r="O504" i="3"/>
  <c r="N504" i="3"/>
  <c r="L504" i="3"/>
  <c r="K504" i="3"/>
  <c r="J504" i="3"/>
  <c r="I504" i="3"/>
  <c r="H504" i="3"/>
  <c r="G504" i="3"/>
  <c r="Q503" i="3"/>
  <c r="P503" i="3"/>
  <c r="O503" i="3"/>
  <c r="N503" i="3"/>
  <c r="L503" i="3"/>
  <c r="K503" i="3"/>
  <c r="J503" i="3"/>
  <c r="I503" i="3"/>
  <c r="H503" i="3"/>
  <c r="G503" i="3"/>
  <c r="Q502" i="3"/>
  <c r="P502" i="3"/>
  <c r="O502" i="3"/>
  <c r="N502" i="3"/>
  <c r="L502" i="3"/>
  <c r="K502" i="3"/>
  <c r="J502" i="3"/>
  <c r="I502" i="3"/>
  <c r="H502" i="3"/>
  <c r="G502" i="3"/>
  <c r="Q501" i="3"/>
  <c r="P501" i="3"/>
  <c r="O501" i="3"/>
  <c r="N501" i="3"/>
  <c r="L501" i="3"/>
  <c r="K501" i="3"/>
  <c r="J501" i="3"/>
  <c r="I501" i="3"/>
  <c r="H501" i="3"/>
  <c r="G501" i="3"/>
  <c r="Q500" i="3"/>
  <c r="P500" i="3"/>
  <c r="O500" i="3"/>
  <c r="N500" i="3"/>
  <c r="L500" i="3"/>
  <c r="K500" i="3"/>
  <c r="J500" i="3"/>
  <c r="I500" i="3"/>
  <c r="H500" i="3"/>
  <c r="G500" i="3"/>
  <c r="Q499" i="3"/>
  <c r="P499" i="3"/>
  <c r="O499" i="3"/>
  <c r="N499" i="3"/>
  <c r="L499" i="3"/>
  <c r="K499" i="3"/>
  <c r="J499" i="3"/>
  <c r="I499" i="3"/>
  <c r="H499" i="3"/>
  <c r="G499" i="3"/>
  <c r="Q498" i="3"/>
  <c r="P498" i="3"/>
  <c r="O498" i="3"/>
  <c r="N498" i="3"/>
  <c r="L498" i="3"/>
  <c r="K498" i="3"/>
  <c r="J498" i="3"/>
  <c r="I498" i="3"/>
  <c r="H498" i="3"/>
  <c r="G498" i="3"/>
  <c r="Q497" i="3"/>
  <c r="P497" i="3"/>
  <c r="O497" i="3"/>
  <c r="N497" i="3"/>
  <c r="L497" i="3"/>
  <c r="K497" i="3"/>
  <c r="J497" i="3"/>
  <c r="I497" i="3"/>
  <c r="H497" i="3"/>
  <c r="G497" i="3"/>
  <c r="Q496" i="3"/>
  <c r="P496" i="3"/>
  <c r="O496" i="3"/>
  <c r="N496" i="3"/>
  <c r="L496" i="3"/>
  <c r="K496" i="3"/>
  <c r="J496" i="3"/>
  <c r="I496" i="3"/>
  <c r="H496" i="3"/>
  <c r="G496" i="3"/>
  <c r="Q495" i="3"/>
  <c r="P495" i="3"/>
  <c r="O495" i="3"/>
  <c r="N495" i="3"/>
  <c r="L495" i="3"/>
  <c r="K495" i="3"/>
  <c r="J495" i="3"/>
  <c r="I495" i="3"/>
  <c r="H495" i="3"/>
  <c r="G495" i="3"/>
  <c r="Q494" i="3"/>
  <c r="P494" i="3"/>
  <c r="O494" i="3"/>
  <c r="N494" i="3"/>
  <c r="L494" i="3"/>
  <c r="K494" i="3"/>
  <c r="J494" i="3"/>
  <c r="I494" i="3"/>
  <c r="H494" i="3"/>
  <c r="G494" i="3"/>
  <c r="Q493" i="3"/>
  <c r="P493" i="3"/>
  <c r="O493" i="3"/>
  <c r="N493" i="3"/>
  <c r="L493" i="3"/>
  <c r="K493" i="3"/>
  <c r="J493" i="3"/>
  <c r="I493" i="3"/>
  <c r="H493" i="3"/>
  <c r="G493" i="3"/>
  <c r="Q492" i="3"/>
  <c r="P492" i="3"/>
  <c r="O492" i="3"/>
  <c r="N492" i="3"/>
  <c r="L492" i="3"/>
  <c r="K492" i="3"/>
  <c r="J492" i="3"/>
  <c r="I492" i="3"/>
  <c r="H492" i="3"/>
  <c r="G492" i="3"/>
  <c r="Q491" i="3"/>
  <c r="P491" i="3"/>
  <c r="O491" i="3"/>
  <c r="N491" i="3"/>
  <c r="L491" i="3"/>
  <c r="K491" i="3"/>
  <c r="J491" i="3"/>
  <c r="I491" i="3"/>
  <c r="H491" i="3"/>
  <c r="G491" i="3"/>
  <c r="Q490" i="3"/>
  <c r="P490" i="3"/>
  <c r="O490" i="3"/>
  <c r="N490" i="3"/>
  <c r="L490" i="3"/>
  <c r="K490" i="3"/>
  <c r="J490" i="3"/>
  <c r="I490" i="3"/>
  <c r="H490" i="3"/>
  <c r="G490" i="3"/>
  <c r="Q489" i="3"/>
  <c r="P489" i="3"/>
  <c r="O489" i="3"/>
  <c r="N489" i="3"/>
  <c r="L489" i="3"/>
  <c r="K489" i="3"/>
  <c r="J489" i="3"/>
  <c r="I489" i="3"/>
  <c r="H489" i="3"/>
  <c r="G489" i="3"/>
  <c r="Q488" i="3"/>
  <c r="P488" i="3"/>
  <c r="O488" i="3"/>
  <c r="N488" i="3"/>
  <c r="L488" i="3"/>
  <c r="K488" i="3"/>
  <c r="J488" i="3"/>
  <c r="I488" i="3"/>
  <c r="H488" i="3"/>
  <c r="G488" i="3"/>
  <c r="Q487" i="3"/>
  <c r="P487" i="3"/>
  <c r="O487" i="3"/>
  <c r="N487" i="3"/>
  <c r="L487" i="3"/>
  <c r="K487" i="3"/>
  <c r="J487" i="3"/>
  <c r="I487" i="3"/>
  <c r="H487" i="3"/>
  <c r="G487" i="3"/>
  <c r="Q486" i="3"/>
  <c r="P486" i="3"/>
  <c r="O486" i="3"/>
  <c r="N486" i="3"/>
  <c r="L486" i="3"/>
  <c r="K486" i="3"/>
  <c r="J486" i="3"/>
  <c r="I486" i="3"/>
  <c r="H486" i="3"/>
  <c r="G486" i="3"/>
  <c r="Q485" i="3"/>
  <c r="P485" i="3"/>
  <c r="O485" i="3"/>
  <c r="N485" i="3"/>
  <c r="L485" i="3"/>
  <c r="K485" i="3"/>
  <c r="J485" i="3"/>
  <c r="I485" i="3"/>
  <c r="H485" i="3"/>
  <c r="G485" i="3"/>
  <c r="Q484" i="3"/>
  <c r="P484" i="3"/>
  <c r="O484" i="3"/>
  <c r="N484" i="3"/>
  <c r="L484" i="3"/>
  <c r="K484" i="3"/>
  <c r="J484" i="3"/>
  <c r="I484" i="3"/>
  <c r="H484" i="3"/>
  <c r="G484" i="3"/>
  <c r="Q483" i="3"/>
  <c r="P483" i="3"/>
  <c r="O483" i="3"/>
  <c r="N483" i="3"/>
  <c r="L483" i="3"/>
  <c r="K483" i="3"/>
  <c r="J483" i="3"/>
  <c r="I483" i="3"/>
  <c r="H483" i="3"/>
  <c r="G483" i="3"/>
  <c r="Q482" i="3"/>
  <c r="P482" i="3"/>
  <c r="O482" i="3"/>
  <c r="N482" i="3"/>
  <c r="L482" i="3"/>
  <c r="K482" i="3"/>
  <c r="J482" i="3"/>
  <c r="I482" i="3"/>
  <c r="H482" i="3"/>
  <c r="G482" i="3"/>
  <c r="Q481" i="3"/>
  <c r="P481" i="3"/>
  <c r="O481" i="3"/>
  <c r="N481" i="3"/>
  <c r="L481" i="3"/>
  <c r="K481" i="3"/>
  <c r="J481" i="3"/>
  <c r="I481" i="3"/>
  <c r="H481" i="3"/>
  <c r="G481" i="3"/>
  <c r="Q480" i="3"/>
  <c r="P480" i="3"/>
  <c r="O480" i="3"/>
  <c r="N480" i="3"/>
  <c r="L480" i="3"/>
  <c r="K480" i="3"/>
  <c r="J480" i="3"/>
  <c r="I480" i="3"/>
  <c r="H480" i="3"/>
  <c r="G480" i="3"/>
  <c r="Q479" i="3"/>
  <c r="P479" i="3"/>
  <c r="O479" i="3"/>
  <c r="N479" i="3"/>
  <c r="L479" i="3"/>
  <c r="K479" i="3"/>
  <c r="J479" i="3"/>
  <c r="I479" i="3"/>
  <c r="H479" i="3"/>
  <c r="G479" i="3"/>
  <c r="Q478" i="3"/>
  <c r="P478" i="3"/>
  <c r="O478" i="3"/>
  <c r="N478" i="3"/>
  <c r="L478" i="3"/>
  <c r="K478" i="3"/>
  <c r="J478" i="3"/>
  <c r="I478" i="3"/>
  <c r="H478" i="3"/>
  <c r="G478" i="3"/>
  <c r="Q477" i="3"/>
  <c r="P477" i="3"/>
  <c r="O477" i="3"/>
  <c r="N477" i="3"/>
  <c r="L477" i="3"/>
  <c r="K477" i="3"/>
  <c r="J477" i="3"/>
  <c r="I477" i="3"/>
  <c r="H477" i="3"/>
  <c r="G477" i="3"/>
  <c r="Q476" i="3"/>
  <c r="P476" i="3"/>
  <c r="O476" i="3"/>
  <c r="N476" i="3"/>
  <c r="L476" i="3"/>
  <c r="K476" i="3"/>
  <c r="J476" i="3"/>
  <c r="I476" i="3"/>
  <c r="H476" i="3"/>
  <c r="G476" i="3"/>
  <c r="Q475" i="3"/>
  <c r="P475" i="3"/>
  <c r="O475" i="3"/>
  <c r="N475" i="3"/>
  <c r="L475" i="3"/>
  <c r="K475" i="3"/>
  <c r="J475" i="3"/>
  <c r="I475" i="3"/>
  <c r="H475" i="3"/>
  <c r="G475" i="3"/>
  <c r="Q474" i="3"/>
  <c r="P474" i="3"/>
  <c r="O474" i="3"/>
  <c r="N474" i="3"/>
  <c r="L474" i="3"/>
  <c r="K474" i="3"/>
  <c r="J474" i="3"/>
  <c r="I474" i="3"/>
  <c r="H474" i="3"/>
  <c r="G474" i="3"/>
  <c r="Q473" i="3"/>
  <c r="P473" i="3"/>
  <c r="O473" i="3"/>
  <c r="N473" i="3"/>
  <c r="L473" i="3"/>
  <c r="K473" i="3"/>
  <c r="J473" i="3"/>
  <c r="I473" i="3"/>
  <c r="H473" i="3"/>
  <c r="G473" i="3"/>
  <c r="Q472" i="3"/>
  <c r="P472" i="3"/>
  <c r="O472" i="3"/>
  <c r="N472" i="3"/>
  <c r="L472" i="3"/>
  <c r="K472" i="3"/>
  <c r="J472" i="3"/>
  <c r="I472" i="3"/>
  <c r="H472" i="3"/>
  <c r="G472" i="3"/>
  <c r="Q471" i="3"/>
  <c r="P471" i="3"/>
  <c r="O471" i="3"/>
  <c r="N471" i="3"/>
  <c r="L471" i="3"/>
  <c r="K471" i="3"/>
  <c r="J471" i="3"/>
  <c r="I471" i="3"/>
  <c r="H471" i="3"/>
  <c r="G471" i="3"/>
  <c r="Q470" i="3"/>
  <c r="P470" i="3"/>
  <c r="O470" i="3"/>
  <c r="N470" i="3"/>
  <c r="L470" i="3"/>
  <c r="K470" i="3"/>
  <c r="J470" i="3"/>
  <c r="I470" i="3"/>
  <c r="H470" i="3"/>
  <c r="G470" i="3"/>
  <c r="Q469" i="3"/>
  <c r="P469" i="3"/>
  <c r="O469" i="3"/>
  <c r="N469" i="3"/>
  <c r="L469" i="3"/>
  <c r="K469" i="3"/>
  <c r="J469" i="3"/>
  <c r="I469" i="3"/>
  <c r="H469" i="3"/>
  <c r="G469" i="3"/>
  <c r="Q468" i="3"/>
  <c r="P468" i="3"/>
  <c r="O468" i="3"/>
  <c r="N468" i="3"/>
  <c r="L468" i="3"/>
  <c r="K468" i="3"/>
  <c r="J468" i="3"/>
  <c r="I468" i="3"/>
  <c r="H468" i="3"/>
  <c r="G468" i="3"/>
  <c r="Q467" i="3"/>
  <c r="P467" i="3"/>
  <c r="O467" i="3"/>
  <c r="N467" i="3"/>
  <c r="L467" i="3"/>
  <c r="K467" i="3"/>
  <c r="J467" i="3"/>
  <c r="I467" i="3"/>
  <c r="H467" i="3"/>
  <c r="G467" i="3"/>
  <c r="Q466" i="3"/>
  <c r="P466" i="3"/>
  <c r="O466" i="3"/>
  <c r="N466" i="3"/>
  <c r="L466" i="3"/>
  <c r="K466" i="3"/>
  <c r="J466" i="3"/>
  <c r="I466" i="3"/>
  <c r="H466" i="3"/>
  <c r="G466" i="3"/>
  <c r="Q465" i="3"/>
  <c r="P465" i="3"/>
  <c r="O465" i="3"/>
  <c r="N465" i="3"/>
  <c r="L465" i="3"/>
  <c r="K465" i="3"/>
  <c r="J465" i="3"/>
  <c r="I465" i="3"/>
  <c r="H465" i="3"/>
  <c r="G465" i="3"/>
  <c r="Q464" i="3"/>
  <c r="P464" i="3"/>
  <c r="O464" i="3"/>
  <c r="N464" i="3"/>
  <c r="L464" i="3"/>
  <c r="K464" i="3"/>
  <c r="J464" i="3"/>
  <c r="I464" i="3"/>
  <c r="H464" i="3"/>
  <c r="G464" i="3"/>
  <c r="Q463" i="3"/>
  <c r="P463" i="3"/>
  <c r="O463" i="3"/>
  <c r="N463" i="3"/>
  <c r="L463" i="3"/>
  <c r="K463" i="3"/>
  <c r="J463" i="3"/>
  <c r="I463" i="3"/>
  <c r="H463" i="3"/>
  <c r="G463" i="3"/>
  <c r="Q462" i="3"/>
  <c r="P462" i="3"/>
  <c r="O462" i="3"/>
  <c r="N462" i="3"/>
  <c r="L462" i="3"/>
  <c r="K462" i="3"/>
  <c r="J462" i="3"/>
  <c r="I462" i="3"/>
  <c r="H462" i="3"/>
  <c r="G462" i="3"/>
  <c r="Q461" i="3"/>
  <c r="P461" i="3"/>
  <c r="O461" i="3"/>
  <c r="N461" i="3"/>
  <c r="L461" i="3"/>
  <c r="K461" i="3"/>
  <c r="J461" i="3"/>
  <c r="I461" i="3"/>
  <c r="H461" i="3"/>
  <c r="G461" i="3"/>
  <c r="Q460" i="3"/>
  <c r="P460" i="3"/>
  <c r="O460" i="3"/>
  <c r="N460" i="3"/>
  <c r="L460" i="3"/>
  <c r="K460" i="3"/>
  <c r="J460" i="3"/>
  <c r="I460" i="3"/>
  <c r="H460" i="3"/>
  <c r="G460" i="3"/>
  <c r="Q459" i="3"/>
  <c r="P459" i="3"/>
  <c r="O459" i="3"/>
  <c r="N459" i="3"/>
  <c r="L459" i="3"/>
  <c r="K459" i="3"/>
  <c r="J459" i="3"/>
  <c r="I459" i="3"/>
  <c r="H459" i="3"/>
  <c r="G459" i="3"/>
  <c r="Q458" i="3"/>
  <c r="P458" i="3"/>
  <c r="O458" i="3"/>
  <c r="N458" i="3"/>
  <c r="L458" i="3"/>
  <c r="K458" i="3"/>
  <c r="J458" i="3"/>
  <c r="I458" i="3"/>
  <c r="H458" i="3"/>
  <c r="G458" i="3"/>
  <c r="Q457" i="3"/>
  <c r="P457" i="3"/>
  <c r="O457" i="3"/>
  <c r="N457" i="3"/>
  <c r="L457" i="3"/>
  <c r="K457" i="3"/>
  <c r="J457" i="3"/>
  <c r="I457" i="3"/>
  <c r="H457" i="3"/>
  <c r="G457" i="3"/>
  <c r="Q456" i="3"/>
  <c r="P456" i="3"/>
  <c r="O456" i="3"/>
  <c r="N456" i="3"/>
  <c r="L456" i="3"/>
  <c r="K456" i="3"/>
  <c r="J456" i="3"/>
  <c r="I456" i="3"/>
  <c r="H456" i="3"/>
  <c r="G456" i="3"/>
  <c r="Q455" i="3"/>
  <c r="P455" i="3"/>
  <c r="O455" i="3"/>
  <c r="N455" i="3"/>
  <c r="L455" i="3"/>
  <c r="K455" i="3"/>
  <c r="J455" i="3"/>
  <c r="I455" i="3"/>
  <c r="H455" i="3"/>
  <c r="G455" i="3"/>
  <c r="Q454" i="3"/>
  <c r="P454" i="3"/>
  <c r="O454" i="3"/>
  <c r="N454" i="3"/>
  <c r="L454" i="3"/>
  <c r="K454" i="3"/>
  <c r="J454" i="3"/>
  <c r="I454" i="3"/>
  <c r="H454" i="3"/>
  <c r="G454" i="3"/>
  <c r="Q453" i="3"/>
  <c r="P453" i="3"/>
  <c r="O453" i="3"/>
  <c r="N453" i="3"/>
  <c r="L453" i="3"/>
  <c r="K453" i="3"/>
  <c r="J453" i="3"/>
  <c r="I453" i="3"/>
  <c r="H453" i="3"/>
  <c r="G453" i="3"/>
  <c r="Q452" i="3"/>
  <c r="P452" i="3"/>
  <c r="O452" i="3"/>
  <c r="N452" i="3"/>
  <c r="L452" i="3"/>
  <c r="K452" i="3"/>
  <c r="J452" i="3"/>
  <c r="I452" i="3"/>
  <c r="H452" i="3"/>
  <c r="G452" i="3"/>
  <c r="Q451" i="3"/>
  <c r="P451" i="3"/>
  <c r="O451" i="3"/>
  <c r="N451" i="3"/>
  <c r="L451" i="3"/>
  <c r="K451" i="3"/>
  <c r="J451" i="3"/>
  <c r="I451" i="3"/>
  <c r="H451" i="3"/>
  <c r="G451" i="3"/>
  <c r="Q450" i="3"/>
  <c r="P450" i="3"/>
  <c r="O450" i="3"/>
  <c r="N450" i="3"/>
  <c r="L450" i="3"/>
  <c r="K450" i="3"/>
  <c r="J450" i="3"/>
  <c r="I450" i="3"/>
  <c r="H450" i="3"/>
  <c r="G450" i="3"/>
  <c r="Q449" i="3"/>
  <c r="P449" i="3"/>
  <c r="O449" i="3"/>
  <c r="N449" i="3"/>
  <c r="L449" i="3"/>
  <c r="K449" i="3"/>
  <c r="J449" i="3"/>
  <c r="I449" i="3"/>
  <c r="H449" i="3"/>
  <c r="G449" i="3"/>
  <c r="Q448" i="3"/>
  <c r="P448" i="3"/>
  <c r="O448" i="3"/>
  <c r="N448" i="3"/>
  <c r="L448" i="3"/>
  <c r="K448" i="3"/>
  <c r="J448" i="3"/>
  <c r="I448" i="3"/>
  <c r="H448" i="3"/>
  <c r="G448" i="3"/>
  <c r="Q447" i="3"/>
  <c r="P447" i="3"/>
  <c r="O447" i="3"/>
  <c r="N447" i="3"/>
  <c r="L447" i="3"/>
  <c r="K447" i="3"/>
  <c r="J447" i="3"/>
  <c r="I447" i="3"/>
  <c r="H447" i="3"/>
  <c r="G447" i="3"/>
  <c r="Q446" i="3"/>
  <c r="P446" i="3"/>
  <c r="O446" i="3"/>
  <c r="N446" i="3"/>
  <c r="L446" i="3"/>
  <c r="K446" i="3"/>
  <c r="J446" i="3"/>
  <c r="I446" i="3"/>
  <c r="H446" i="3"/>
  <c r="G446" i="3"/>
  <c r="Q445" i="3"/>
  <c r="P445" i="3"/>
  <c r="O445" i="3"/>
  <c r="N445" i="3"/>
  <c r="L445" i="3"/>
  <c r="K445" i="3"/>
  <c r="J445" i="3"/>
  <c r="I445" i="3"/>
  <c r="H445" i="3"/>
  <c r="G445" i="3"/>
  <c r="Q444" i="3"/>
  <c r="P444" i="3"/>
  <c r="O444" i="3"/>
  <c r="N444" i="3"/>
  <c r="L444" i="3"/>
  <c r="K444" i="3"/>
  <c r="J444" i="3"/>
  <c r="I444" i="3"/>
  <c r="H444" i="3"/>
  <c r="G444" i="3"/>
  <c r="Q443" i="3"/>
  <c r="P443" i="3"/>
  <c r="O443" i="3"/>
  <c r="N443" i="3"/>
  <c r="L443" i="3"/>
  <c r="K443" i="3"/>
  <c r="J443" i="3"/>
  <c r="I443" i="3"/>
  <c r="H443" i="3"/>
  <c r="G443" i="3"/>
  <c r="Q442" i="3"/>
  <c r="P442" i="3"/>
  <c r="O442" i="3"/>
  <c r="N442" i="3"/>
  <c r="L442" i="3"/>
  <c r="K442" i="3"/>
  <c r="J442" i="3"/>
  <c r="I442" i="3"/>
  <c r="H442" i="3"/>
  <c r="G442" i="3"/>
  <c r="Q441" i="3"/>
  <c r="P441" i="3"/>
  <c r="O441" i="3"/>
  <c r="N441" i="3"/>
  <c r="L441" i="3"/>
  <c r="K441" i="3"/>
  <c r="J441" i="3"/>
  <c r="I441" i="3"/>
  <c r="H441" i="3"/>
  <c r="G441" i="3"/>
  <c r="Q440" i="3"/>
  <c r="P440" i="3"/>
  <c r="O440" i="3"/>
  <c r="N440" i="3"/>
  <c r="L440" i="3"/>
  <c r="K440" i="3"/>
  <c r="J440" i="3"/>
  <c r="I440" i="3"/>
  <c r="H440" i="3"/>
  <c r="G440" i="3"/>
  <c r="Q439" i="3"/>
  <c r="P439" i="3"/>
  <c r="O439" i="3"/>
  <c r="N439" i="3"/>
  <c r="L439" i="3"/>
  <c r="K439" i="3"/>
  <c r="J439" i="3"/>
  <c r="I439" i="3"/>
  <c r="H439" i="3"/>
  <c r="G439" i="3"/>
  <c r="Q438" i="3"/>
  <c r="P438" i="3"/>
  <c r="O438" i="3"/>
  <c r="N438" i="3"/>
  <c r="L438" i="3"/>
  <c r="K438" i="3"/>
  <c r="J438" i="3"/>
  <c r="I438" i="3"/>
  <c r="H438" i="3"/>
  <c r="G438" i="3"/>
  <c r="Q437" i="3"/>
  <c r="P437" i="3"/>
  <c r="O437" i="3"/>
  <c r="N437" i="3"/>
  <c r="L437" i="3"/>
  <c r="K437" i="3"/>
  <c r="J437" i="3"/>
  <c r="I437" i="3"/>
  <c r="H437" i="3"/>
  <c r="G437" i="3"/>
  <c r="Q436" i="3"/>
  <c r="P436" i="3"/>
  <c r="O436" i="3"/>
  <c r="N436" i="3"/>
  <c r="L436" i="3"/>
  <c r="K436" i="3"/>
  <c r="J436" i="3"/>
  <c r="I436" i="3"/>
  <c r="H436" i="3"/>
  <c r="G436" i="3"/>
  <c r="Q435" i="3"/>
  <c r="P435" i="3"/>
  <c r="O435" i="3"/>
  <c r="N435" i="3"/>
  <c r="L435" i="3"/>
  <c r="K435" i="3"/>
  <c r="J435" i="3"/>
  <c r="I435" i="3"/>
  <c r="H435" i="3"/>
  <c r="G435" i="3"/>
  <c r="Q434" i="3"/>
  <c r="P434" i="3"/>
  <c r="O434" i="3"/>
  <c r="N434" i="3"/>
  <c r="L434" i="3"/>
  <c r="K434" i="3"/>
  <c r="J434" i="3"/>
  <c r="I434" i="3"/>
  <c r="H434" i="3"/>
  <c r="G434" i="3"/>
  <c r="Q433" i="3"/>
  <c r="P433" i="3"/>
  <c r="O433" i="3"/>
  <c r="N433" i="3"/>
  <c r="L433" i="3"/>
  <c r="K433" i="3"/>
  <c r="J433" i="3"/>
  <c r="I433" i="3"/>
  <c r="H433" i="3"/>
  <c r="G433" i="3"/>
  <c r="Q432" i="3"/>
  <c r="P432" i="3"/>
  <c r="O432" i="3"/>
  <c r="N432" i="3"/>
  <c r="L432" i="3"/>
  <c r="K432" i="3"/>
  <c r="J432" i="3"/>
  <c r="I432" i="3"/>
  <c r="H432" i="3"/>
  <c r="G432" i="3"/>
  <c r="Q431" i="3"/>
  <c r="P431" i="3"/>
  <c r="O431" i="3"/>
  <c r="N431" i="3"/>
  <c r="L431" i="3"/>
  <c r="K431" i="3"/>
  <c r="J431" i="3"/>
  <c r="I431" i="3"/>
  <c r="H431" i="3"/>
  <c r="G431" i="3"/>
  <c r="Q430" i="3"/>
  <c r="P430" i="3"/>
  <c r="O430" i="3"/>
  <c r="N430" i="3"/>
  <c r="L430" i="3"/>
  <c r="K430" i="3"/>
  <c r="J430" i="3"/>
  <c r="I430" i="3"/>
  <c r="H430" i="3"/>
  <c r="G430" i="3"/>
  <c r="Q429" i="3"/>
  <c r="P429" i="3"/>
  <c r="O429" i="3"/>
  <c r="N429" i="3"/>
  <c r="L429" i="3"/>
  <c r="K429" i="3"/>
  <c r="J429" i="3"/>
  <c r="I429" i="3"/>
  <c r="H429" i="3"/>
  <c r="G429" i="3"/>
  <c r="Q428" i="3"/>
  <c r="P428" i="3"/>
  <c r="O428" i="3"/>
  <c r="N428" i="3"/>
  <c r="L428" i="3"/>
  <c r="K428" i="3"/>
  <c r="J428" i="3"/>
  <c r="I428" i="3"/>
  <c r="H428" i="3"/>
  <c r="G428" i="3"/>
  <c r="Q427" i="3"/>
  <c r="P427" i="3"/>
  <c r="O427" i="3"/>
  <c r="N427" i="3"/>
  <c r="L427" i="3"/>
  <c r="K427" i="3"/>
  <c r="J427" i="3"/>
  <c r="I427" i="3"/>
  <c r="H427" i="3"/>
  <c r="G427" i="3"/>
  <c r="Q426" i="3"/>
  <c r="P426" i="3"/>
  <c r="O426" i="3"/>
  <c r="N426" i="3"/>
  <c r="L426" i="3"/>
  <c r="K426" i="3"/>
  <c r="J426" i="3"/>
  <c r="I426" i="3"/>
  <c r="H426" i="3"/>
  <c r="G426" i="3"/>
  <c r="Q425" i="3"/>
  <c r="P425" i="3"/>
  <c r="O425" i="3"/>
  <c r="N425" i="3"/>
  <c r="L425" i="3"/>
  <c r="K425" i="3"/>
  <c r="J425" i="3"/>
  <c r="I425" i="3"/>
  <c r="H425" i="3"/>
  <c r="G425" i="3"/>
  <c r="Q424" i="3"/>
  <c r="P424" i="3"/>
  <c r="O424" i="3"/>
  <c r="N424" i="3"/>
  <c r="L424" i="3"/>
  <c r="K424" i="3"/>
  <c r="J424" i="3"/>
  <c r="I424" i="3"/>
  <c r="H424" i="3"/>
  <c r="G424" i="3"/>
  <c r="Q423" i="3"/>
  <c r="P423" i="3"/>
  <c r="O423" i="3"/>
  <c r="N423" i="3"/>
  <c r="L423" i="3"/>
  <c r="K423" i="3"/>
  <c r="J423" i="3"/>
  <c r="I423" i="3"/>
  <c r="H423" i="3"/>
  <c r="G423" i="3"/>
  <c r="Q422" i="3"/>
  <c r="P422" i="3"/>
  <c r="O422" i="3"/>
  <c r="N422" i="3"/>
  <c r="L422" i="3"/>
  <c r="K422" i="3"/>
  <c r="J422" i="3"/>
  <c r="I422" i="3"/>
  <c r="H422" i="3"/>
  <c r="G422" i="3"/>
  <c r="Q421" i="3"/>
  <c r="P421" i="3"/>
  <c r="O421" i="3"/>
  <c r="N421" i="3"/>
  <c r="L421" i="3"/>
  <c r="K421" i="3"/>
  <c r="J421" i="3"/>
  <c r="I421" i="3"/>
  <c r="H421" i="3"/>
  <c r="G421" i="3"/>
  <c r="Q420" i="3"/>
  <c r="P420" i="3"/>
  <c r="O420" i="3"/>
  <c r="N420" i="3"/>
  <c r="L420" i="3"/>
  <c r="K420" i="3"/>
  <c r="J420" i="3"/>
  <c r="I420" i="3"/>
  <c r="H420" i="3"/>
  <c r="G420" i="3"/>
  <c r="Q419" i="3"/>
  <c r="P419" i="3"/>
  <c r="O419" i="3"/>
  <c r="N419" i="3"/>
  <c r="L419" i="3"/>
  <c r="K419" i="3"/>
  <c r="J419" i="3"/>
  <c r="I419" i="3"/>
  <c r="H419" i="3"/>
  <c r="G419" i="3"/>
  <c r="Q418" i="3"/>
  <c r="P418" i="3"/>
  <c r="O418" i="3"/>
  <c r="N418" i="3"/>
  <c r="L418" i="3"/>
  <c r="K418" i="3"/>
  <c r="J418" i="3"/>
  <c r="I418" i="3"/>
  <c r="H418" i="3"/>
  <c r="G418" i="3"/>
  <c r="Q417" i="3"/>
  <c r="P417" i="3"/>
  <c r="O417" i="3"/>
  <c r="N417" i="3"/>
  <c r="L417" i="3"/>
  <c r="K417" i="3"/>
  <c r="J417" i="3"/>
  <c r="I417" i="3"/>
  <c r="H417" i="3"/>
  <c r="G417" i="3"/>
  <c r="Q416" i="3"/>
  <c r="P416" i="3"/>
  <c r="O416" i="3"/>
  <c r="N416" i="3"/>
  <c r="L416" i="3"/>
  <c r="K416" i="3"/>
  <c r="J416" i="3"/>
  <c r="I416" i="3"/>
  <c r="H416" i="3"/>
  <c r="G416" i="3"/>
  <c r="Q415" i="3"/>
  <c r="P415" i="3"/>
  <c r="O415" i="3"/>
  <c r="N415" i="3"/>
  <c r="L415" i="3"/>
  <c r="K415" i="3"/>
  <c r="J415" i="3"/>
  <c r="I415" i="3"/>
  <c r="H415" i="3"/>
  <c r="G415" i="3"/>
  <c r="Q414" i="3"/>
  <c r="P414" i="3"/>
  <c r="O414" i="3"/>
  <c r="N414" i="3"/>
  <c r="L414" i="3"/>
  <c r="K414" i="3"/>
  <c r="J414" i="3"/>
  <c r="I414" i="3"/>
  <c r="H414" i="3"/>
  <c r="G414" i="3"/>
  <c r="Q413" i="3"/>
  <c r="P413" i="3"/>
  <c r="O413" i="3"/>
  <c r="N413" i="3"/>
  <c r="L413" i="3"/>
  <c r="K413" i="3"/>
  <c r="J413" i="3"/>
  <c r="I413" i="3"/>
  <c r="H413" i="3"/>
  <c r="G413" i="3"/>
  <c r="Q412" i="3"/>
  <c r="P412" i="3"/>
  <c r="O412" i="3"/>
  <c r="N412" i="3"/>
  <c r="L412" i="3"/>
  <c r="K412" i="3"/>
  <c r="J412" i="3"/>
  <c r="I412" i="3"/>
  <c r="H412" i="3"/>
  <c r="G412" i="3"/>
  <c r="Q411" i="3"/>
  <c r="P411" i="3"/>
  <c r="O411" i="3"/>
  <c r="N411" i="3"/>
  <c r="L411" i="3"/>
  <c r="K411" i="3"/>
  <c r="J411" i="3"/>
  <c r="I411" i="3"/>
  <c r="H411" i="3"/>
  <c r="G411" i="3"/>
  <c r="Q410" i="3"/>
  <c r="P410" i="3"/>
  <c r="O410" i="3"/>
  <c r="N410" i="3"/>
  <c r="L410" i="3"/>
  <c r="K410" i="3"/>
  <c r="J410" i="3"/>
  <c r="I410" i="3"/>
  <c r="H410" i="3"/>
  <c r="G410" i="3"/>
  <c r="Q409" i="3"/>
  <c r="P409" i="3"/>
  <c r="O409" i="3"/>
  <c r="N409" i="3"/>
  <c r="L409" i="3"/>
  <c r="K409" i="3"/>
  <c r="J409" i="3"/>
  <c r="I409" i="3"/>
  <c r="H409" i="3"/>
  <c r="G409" i="3"/>
  <c r="Q408" i="3"/>
  <c r="P408" i="3"/>
  <c r="O408" i="3"/>
  <c r="N408" i="3"/>
  <c r="L408" i="3"/>
  <c r="K408" i="3"/>
  <c r="J408" i="3"/>
  <c r="I408" i="3"/>
  <c r="H408" i="3"/>
  <c r="G408" i="3"/>
  <c r="Q407" i="3"/>
  <c r="P407" i="3"/>
  <c r="O407" i="3"/>
  <c r="N407" i="3"/>
  <c r="L407" i="3"/>
  <c r="K407" i="3"/>
  <c r="J407" i="3"/>
  <c r="I407" i="3"/>
  <c r="H407" i="3"/>
  <c r="G407" i="3"/>
  <c r="Q406" i="3"/>
  <c r="P406" i="3"/>
  <c r="O406" i="3"/>
  <c r="N406" i="3"/>
  <c r="L406" i="3"/>
  <c r="K406" i="3"/>
  <c r="J406" i="3"/>
  <c r="I406" i="3"/>
  <c r="H406" i="3"/>
  <c r="G406" i="3"/>
  <c r="Q405" i="3"/>
  <c r="P405" i="3"/>
  <c r="O405" i="3"/>
  <c r="N405" i="3"/>
  <c r="L405" i="3"/>
  <c r="K405" i="3"/>
  <c r="J405" i="3"/>
  <c r="I405" i="3"/>
  <c r="H405" i="3"/>
  <c r="G405" i="3"/>
  <c r="Q404" i="3"/>
  <c r="P404" i="3"/>
  <c r="O404" i="3"/>
  <c r="N404" i="3"/>
  <c r="L404" i="3"/>
  <c r="K404" i="3"/>
  <c r="J404" i="3"/>
  <c r="I404" i="3"/>
  <c r="H404" i="3"/>
  <c r="G404" i="3"/>
  <c r="Q403" i="3"/>
  <c r="P403" i="3"/>
  <c r="O403" i="3"/>
  <c r="N403" i="3"/>
  <c r="L403" i="3"/>
  <c r="K403" i="3"/>
  <c r="J403" i="3"/>
  <c r="I403" i="3"/>
  <c r="H403" i="3"/>
  <c r="G403" i="3"/>
  <c r="Q402" i="3"/>
  <c r="P402" i="3"/>
  <c r="O402" i="3"/>
  <c r="N402" i="3"/>
  <c r="L402" i="3"/>
  <c r="K402" i="3"/>
  <c r="J402" i="3"/>
  <c r="I402" i="3"/>
  <c r="H402" i="3"/>
  <c r="G402" i="3"/>
  <c r="Q401" i="3"/>
  <c r="P401" i="3"/>
  <c r="O401" i="3"/>
  <c r="N401" i="3"/>
  <c r="L401" i="3"/>
  <c r="K401" i="3"/>
  <c r="J401" i="3"/>
  <c r="I401" i="3"/>
  <c r="H401" i="3"/>
  <c r="G401" i="3"/>
  <c r="Q400" i="3"/>
  <c r="P400" i="3"/>
  <c r="O400" i="3"/>
  <c r="N400" i="3"/>
  <c r="L400" i="3"/>
  <c r="K400" i="3"/>
  <c r="J400" i="3"/>
  <c r="I400" i="3"/>
  <c r="H400" i="3"/>
  <c r="G400" i="3"/>
  <c r="Q399" i="3"/>
  <c r="P399" i="3"/>
  <c r="O399" i="3"/>
  <c r="N399" i="3"/>
  <c r="L399" i="3"/>
  <c r="K399" i="3"/>
  <c r="J399" i="3"/>
  <c r="I399" i="3"/>
  <c r="H399" i="3"/>
  <c r="G399" i="3"/>
  <c r="Q398" i="3"/>
  <c r="P398" i="3"/>
  <c r="O398" i="3"/>
  <c r="N398" i="3"/>
  <c r="L398" i="3"/>
  <c r="K398" i="3"/>
  <c r="J398" i="3"/>
  <c r="I398" i="3"/>
  <c r="H398" i="3"/>
  <c r="G398" i="3"/>
  <c r="Q397" i="3"/>
  <c r="P397" i="3"/>
  <c r="O397" i="3"/>
  <c r="N397" i="3"/>
  <c r="L397" i="3"/>
  <c r="K397" i="3"/>
  <c r="J397" i="3"/>
  <c r="I397" i="3"/>
  <c r="H397" i="3"/>
  <c r="G397" i="3"/>
  <c r="Q396" i="3"/>
  <c r="P396" i="3"/>
  <c r="O396" i="3"/>
  <c r="N396" i="3"/>
  <c r="L396" i="3"/>
  <c r="K396" i="3"/>
  <c r="J396" i="3"/>
  <c r="I396" i="3"/>
  <c r="H396" i="3"/>
  <c r="G396" i="3"/>
  <c r="Q395" i="3"/>
  <c r="P395" i="3"/>
  <c r="O395" i="3"/>
  <c r="N395" i="3"/>
  <c r="L395" i="3"/>
  <c r="K395" i="3"/>
  <c r="J395" i="3"/>
  <c r="I395" i="3"/>
  <c r="H395" i="3"/>
  <c r="G395" i="3"/>
  <c r="Q394" i="3"/>
  <c r="P394" i="3"/>
  <c r="O394" i="3"/>
  <c r="N394" i="3"/>
  <c r="L394" i="3"/>
  <c r="K394" i="3"/>
  <c r="J394" i="3"/>
  <c r="I394" i="3"/>
  <c r="H394" i="3"/>
  <c r="G394" i="3"/>
  <c r="Q393" i="3"/>
  <c r="P393" i="3"/>
  <c r="O393" i="3"/>
  <c r="N393" i="3"/>
  <c r="L393" i="3"/>
  <c r="K393" i="3"/>
  <c r="J393" i="3"/>
  <c r="I393" i="3"/>
  <c r="H393" i="3"/>
  <c r="G393" i="3"/>
  <c r="Q392" i="3"/>
  <c r="P392" i="3"/>
  <c r="O392" i="3"/>
  <c r="N392" i="3"/>
  <c r="L392" i="3"/>
  <c r="K392" i="3"/>
  <c r="J392" i="3"/>
  <c r="I392" i="3"/>
  <c r="H392" i="3"/>
  <c r="G392" i="3"/>
  <c r="Q391" i="3"/>
  <c r="P391" i="3"/>
  <c r="O391" i="3"/>
  <c r="N391" i="3"/>
  <c r="L391" i="3"/>
  <c r="K391" i="3"/>
  <c r="J391" i="3"/>
  <c r="I391" i="3"/>
  <c r="H391" i="3"/>
  <c r="G391" i="3"/>
  <c r="Q390" i="3"/>
  <c r="P390" i="3"/>
  <c r="O390" i="3"/>
  <c r="N390" i="3"/>
  <c r="L390" i="3"/>
  <c r="K390" i="3"/>
  <c r="J390" i="3"/>
  <c r="I390" i="3"/>
  <c r="H390" i="3"/>
  <c r="G390" i="3"/>
  <c r="Q389" i="3"/>
  <c r="P389" i="3"/>
  <c r="O389" i="3"/>
  <c r="N389" i="3"/>
  <c r="L389" i="3"/>
  <c r="K389" i="3"/>
  <c r="J389" i="3"/>
  <c r="I389" i="3"/>
  <c r="H389" i="3"/>
  <c r="G389" i="3"/>
  <c r="Q388" i="3"/>
  <c r="P388" i="3"/>
  <c r="O388" i="3"/>
  <c r="N388" i="3"/>
  <c r="L388" i="3"/>
  <c r="K388" i="3"/>
  <c r="J388" i="3"/>
  <c r="I388" i="3"/>
  <c r="H388" i="3"/>
  <c r="G388" i="3"/>
  <c r="Q387" i="3"/>
  <c r="P387" i="3"/>
  <c r="O387" i="3"/>
  <c r="N387" i="3"/>
  <c r="L387" i="3"/>
  <c r="K387" i="3"/>
  <c r="J387" i="3"/>
  <c r="I387" i="3"/>
  <c r="H387" i="3"/>
  <c r="G387" i="3"/>
  <c r="Q386" i="3"/>
  <c r="P386" i="3"/>
  <c r="O386" i="3"/>
  <c r="N386" i="3"/>
  <c r="L386" i="3"/>
  <c r="K386" i="3"/>
  <c r="J386" i="3"/>
  <c r="I386" i="3"/>
  <c r="H386" i="3"/>
  <c r="G386" i="3"/>
  <c r="Q385" i="3"/>
  <c r="P385" i="3"/>
  <c r="O385" i="3"/>
  <c r="N385" i="3"/>
  <c r="L385" i="3"/>
  <c r="K385" i="3"/>
  <c r="J385" i="3"/>
  <c r="I385" i="3"/>
  <c r="H385" i="3"/>
  <c r="G385" i="3"/>
  <c r="Q384" i="3"/>
  <c r="P384" i="3"/>
  <c r="O384" i="3"/>
  <c r="N384" i="3"/>
  <c r="L384" i="3"/>
  <c r="K384" i="3"/>
  <c r="J384" i="3"/>
  <c r="I384" i="3"/>
  <c r="H384" i="3"/>
  <c r="G384" i="3"/>
  <c r="Q383" i="3"/>
  <c r="P383" i="3"/>
  <c r="O383" i="3"/>
  <c r="N383" i="3"/>
  <c r="L383" i="3"/>
  <c r="K383" i="3"/>
  <c r="J383" i="3"/>
  <c r="I383" i="3"/>
  <c r="H383" i="3"/>
  <c r="G383" i="3"/>
  <c r="Q382" i="3"/>
  <c r="P382" i="3"/>
  <c r="O382" i="3"/>
  <c r="N382" i="3"/>
  <c r="L382" i="3"/>
  <c r="K382" i="3"/>
  <c r="J382" i="3"/>
  <c r="I382" i="3"/>
  <c r="H382" i="3"/>
  <c r="G382" i="3"/>
  <c r="Q381" i="3"/>
  <c r="P381" i="3"/>
  <c r="O381" i="3"/>
  <c r="N381" i="3"/>
  <c r="L381" i="3"/>
  <c r="K381" i="3"/>
  <c r="J381" i="3"/>
  <c r="I381" i="3"/>
  <c r="H381" i="3"/>
  <c r="G381" i="3"/>
  <c r="Q380" i="3"/>
  <c r="P380" i="3"/>
  <c r="O380" i="3"/>
  <c r="N380" i="3"/>
  <c r="L380" i="3"/>
  <c r="K380" i="3"/>
  <c r="J380" i="3"/>
  <c r="I380" i="3"/>
  <c r="H380" i="3"/>
  <c r="G380" i="3"/>
  <c r="Q379" i="3"/>
  <c r="P379" i="3"/>
  <c r="O379" i="3"/>
  <c r="N379" i="3"/>
  <c r="L379" i="3"/>
  <c r="K379" i="3"/>
  <c r="J379" i="3"/>
  <c r="I379" i="3"/>
  <c r="H379" i="3"/>
  <c r="G379" i="3"/>
  <c r="Q378" i="3"/>
  <c r="P378" i="3"/>
  <c r="O378" i="3"/>
  <c r="N378" i="3"/>
  <c r="L378" i="3"/>
  <c r="K378" i="3"/>
  <c r="J378" i="3"/>
  <c r="I378" i="3"/>
  <c r="H378" i="3"/>
  <c r="G378" i="3"/>
  <c r="Q377" i="3"/>
  <c r="P377" i="3"/>
  <c r="O377" i="3"/>
  <c r="N377" i="3"/>
  <c r="L377" i="3"/>
  <c r="K377" i="3"/>
  <c r="J377" i="3"/>
  <c r="I377" i="3"/>
  <c r="H377" i="3"/>
  <c r="G377" i="3"/>
  <c r="Q376" i="3"/>
  <c r="P376" i="3"/>
  <c r="O376" i="3"/>
  <c r="N376" i="3"/>
  <c r="L376" i="3"/>
  <c r="K376" i="3"/>
  <c r="J376" i="3"/>
  <c r="I376" i="3"/>
  <c r="H376" i="3"/>
  <c r="G376" i="3"/>
  <c r="Q375" i="3"/>
  <c r="P375" i="3"/>
  <c r="O375" i="3"/>
  <c r="N375" i="3"/>
  <c r="L375" i="3"/>
  <c r="K375" i="3"/>
  <c r="J375" i="3"/>
  <c r="I375" i="3"/>
  <c r="H375" i="3"/>
  <c r="G375" i="3"/>
  <c r="Q374" i="3"/>
  <c r="P374" i="3"/>
  <c r="O374" i="3"/>
  <c r="N374" i="3"/>
  <c r="L374" i="3"/>
  <c r="K374" i="3"/>
  <c r="J374" i="3"/>
  <c r="I374" i="3"/>
  <c r="H374" i="3"/>
  <c r="G374" i="3"/>
  <c r="Q373" i="3"/>
  <c r="P373" i="3"/>
  <c r="O373" i="3"/>
  <c r="N373" i="3"/>
  <c r="L373" i="3"/>
  <c r="K373" i="3"/>
  <c r="J373" i="3"/>
  <c r="I373" i="3"/>
  <c r="H373" i="3"/>
  <c r="G373" i="3"/>
  <c r="Q372" i="3"/>
  <c r="P372" i="3"/>
  <c r="O372" i="3"/>
  <c r="N372" i="3"/>
  <c r="L372" i="3"/>
  <c r="K372" i="3"/>
  <c r="J372" i="3"/>
  <c r="I372" i="3"/>
  <c r="H372" i="3"/>
  <c r="G372" i="3"/>
  <c r="Q371" i="3"/>
  <c r="P371" i="3"/>
  <c r="O371" i="3"/>
  <c r="N371" i="3"/>
  <c r="L371" i="3"/>
  <c r="K371" i="3"/>
  <c r="J371" i="3"/>
  <c r="I371" i="3"/>
  <c r="H371" i="3"/>
  <c r="G371" i="3"/>
  <c r="Q370" i="3"/>
  <c r="P370" i="3"/>
  <c r="O370" i="3"/>
  <c r="N370" i="3"/>
  <c r="L370" i="3"/>
  <c r="K370" i="3"/>
  <c r="J370" i="3"/>
  <c r="I370" i="3"/>
  <c r="H370" i="3"/>
  <c r="G370" i="3"/>
  <c r="Q369" i="3"/>
  <c r="P369" i="3"/>
  <c r="O369" i="3"/>
  <c r="N369" i="3"/>
  <c r="L369" i="3"/>
  <c r="K369" i="3"/>
  <c r="J369" i="3"/>
  <c r="I369" i="3"/>
  <c r="H369" i="3"/>
  <c r="G369" i="3"/>
  <c r="Q368" i="3"/>
  <c r="P368" i="3"/>
  <c r="O368" i="3"/>
  <c r="N368" i="3"/>
  <c r="L368" i="3"/>
  <c r="K368" i="3"/>
  <c r="J368" i="3"/>
  <c r="I368" i="3"/>
  <c r="H368" i="3"/>
  <c r="G368" i="3"/>
  <c r="Q367" i="3"/>
  <c r="P367" i="3"/>
  <c r="O367" i="3"/>
  <c r="N367" i="3"/>
  <c r="L367" i="3"/>
  <c r="K367" i="3"/>
  <c r="J367" i="3"/>
  <c r="I367" i="3"/>
  <c r="H367" i="3"/>
  <c r="G367" i="3"/>
  <c r="Q366" i="3"/>
  <c r="P366" i="3"/>
  <c r="O366" i="3"/>
  <c r="N366" i="3"/>
  <c r="L366" i="3"/>
  <c r="K366" i="3"/>
  <c r="J366" i="3"/>
  <c r="I366" i="3"/>
  <c r="H366" i="3"/>
  <c r="G366" i="3"/>
  <c r="Q365" i="3"/>
  <c r="P365" i="3"/>
  <c r="O365" i="3"/>
  <c r="N365" i="3"/>
  <c r="L365" i="3"/>
  <c r="K365" i="3"/>
  <c r="J365" i="3"/>
  <c r="I365" i="3"/>
  <c r="H365" i="3"/>
  <c r="G365" i="3"/>
  <c r="Q364" i="3"/>
  <c r="P364" i="3"/>
  <c r="O364" i="3"/>
  <c r="N364" i="3"/>
  <c r="L364" i="3"/>
  <c r="K364" i="3"/>
  <c r="J364" i="3"/>
  <c r="I364" i="3"/>
  <c r="H364" i="3"/>
  <c r="G364" i="3"/>
  <c r="Q363" i="3"/>
  <c r="P363" i="3"/>
  <c r="O363" i="3"/>
  <c r="N363" i="3"/>
  <c r="L363" i="3"/>
  <c r="K363" i="3"/>
  <c r="J363" i="3"/>
  <c r="I363" i="3"/>
  <c r="H363" i="3"/>
  <c r="G363" i="3"/>
  <c r="Q362" i="3"/>
  <c r="P362" i="3"/>
  <c r="O362" i="3"/>
  <c r="N362" i="3"/>
  <c r="L362" i="3"/>
  <c r="K362" i="3"/>
  <c r="J362" i="3"/>
  <c r="I362" i="3"/>
  <c r="H362" i="3"/>
  <c r="G362" i="3"/>
  <c r="Q361" i="3"/>
  <c r="P361" i="3"/>
  <c r="O361" i="3"/>
  <c r="N361" i="3"/>
  <c r="L361" i="3"/>
  <c r="K361" i="3"/>
  <c r="J361" i="3"/>
  <c r="I361" i="3"/>
  <c r="H361" i="3"/>
  <c r="G361" i="3"/>
  <c r="Q360" i="3"/>
  <c r="P360" i="3"/>
  <c r="O360" i="3"/>
  <c r="N360" i="3"/>
  <c r="L360" i="3"/>
  <c r="K360" i="3"/>
  <c r="J360" i="3"/>
  <c r="I360" i="3"/>
  <c r="H360" i="3"/>
  <c r="G360" i="3"/>
  <c r="Q359" i="3"/>
  <c r="P359" i="3"/>
  <c r="O359" i="3"/>
  <c r="N359" i="3"/>
  <c r="L359" i="3"/>
  <c r="K359" i="3"/>
  <c r="J359" i="3"/>
  <c r="I359" i="3"/>
  <c r="H359" i="3"/>
  <c r="G359" i="3"/>
  <c r="Q358" i="3"/>
  <c r="P358" i="3"/>
  <c r="O358" i="3"/>
  <c r="N358" i="3"/>
  <c r="L358" i="3"/>
  <c r="K358" i="3"/>
  <c r="J358" i="3"/>
  <c r="I358" i="3"/>
  <c r="H358" i="3"/>
  <c r="G358" i="3"/>
  <c r="Q357" i="3"/>
  <c r="P357" i="3"/>
  <c r="O357" i="3"/>
  <c r="N357" i="3"/>
  <c r="L357" i="3"/>
  <c r="K357" i="3"/>
  <c r="J357" i="3"/>
  <c r="I357" i="3"/>
  <c r="H357" i="3"/>
  <c r="G357" i="3"/>
  <c r="Q356" i="3"/>
  <c r="P356" i="3"/>
  <c r="O356" i="3"/>
  <c r="N356" i="3"/>
  <c r="L356" i="3"/>
  <c r="K356" i="3"/>
  <c r="J356" i="3"/>
  <c r="I356" i="3"/>
  <c r="H356" i="3"/>
  <c r="G356" i="3"/>
  <c r="Q355" i="3"/>
  <c r="P355" i="3"/>
  <c r="O355" i="3"/>
  <c r="N355" i="3"/>
  <c r="L355" i="3"/>
  <c r="K355" i="3"/>
  <c r="J355" i="3"/>
  <c r="I355" i="3"/>
  <c r="H355" i="3"/>
  <c r="G355" i="3"/>
  <c r="Q354" i="3"/>
  <c r="P354" i="3"/>
  <c r="O354" i="3"/>
  <c r="N354" i="3"/>
  <c r="L354" i="3"/>
  <c r="K354" i="3"/>
  <c r="J354" i="3"/>
  <c r="I354" i="3"/>
  <c r="H354" i="3"/>
  <c r="G354" i="3"/>
  <c r="Q353" i="3"/>
  <c r="P353" i="3"/>
  <c r="O353" i="3"/>
  <c r="N353" i="3"/>
  <c r="L353" i="3"/>
  <c r="K353" i="3"/>
  <c r="J353" i="3"/>
  <c r="I353" i="3"/>
  <c r="H353" i="3"/>
  <c r="G353" i="3"/>
  <c r="Q352" i="3"/>
  <c r="P352" i="3"/>
  <c r="O352" i="3"/>
  <c r="N352" i="3"/>
  <c r="L352" i="3"/>
  <c r="K352" i="3"/>
  <c r="J352" i="3"/>
  <c r="I352" i="3"/>
  <c r="H352" i="3"/>
  <c r="G352" i="3"/>
  <c r="Q351" i="3"/>
  <c r="P351" i="3"/>
  <c r="O351" i="3"/>
  <c r="N351" i="3"/>
  <c r="L351" i="3"/>
  <c r="K351" i="3"/>
  <c r="J351" i="3"/>
  <c r="I351" i="3"/>
  <c r="H351" i="3"/>
  <c r="G351" i="3"/>
  <c r="Q350" i="3"/>
  <c r="P350" i="3"/>
  <c r="O350" i="3"/>
  <c r="N350" i="3"/>
  <c r="L350" i="3"/>
  <c r="K350" i="3"/>
  <c r="J350" i="3"/>
  <c r="I350" i="3"/>
  <c r="H350" i="3"/>
  <c r="G350" i="3"/>
  <c r="Q349" i="3"/>
  <c r="P349" i="3"/>
  <c r="O349" i="3"/>
  <c r="N349" i="3"/>
  <c r="L349" i="3"/>
  <c r="K349" i="3"/>
  <c r="J349" i="3"/>
  <c r="I349" i="3"/>
  <c r="H349" i="3"/>
  <c r="G349" i="3"/>
  <c r="Q348" i="3"/>
  <c r="P348" i="3"/>
  <c r="O348" i="3"/>
  <c r="N348" i="3"/>
  <c r="L348" i="3"/>
  <c r="K348" i="3"/>
  <c r="J348" i="3"/>
  <c r="I348" i="3"/>
  <c r="H348" i="3"/>
  <c r="G348" i="3"/>
  <c r="Q347" i="3"/>
  <c r="P347" i="3"/>
  <c r="O347" i="3"/>
  <c r="N347" i="3"/>
  <c r="L347" i="3"/>
  <c r="K347" i="3"/>
  <c r="J347" i="3"/>
  <c r="I347" i="3"/>
  <c r="H347" i="3"/>
  <c r="G347" i="3"/>
  <c r="Q346" i="3"/>
  <c r="P346" i="3"/>
  <c r="O346" i="3"/>
  <c r="N346" i="3"/>
  <c r="L346" i="3"/>
  <c r="K346" i="3"/>
  <c r="J346" i="3"/>
  <c r="I346" i="3"/>
  <c r="H346" i="3"/>
  <c r="G346" i="3"/>
  <c r="Q345" i="3"/>
  <c r="P345" i="3"/>
  <c r="O345" i="3"/>
  <c r="N345" i="3"/>
  <c r="L345" i="3"/>
  <c r="K345" i="3"/>
  <c r="J345" i="3"/>
  <c r="I345" i="3"/>
  <c r="H345" i="3"/>
  <c r="G345" i="3"/>
  <c r="Q344" i="3"/>
  <c r="P344" i="3"/>
  <c r="O344" i="3"/>
  <c r="N344" i="3"/>
  <c r="L344" i="3"/>
  <c r="K344" i="3"/>
  <c r="J344" i="3"/>
  <c r="I344" i="3"/>
  <c r="H344" i="3"/>
  <c r="G344" i="3"/>
  <c r="Q343" i="3"/>
  <c r="P343" i="3"/>
  <c r="O343" i="3"/>
  <c r="N343" i="3"/>
  <c r="L343" i="3"/>
  <c r="K343" i="3"/>
  <c r="J343" i="3"/>
  <c r="I343" i="3"/>
  <c r="H343" i="3"/>
  <c r="G343" i="3"/>
  <c r="Q342" i="3"/>
  <c r="P342" i="3"/>
  <c r="O342" i="3"/>
  <c r="N342" i="3"/>
  <c r="L342" i="3"/>
  <c r="K342" i="3"/>
  <c r="J342" i="3"/>
  <c r="I342" i="3"/>
  <c r="H342" i="3"/>
  <c r="G342" i="3"/>
  <c r="Q341" i="3"/>
  <c r="P341" i="3"/>
  <c r="O341" i="3"/>
  <c r="N341" i="3"/>
  <c r="L341" i="3"/>
  <c r="K341" i="3"/>
  <c r="J341" i="3"/>
  <c r="I341" i="3"/>
  <c r="H341" i="3"/>
  <c r="G341" i="3"/>
  <c r="Q340" i="3"/>
  <c r="P340" i="3"/>
  <c r="O340" i="3"/>
  <c r="N340" i="3"/>
  <c r="L340" i="3"/>
  <c r="K340" i="3"/>
  <c r="J340" i="3"/>
  <c r="I340" i="3"/>
  <c r="H340" i="3"/>
  <c r="G340" i="3"/>
  <c r="Q339" i="3"/>
  <c r="P339" i="3"/>
  <c r="O339" i="3"/>
  <c r="N339" i="3"/>
  <c r="L339" i="3"/>
  <c r="K339" i="3"/>
  <c r="J339" i="3"/>
  <c r="I339" i="3"/>
  <c r="H339" i="3"/>
  <c r="G339" i="3"/>
  <c r="Q338" i="3"/>
  <c r="P338" i="3"/>
  <c r="O338" i="3"/>
  <c r="N338" i="3"/>
  <c r="L338" i="3"/>
  <c r="K338" i="3"/>
  <c r="J338" i="3"/>
  <c r="I338" i="3"/>
  <c r="H338" i="3"/>
  <c r="G338" i="3"/>
  <c r="Q337" i="3"/>
  <c r="P337" i="3"/>
  <c r="O337" i="3"/>
  <c r="N337" i="3"/>
  <c r="L337" i="3"/>
  <c r="K337" i="3"/>
  <c r="J337" i="3"/>
  <c r="I337" i="3"/>
  <c r="H337" i="3"/>
  <c r="G337" i="3"/>
  <c r="Q336" i="3"/>
  <c r="P336" i="3"/>
  <c r="O336" i="3"/>
  <c r="N336" i="3"/>
  <c r="L336" i="3"/>
  <c r="K336" i="3"/>
  <c r="J336" i="3"/>
  <c r="I336" i="3"/>
  <c r="H336" i="3"/>
  <c r="G336" i="3"/>
  <c r="Q335" i="3"/>
  <c r="P335" i="3"/>
  <c r="O335" i="3"/>
  <c r="N335" i="3"/>
  <c r="L335" i="3"/>
  <c r="K335" i="3"/>
  <c r="J335" i="3"/>
  <c r="I335" i="3"/>
  <c r="H335" i="3"/>
  <c r="G335" i="3"/>
  <c r="Q334" i="3"/>
  <c r="P334" i="3"/>
  <c r="O334" i="3"/>
  <c r="N334" i="3"/>
  <c r="L334" i="3"/>
  <c r="K334" i="3"/>
  <c r="J334" i="3"/>
  <c r="I334" i="3"/>
  <c r="H334" i="3"/>
  <c r="G334" i="3"/>
  <c r="Q333" i="3"/>
  <c r="P333" i="3"/>
  <c r="O333" i="3"/>
  <c r="N333" i="3"/>
  <c r="L333" i="3"/>
  <c r="K333" i="3"/>
  <c r="J333" i="3"/>
  <c r="I333" i="3"/>
  <c r="H333" i="3"/>
  <c r="G333" i="3"/>
  <c r="Q332" i="3"/>
  <c r="P332" i="3"/>
  <c r="O332" i="3"/>
  <c r="N332" i="3"/>
  <c r="L332" i="3"/>
  <c r="K332" i="3"/>
  <c r="J332" i="3"/>
  <c r="I332" i="3"/>
  <c r="H332" i="3"/>
  <c r="G332" i="3"/>
  <c r="Q331" i="3"/>
  <c r="P331" i="3"/>
  <c r="O331" i="3"/>
  <c r="N331" i="3"/>
  <c r="L331" i="3"/>
  <c r="K331" i="3"/>
  <c r="J331" i="3"/>
  <c r="I331" i="3"/>
  <c r="H331" i="3"/>
  <c r="G331" i="3"/>
  <c r="Q330" i="3"/>
  <c r="P330" i="3"/>
  <c r="O330" i="3"/>
  <c r="N330" i="3"/>
  <c r="L330" i="3"/>
  <c r="K330" i="3"/>
  <c r="J330" i="3"/>
  <c r="I330" i="3"/>
  <c r="H330" i="3"/>
  <c r="G330" i="3"/>
  <c r="Q329" i="3"/>
  <c r="P329" i="3"/>
  <c r="O329" i="3"/>
  <c r="N329" i="3"/>
  <c r="L329" i="3"/>
  <c r="K329" i="3"/>
  <c r="J329" i="3"/>
  <c r="I329" i="3"/>
  <c r="H329" i="3"/>
  <c r="G329" i="3"/>
  <c r="Q328" i="3"/>
  <c r="P328" i="3"/>
  <c r="O328" i="3"/>
  <c r="N328" i="3"/>
  <c r="L328" i="3"/>
  <c r="K328" i="3"/>
  <c r="J328" i="3"/>
  <c r="I328" i="3"/>
  <c r="H328" i="3"/>
  <c r="G328" i="3"/>
  <c r="Q327" i="3"/>
  <c r="P327" i="3"/>
  <c r="O327" i="3"/>
  <c r="N327" i="3"/>
  <c r="L327" i="3"/>
  <c r="K327" i="3"/>
  <c r="J327" i="3"/>
  <c r="I327" i="3"/>
  <c r="H327" i="3"/>
  <c r="G327" i="3"/>
  <c r="Q326" i="3"/>
  <c r="P326" i="3"/>
  <c r="O326" i="3"/>
  <c r="N326" i="3"/>
  <c r="L326" i="3"/>
  <c r="K326" i="3"/>
  <c r="J326" i="3"/>
  <c r="I326" i="3"/>
  <c r="H326" i="3"/>
  <c r="G326" i="3"/>
  <c r="Q325" i="3"/>
  <c r="P325" i="3"/>
  <c r="O325" i="3"/>
  <c r="N325" i="3"/>
  <c r="L325" i="3"/>
  <c r="K325" i="3"/>
  <c r="J325" i="3"/>
  <c r="I325" i="3"/>
  <c r="H325" i="3"/>
  <c r="G325" i="3"/>
  <c r="Q324" i="3"/>
  <c r="P324" i="3"/>
  <c r="O324" i="3"/>
  <c r="N324" i="3"/>
  <c r="L324" i="3"/>
  <c r="K324" i="3"/>
  <c r="J324" i="3"/>
  <c r="I324" i="3"/>
  <c r="H324" i="3"/>
  <c r="G324" i="3"/>
  <c r="Q323" i="3"/>
  <c r="P323" i="3"/>
  <c r="O323" i="3"/>
  <c r="N323" i="3"/>
  <c r="L323" i="3"/>
  <c r="K323" i="3"/>
  <c r="J323" i="3"/>
  <c r="I323" i="3"/>
  <c r="H323" i="3"/>
  <c r="G323" i="3"/>
  <c r="Q322" i="3"/>
  <c r="P322" i="3"/>
  <c r="O322" i="3"/>
  <c r="N322" i="3"/>
  <c r="L322" i="3"/>
  <c r="K322" i="3"/>
  <c r="J322" i="3"/>
  <c r="I322" i="3"/>
  <c r="H322" i="3"/>
  <c r="G322" i="3"/>
  <c r="Q321" i="3"/>
  <c r="P321" i="3"/>
  <c r="O321" i="3"/>
  <c r="N321" i="3"/>
  <c r="L321" i="3"/>
  <c r="K321" i="3"/>
  <c r="J321" i="3"/>
  <c r="I321" i="3"/>
  <c r="H321" i="3"/>
  <c r="G321" i="3"/>
  <c r="Q320" i="3"/>
  <c r="P320" i="3"/>
  <c r="O320" i="3"/>
  <c r="N320" i="3"/>
  <c r="L320" i="3"/>
  <c r="K320" i="3"/>
  <c r="J320" i="3"/>
  <c r="I320" i="3"/>
  <c r="H320" i="3"/>
  <c r="G320" i="3"/>
  <c r="Q319" i="3"/>
  <c r="P319" i="3"/>
  <c r="O319" i="3"/>
  <c r="N319" i="3"/>
  <c r="L319" i="3"/>
  <c r="K319" i="3"/>
  <c r="J319" i="3"/>
  <c r="I319" i="3"/>
  <c r="H319" i="3"/>
  <c r="G319" i="3"/>
  <c r="Q318" i="3"/>
  <c r="P318" i="3"/>
  <c r="O318" i="3"/>
  <c r="N318" i="3"/>
  <c r="L318" i="3"/>
  <c r="K318" i="3"/>
  <c r="J318" i="3"/>
  <c r="I318" i="3"/>
  <c r="H318" i="3"/>
  <c r="G318" i="3"/>
  <c r="Q317" i="3"/>
  <c r="P317" i="3"/>
  <c r="O317" i="3"/>
  <c r="N317" i="3"/>
  <c r="L317" i="3"/>
  <c r="K317" i="3"/>
  <c r="J317" i="3"/>
  <c r="I317" i="3"/>
  <c r="H317" i="3"/>
  <c r="G317" i="3"/>
  <c r="Q316" i="3"/>
  <c r="P316" i="3"/>
  <c r="O316" i="3"/>
  <c r="N316" i="3"/>
  <c r="L316" i="3"/>
  <c r="K316" i="3"/>
  <c r="J316" i="3"/>
  <c r="I316" i="3"/>
  <c r="H316" i="3"/>
  <c r="G316" i="3"/>
  <c r="Q315" i="3"/>
  <c r="P315" i="3"/>
  <c r="O315" i="3"/>
  <c r="N315" i="3"/>
  <c r="L315" i="3"/>
  <c r="K315" i="3"/>
  <c r="J315" i="3"/>
  <c r="I315" i="3"/>
  <c r="H315" i="3"/>
  <c r="G315" i="3"/>
  <c r="Q314" i="3"/>
  <c r="P314" i="3"/>
  <c r="O314" i="3"/>
  <c r="N314" i="3"/>
  <c r="L314" i="3"/>
  <c r="K314" i="3"/>
  <c r="J314" i="3"/>
  <c r="I314" i="3"/>
  <c r="H314" i="3"/>
  <c r="G314" i="3"/>
  <c r="Q313" i="3"/>
  <c r="P313" i="3"/>
  <c r="O313" i="3"/>
  <c r="N313" i="3"/>
  <c r="L313" i="3"/>
  <c r="K313" i="3"/>
  <c r="J313" i="3"/>
  <c r="I313" i="3"/>
  <c r="H313" i="3"/>
  <c r="G313" i="3"/>
  <c r="Q312" i="3"/>
  <c r="P312" i="3"/>
  <c r="O312" i="3"/>
  <c r="N312" i="3"/>
  <c r="L312" i="3"/>
  <c r="K312" i="3"/>
  <c r="J312" i="3"/>
  <c r="I312" i="3"/>
  <c r="H312" i="3"/>
  <c r="G312" i="3"/>
  <c r="Q311" i="3"/>
  <c r="P311" i="3"/>
  <c r="O311" i="3"/>
  <c r="N311" i="3"/>
  <c r="L311" i="3"/>
  <c r="K311" i="3"/>
  <c r="J311" i="3"/>
  <c r="I311" i="3"/>
  <c r="H311" i="3"/>
  <c r="G311" i="3"/>
  <c r="Q310" i="3"/>
  <c r="P310" i="3"/>
  <c r="O310" i="3"/>
  <c r="N310" i="3"/>
  <c r="L310" i="3"/>
  <c r="K310" i="3"/>
  <c r="J310" i="3"/>
  <c r="I310" i="3"/>
  <c r="H310" i="3"/>
  <c r="G310" i="3"/>
  <c r="Q309" i="3"/>
  <c r="P309" i="3"/>
  <c r="O309" i="3"/>
  <c r="N309" i="3"/>
  <c r="L309" i="3"/>
  <c r="K309" i="3"/>
  <c r="J309" i="3"/>
  <c r="I309" i="3"/>
  <c r="H309" i="3"/>
  <c r="G309" i="3"/>
  <c r="Q308" i="3"/>
  <c r="P308" i="3"/>
  <c r="O308" i="3"/>
  <c r="N308" i="3"/>
  <c r="L308" i="3"/>
  <c r="K308" i="3"/>
  <c r="J308" i="3"/>
  <c r="I308" i="3"/>
  <c r="H308" i="3"/>
  <c r="G308" i="3"/>
  <c r="Q307" i="3"/>
  <c r="P307" i="3"/>
  <c r="O307" i="3"/>
  <c r="N307" i="3"/>
  <c r="L307" i="3"/>
  <c r="K307" i="3"/>
  <c r="J307" i="3"/>
  <c r="I307" i="3"/>
  <c r="H307" i="3"/>
  <c r="G307" i="3"/>
  <c r="Q306" i="3"/>
  <c r="P306" i="3"/>
  <c r="O306" i="3"/>
  <c r="N306" i="3"/>
  <c r="L306" i="3"/>
  <c r="K306" i="3"/>
  <c r="J306" i="3"/>
  <c r="I306" i="3"/>
  <c r="H306" i="3"/>
  <c r="G306" i="3"/>
  <c r="Q305" i="3"/>
  <c r="P305" i="3"/>
  <c r="O305" i="3"/>
  <c r="N305" i="3"/>
  <c r="L305" i="3"/>
  <c r="K305" i="3"/>
  <c r="J305" i="3"/>
  <c r="I305" i="3"/>
  <c r="H305" i="3"/>
  <c r="G305" i="3"/>
  <c r="Q304" i="3"/>
  <c r="P304" i="3"/>
  <c r="O304" i="3"/>
  <c r="N304" i="3"/>
  <c r="L304" i="3"/>
  <c r="K304" i="3"/>
  <c r="J304" i="3"/>
  <c r="I304" i="3"/>
  <c r="H304" i="3"/>
  <c r="G304" i="3"/>
  <c r="Q303" i="3"/>
  <c r="P303" i="3"/>
  <c r="O303" i="3"/>
  <c r="N303" i="3"/>
  <c r="L303" i="3"/>
  <c r="K303" i="3"/>
  <c r="J303" i="3"/>
  <c r="I303" i="3"/>
  <c r="H303" i="3"/>
  <c r="G303" i="3"/>
  <c r="Q302" i="3"/>
  <c r="P302" i="3"/>
  <c r="O302" i="3"/>
  <c r="N302" i="3"/>
  <c r="L302" i="3"/>
  <c r="K302" i="3"/>
  <c r="J302" i="3"/>
  <c r="I302" i="3"/>
  <c r="H302" i="3"/>
  <c r="G302" i="3"/>
  <c r="Q301" i="3"/>
  <c r="P301" i="3"/>
  <c r="O301" i="3"/>
  <c r="N301" i="3"/>
  <c r="L301" i="3"/>
  <c r="K301" i="3"/>
  <c r="J301" i="3"/>
  <c r="I301" i="3"/>
  <c r="H301" i="3"/>
  <c r="G301" i="3"/>
  <c r="Q300" i="3"/>
  <c r="P300" i="3"/>
  <c r="O300" i="3"/>
  <c r="N300" i="3"/>
  <c r="L300" i="3"/>
  <c r="K300" i="3"/>
  <c r="J300" i="3"/>
  <c r="I300" i="3"/>
  <c r="H300" i="3"/>
  <c r="G300" i="3"/>
  <c r="Q299" i="3"/>
  <c r="P299" i="3"/>
  <c r="O299" i="3"/>
  <c r="N299" i="3"/>
  <c r="L299" i="3"/>
  <c r="K299" i="3"/>
  <c r="J299" i="3"/>
  <c r="I299" i="3"/>
  <c r="H299" i="3"/>
  <c r="G299" i="3"/>
  <c r="Q298" i="3"/>
  <c r="P298" i="3"/>
  <c r="O298" i="3"/>
  <c r="N298" i="3"/>
  <c r="L298" i="3"/>
  <c r="K298" i="3"/>
  <c r="J298" i="3"/>
  <c r="I298" i="3"/>
  <c r="H298" i="3"/>
  <c r="G298" i="3"/>
  <c r="Q297" i="3"/>
  <c r="P297" i="3"/>
  <c r="O297" i="3"/>
  <c r="N297" i="3"/>
  <c r="L297" i="3"/>
  <c r="K297" i="3"/>
  <c r="J297" i="3"/>
  <c r="I297" i="3"/>
  <c r="H297" i="3"/>
  <c r="G297" i="3"/>
  <c r="Q296" i="3"/>
  <c r="P296" i="3"/>
  <c r="O296" i="3"/>
  <c r="N296" i="3"/>
  <c r="L296" i="3"/>
  <c r="K296" i="3"/>
  <c r="J296" i="3"/>
  <c r="I296" i="3"/>
  <c r="H296" i="3"/>
  <c r="G296" i="3"/>
  <c r="Q295" i="3"/>
  <c r="P295" i="3"/>
  <c r="O295" i="3"/>
  <c r="N295" i="3"/>
  <c r="L295" i="3"/>
  <c r="K295" i="3"/>
  <c r="J295" i="3"/>
  <c r="I295" i="3"/>
  <c r="H295" i="3"/>
  <c r="G295" i="3"/>
  <c r="Q294" i="3"/>
  <c r="P294" i="3"/>
  <c r="O294" i="3"/>
  <c r="N294" i="3"/>
  <c r="L294" i="3"/>
  <c r="K294" i="3"/>
  <c r="J294" i="3"/>
  <c r="I294" i="3"/>
  <c r="H294" i="3"/>
  <c r="G294" i="3"/>
  <c r="Q293" i="3"/>
  <c r="P293" i="3"/>
  <c r="O293" i="3"/>
  <c r="N293" i="3"/>
  <c r="L293" i="3"/>
  <c r="K293" i="3"/>
  <c r="J293" i="3"/>
  <c r="I293" i="3"/>
  <c r="H293" i="3"/>
  <c r="G293" i="3"/>
  <c r="Q292" i="3"/>
  <c r="P292" i="3"/>
  <c r="O292" i="3"/>
  <c r="N292" i="3"/>
  <c r="L292" i="3"/>
  <c r="K292" i="3"/>
  <c r="J292" i="3"/>
  <c r="I292" i="3"/>
  <c r="H292" i="3"/>
  <c r="G292" i="3"/>
  <c r="Q291" i="3"/>
  <c r="P291" i="3"/>
  <c r="O291" i="3"/>
  <c r="N291" i="3"/>
  <c r="L291" i="3"/>
  <c r="K291" i="3"/>
  <c r="J291" i="3"/>
  <c r="I291" i="3"/>
  <c r="H291" i="3"/>
  <c r="G291" i="3"/>
  <c r="Q290" i="3"/>
  <c r="P290" i="3"/>
  <c r="O290" i="3"/>
  <c r="N290" i="3"/>
  <c r="L290" i="3"/>
  <c r="K290" i="3"/>
  <c r="J290" i="3"/>
  <c r="I290" i="3"/>
  <c r="H290" i="3"/>
  <c r="G290" i="3"/>
  <c r="Q289" i="3"/>
  <c r="P289" i="3"/>
  <c r="O289" i="3"/>
  <c r="N289" i="3"/>
  <c r="L289" i="3"/>
  <c r="K289" i="3"/>
  <c r="J289" i="3"/>
  <c r="I289" i="3"/>
  <c r="H289" i="3"/>
  <c r="G289" i="3"/>
  <c r="Q288" i="3"/>
  <c r="P288" i="3"/>
  <c r="O288" i="3"/>
  <c r="N288" i="3"/>
  <c r="L288" i="3"/>
  <c r="K288" i="3"/>
  <c r="J288" i="3"/>
  <c r="I288" i="3"/>
  <c r="H288" i="3"/>
  <c r="G288" i="3"/>
  <c r="Q287" i="3"/>
  <c r="P287" i="3"/>
  <c r="O287" i="3"/>
  <c r="N287" i="3"/>
  <c r="L287" i="3"/>
  <c r="K287" i="3"/>
  <c r="J287" i="3"/>
  <c r="I287" i="3"/>
  <c r="H287" i="3"/>
  <c r="G287" i="3"/>
  <c r="Q286" i="3"/>
  <c r="P286" i="3"/>
  <c r="O286" i="3"/>
  <c r="N286" i="3"/>
  <c r="L286" i="3"/>
  <c r="K286" i="3"/>
  <c r="J286" i="3"/>
  <c r="I286" i="3"/>
  <c r="H286" i="3"/>
  <c r="G286" i="3"/>
  <c r="Q285" i="3"/>
  <c r="P285" i="3"/>
  <c r="O285" i="3"/>
  <c r="N285" i="3"/>
  <c r="L285" i="3"/>
  <c r="K285" i="3"/>
  <c r="J285" i="3"/>
  <c r="I285" i="3"/>
  <c r="H285" i="3"/>
  <c r="G285" i="3"/>
  <c r="Q284" i="3"/>
  <c r="P284" i="3"/>
  <c r="O284" i="3"/>
  <c r="N284" i="3"/>
  <c r="L284" i="3"/>
  <c r="K284" i="3"/>
  <c r="J284" i="3"/>
  <c r="I284" i="3"/>
  <c r="H284" i="3"/>
  <c r="G284" i="3"/>
  <c r="Q283" i="3"/>
  <c r="P283" i="3"/>
  <c r="O283" i="3"/>
  <c r="N283" i="3"/>
  <c r="L283" i="3"/>
  <c r="K283" i="3"/>
  <c r="J283" i="3"/>
  <c r="I283" i="3"/>
  <c r="H283" i="3"/>
  <c r="G283" i="3"/>
  <c r="Q282" i="3"/>
  <c r="P282" i="3"/>
  <c r="O282" i="3"/>
  <c r="N282" i="3"/>
  <c r="L282" i="3"/>
  <c r="K282" i="3"/>
  <c r="J282" i="3"/>
  <c r="I282" i="3"/>
  <c r="H282" i="3"/>
  <c r="G282" i="3"/>
  <c r="Q281" i="3"/>
  <c r="P281" i="3"/>
  <c r="O281" i="3"/>
  <c r="N281" i="3"/>
  <c r="L281" i="3"/>
  <c r="K281" i="3"/>
  <c r="J281" i="3"/>
  <c r="I281" i="3"/>
  <c r="H281" i="3"/>
  <c r="G281" i="3"/>
  <c r="Q280" i="3"/>
  <c r="P280" i="3"/>
  <c r="O280" i="3"/>
  <c r="N280" i="3"/>
  <c r="L280" i="3"/>
  <c r="K280" i="3"/>
  <c r="J280" i="3"/>
  <c r="I280" i="3"/>
  <c r="H280" i="3"/>
  <c r="G280" i="3"/>
  <c r="Q279" i="3"/>
  <c r="P279" i="3"/>
  <c r="O279" i="3"/>
  <c r="N279" i="3"/>
  <c r="L279" i="3"/>
  <c r="K279" i="3"/>
  <c r="J279" i="3"/>
  <c r="I279" i="3"/>
  <c r="H279" i="3"/>
  <c r="G279" i="3"/>
  <c r="Q278" i="3"/>
  <c r="P278" i="3"/>
  <c r="O278" i="3"/>
  <c r="N278" i="3"/>
  <c r="L278" i="3"/>
  <c r="K278" i="3"/>
  <c r="J278" i="3"/>
  <c r="I278" i="3"/>
  <c r="H278" i="3"/>
  <c r="G278" i="3"/>
  <c r="Q277" i="3"/>
  <c r="P277" i="3"/>
  <c r="O277" i="3"/>
  <c r="N277" i="3"/>
  <c r="L277" i="3"/>
  <c r="K277" i="3"/>
  <c r="J277" i="3"/>
  <c r="I277" i="3"/>
  <c r="H277" i="3"/>
  <c r="G277" i="3"/>
  <c r="Q276" i="3"/>
  <c r="P276" i="3"/>
  <c r="O276" i="3"/>
  <c r="N276" i="3"/>
  <c r="L276" i="3"/>
  <c r="K276" i="3"/>
  <c r="J276" i="3"/>
  <c r="I276" i="3"/>
  <c r="H276" i="3"/>
  <c r="G276" i="3"/>
  <c r="Q275" i="3"/>
  <c r="P275" i="3"/>
  <c r="O275" i="3"/>
  <c r="N275" i="3"/>
  <c r="L275" i="3"/>
  <c r="K275" i="3"/>
  <c r="J275" i="3"/>
  <c r="I275" i="3"/>
  <c r="H275" i="3"/>
  <c r="G275" i="3"/>
  <c r="Q274" i="3"/>
  <c r="P274" i="3"/>
  <c r="O274" i="3"/>
  <c r="N274" i="3"/>
  <c r="L274" i="3"/>
  <c r="K274" i="3"/>
  <c r="J274" i="3"/>
  <c r="I274" i="3"/>
  <c r="H274" i="3"/>
  <c r="G274" i="3"/>
  <c r="Q273" i="3"/>
  <c r="P273" i="3"/>
  <c r="O273" i="3"/>
  <c r="N273" i="3"/>
  <c r="L273" i="3"/>
  <c r="K273" i="3"/>
  <c r="J273" i="3"/>
  <c r="I273" i="3"/>
  <c r="H273" i="3"/>
  <c r="G273" i="3"/>
  <c r="Q272" i="3"/>
  <c r="P272" i="3"/>
  <c r="O272" i="3"/>
  <c r="N272" i="3"/>
  <c r="L272" i="3"/>
  <c r="K272" i="3"/>
  <c r="J272" i="3"/>
  <c r="I272" i="3"/>
  <c r="H272" i="3"/>
  <c r="G272" i="3"/>
  <c r="Q271" i="3"/>
  <c r="P271" i="3"/>
  <c r="O271" i="3"/>
  <c r="N271" i="3"/>
  <c r="L271" i="3"/>
  <c r="K271" i="3"/>
  <c r="J271" i="3"/>
  <c r="I271" i="3"/>
  <c r="H271" i="3"/>
  <c r="G271" i="3"/>
  <c r="Q270" i="3"/>
  <c r="P270" i="3"/>
  <c r="O270" i="3"/>
  <c r="N270" i="3"/>
  <c r="L270" i="3"/>
  <c r="K270" i="3"/>
  <c r="J270" i="3"/>
  <c r="I270" i="3"/>
  <c r="H270" i="3"/>
  <c r="G270" i="3"/>
  <c r="Q269" i="3"/>
  <c r="P269" i="3"/>
  <c r="O269" i="3"/>
  <c r="N269" i="3"/>
  <c r="L269" i="3"/>
  <c r="K269" i="3"/>
  <c r="J269" i="3"/>
  <c r="I269" i="3"/>
  <c r="H269" i="3"/>
  <c r="G269" i="3"/>
  <c r="Q268" i="3"/>
  <c r="P268" i="3"/>
  <c r="O268" i="3"/>
  <c r="N268" i="3"/>
  <c r="L268" i="3"/>
  <c r="K268" i="3"/>
  <c r="J268" i="3"/>
  <c r="I268" i="3"/>
  <c r="H268" i="3"/>
  <c r="G268" i="3"/>
  <c r="Q267" i="3"/>
  <c r="P267" i="3"/>
  <c r="O267" i="3"/>
  <c r="N267" i="3"/>
  <c r="L267" i="3"/>
  <c r="K267" i="3"/>
  <c r="J267" i="3"/>
  <c r="I267" i="3"/>
  <c r="H267" i="3"/>
  <c r="G267" i="3"/>
  <c r="Q266" i="3"/>
  <c r="P266" i="3"/>
  <c r="O266" i="3"/>
  <c r="N266" i="3"/>
  <c r="L266" i="3"/>
  <c r="K266" i="3"/>
  <c r="J266" i="3"/>
  <c r="I266" i="3"/>
  <c r="H266" i="3"/>
  <c r="G266" i="3"/>
  <c r="Q265" i="3"/>
  <c r="P265" i="3"/>
  <c r="O265" i="3"/>
  <c r="N265" i="3"/>
  <c r="L265" i="3"/>
  <c r="K265" i="3"/>
  <c r="J265" i="3"/>
  <c r="I265" i="3"/>
  <c r="H265" i="3"/>
  <c r="G265" i="3"/>
  <c r="Q264" i="3"/>
  <c r="P264" i="3"/>
  <c r="O264" i="3"/>
  <c r="N264" i="3"/>
  <c r="L264" i="3"/>
  <c r="K264" i="3"/>
  <c r="J264" i="3"/>
  <c r="I264" i="3"/>
  <c r="H264" i="3"/>
  <c r="G264" i="3"/>
  <c r="Q263" i="3"/>
  <c r="P263" i="3"/>
  <c r="O263" i="3"/>
  <c r="N263" i="3"/>
  <c r="L263" i="3"/>
  <c r="K263" i="3"/>
  <c r="J263" i="3"/>
  <c r="I263" i="3"/>
  <c r="H263" i="3"/>
  <c r="G263" i="3"/>
  <c r="Q262" i="3"/>
  <c r="P262" i="3"/>
  <c r="O262" i="3"/>
  <c r="N262" i="3"/>
  <c r="L262" i="3"/>
  <c r="K262" i="3"/>
  <c r="J262" i="3"/>
  <c r="I262" i="3"/>
  <c r="H262" i="3"/>
  <c r="G262" i="3"/>
  <c r="Q261" i="3"/>
  <c r="P261" i="3"/>
  <c r="O261" i="3"/>
  <c r="N261" i="3"/>
  <c r="L261" i="3"/>
  <c r="K261" i="3"/>
  <c r="J261" i="3"/>
  <c r="I261" i="3"/>
  <c r="H261" i="3"/>
  <c r="G261" i="3"/>
  <c r="Q260" i="3"/>
  <c r="P260" i="3"/>
  <c r="O260" i="3"/>
  <c r="N260" i="3"/>
  <c r="L260" i="3"/>
  <c r="K260" i="3"/>
  <c r="J260" i="3"/>
  <c r="I260" i="3"/>
  <c r="H260" i="3"/>
  <c r="G260" i="3"/>
  <c r="Q259" i="3"/>
  <c r="P259" i="3"/>
  <c r="O259" i="3"/>
  <c r="N259" i="3"/>
  <c r="L259" i="3"/>
  <c r="K259" i="3"/>
  <c r="J259" i="3"/>
  <c r="I259" i="3"/>
  <c r="H259" i="3"/>
  <c r="G259" i="3"/>
  <c r="Q258" i="3"/>
  <c r="P258" i="3"/>
  <c r="O258" i="3"/>
  <c r="N258" i="3"/>
  <c r="L258" i="3"/>
  <c r="K258" i="3"/>
  <c r="J258" i="3"/>
  <c r="I258" i="3"/>
  <c r="H258" i="3"/>
  <c r="G258" i="3"/>
  <c r="Q257" i="3"/>
  <c r="P257" i="3"/>
  <c r="O257" i="3"/>
  <c r="N257" i="3"/>
  <c r="L257" i="3"/>
  <c r="K257" i="3"/>
  <c r="J257" i="3"/>
  <c r="I257" i="3"/>
  <c r="H257" i="3"/>
  <c r="G257" i="3"/>
  <c r="Q256" i="3"/>
  <c r="P256" i="3"/>
  <c r="O256" i="3"/>
  <c r="N256" i="3"/>
  <c r="L256" i="3"/>
  <c r="K256" i="3"/>
  <c r="J256" i="3"/>
  <c r="I256" i="3"/>
  <c r="H256" i="3"/>
  <c r="G256" i="3"/>
  <c r="Q255" i="3"/>
  <c r="P255" i="3"/>
  <c r="O255" i="3"/>
  <c r="N255" i="3"/>
  <c r="L255" i="3"/>
  <c r="K255" i="3"/>
  <c r="J255" i="3"/>
  <c r="I255" i="3"/>
  <c r="H255" i="3"/>
  <c r="G255" i="3"/>
  <c r="Q254" i="3"/>
  <c r="P254" i="3"/>
  <c r="O254" i="3"/>
  <c r="N254" i="3"/>
  <c r="L254" i="3"/>
  <c r="K254" i="3"/>
  <c r="J254" i="3"/>
  <c r="I254" i="3"/>
  <c r="H254" i="3"/>
  <c r="G254" i="3"/>
  <c r="Q253" i="3"/>
  <c r="P253" i="3"/>
  <c r="O253" i="3"/>
  <c r="N253" i="3"/>
  <c r="L253" i="3"/>
  <c r="K253" i="3"/>
  <c r="J253" i="3"/>
  <c r="I253" i="3"/>
  <c r="H253" i="3"/>
  <c r="G253" i="3"/>
  <c r="Q252" i="3"/>
  <c r="P252" i="3"/>
  <c r="O252" i="3"/>
  <c r="N252" i="3"/>
  <c r="L252" i="3"/>
  <c r="K252" i="3"/>
  <c r="J252" i="3"/>
  <c r="I252" i="3"/>
  <c r="H252" i="3"/>
  <c r="G252" i="3"/>
  <c r="Q251" i="3"/>
  <c r="P251" i="3"/>
  <c r="O251" i="3"/>
  <c r="N251" i="3"/>
  <c r="L251" i="3"/>
  <c r="K251" i="3"/>
  <c r="J251" i="3"/>
  <c r="I251" i="3"/>
  <c r="H251" i="3"/>
  <c r="G251" i="3"/>
  <c r="Q250" i="3"/>
  <c r="P250" i="3"/>
  <c r="O250" i="3"/>
  <c r="N250" i="3"/>
  <c r="L250" i="3"/>
  <c r="K250" i="3"/>
  <c r="J250" i="3"/>
  <c r="I250" i="3"/>
  <c r="H250" i="3"/>
  <c r="G250" i="3"/>
  <c r="Q249" i="3"/>
  <c r="P249" i="3"/>
  <c r="O249" i="3"/>
  <c r="N249" i="3"/>
  <c r="L249" i="3"/>
  <c r="K249" i="3"/>
  <c r="J249" i="3"/>
  <c r="I249" i="3"/>
  <c r="H249" i="3"/>
  <c r="G249" i="3"/>
  <c r="Q248" i="3"/>
  <c r="P248" i="3"/>
  <c r="O248" i="3"/>
  <c r="N248" i="3"/>
  <c r="L248" i="3"/>
  <c r="K248" i="3"/>
  <c r="J248" i="3"/>
  <c r="I248" i="3"/>
  <c r="H248" i="3"/>
  <c r="G248" i="3"/>
  <c r="Q247" i="3"/>
  <c r="P247" i="3"/>
  <c r="O247" i="3"/>
  <c r="N247" i="3"/>
  <c r="L247" i="3"/>
  <c r="K247" i="3"/>
  <c r="J247" i="3"/>
  <c r="I247" i="3"/>
  <c r="H247" i="3"/>
  <c r="G247" i="3"/>
  <c r="Q246" i="3"/>
  <c r="P246" i="3"/>
  <c r="O246" i="3"/>
  <c r="N246" i="3"/>
  <c r="L246" i="3"/>
  <c r="K246" i="3"/>
  <c r="J246" i="3"/>
  <c r="I246" i="3"/>
  <c r="H246" i="3"/>
  <c r="G246" i="3"/>
  <c r="Q245" i="3"/>
  <c r="P245" i="3"/>
  <c r="O245" i="3"/>
  <c r="N245" i="3"/>
  <c r="L245" i="3"/>
  <c r="K245" i="3"/>
  <c r="J245" i="3"/>
  <c r="I245" i="3"/>
  <c r="H245" i="3"/>
  <c r="G245" i="3"/>
  <c r="Q244" i="3"/>
  <c r="P244" i="3"/>
  <c r="O244" i="3"/>
  <c r="N244" i="3"/>
  <c r="L244" i="3"/>
  <c r="K244" i="3"/>
  <c r="J244" i="3"/>
  <c r="I244" i="3"/>
  <c r="H244" i="3"/>
  <c r="G244" i="3"/>
  <c r="Q243" i="3"/>
  <c r="P243" i="3"/>
  <c r="O243" i="3"/>
  <c r="N243" i="3"/>
  <c r="L243" i="3"/>
  <c r="K243" i="3"/>
  <c r="J243" i="3"/>
  <c r="I243" i="3"/>
  <c r="H243" i="3"/>
  <c r="G243" i="3"/>
  <c r="Q242" i="3"/>
  <c r="P242" i="3"/>
  <c r="O242" i="3"/>
  <c r="N242" i="3"/>
  <c r="L242" i="3"/>
  <c r="K242" i="3"/>
  <c r="J242" i="3"/>
  <c r="I242" i="3"/>
  <c r="H242" i="3"/>
  <c r="G242" i="3"/>
  <c r="Q241" i="3"/>
  <c r="P241" i="3"/>
  <c r="O241" i="3"/>
  <c r="N241" i="3"/>
  <c r="L241" i="3"/>
  <c r="K241" i="3"/>
  <c r="J241" i="3"/>
  <c r="I241" i="3"/>
  <c r="H241" i="3"/>
  <c r="G241" i="3"/>
  <c r="Q240" i="3"/>
  <c r="P240" i="3"/>
  <c r="O240" i="3"/>
  <c r="N240" i="3"/>
  <c r="L240" i="3"/>
  <c r="K240" i="3"/>
  <c r="J240" i="3"/>
  <c r="I240" i="3"/>
  <c r="H240" i="3"/>
  <c r="G240" i="3"/>
  <c r="Q239" i="3"/>
  <c r="P239" i="3"/>
  <c r="O239" i="3"/>
  <c r="N239" i="3"/>
  <c r="L239" i="3"/>
  <c r="K239" i="3"/>
  <c r="J239" i="3"/>
  <c r="I239" i="3"/>
  <c r="H239" i="3"/>
  <c r="G239" i="3"/>
  <c r="Q238" i="3"/>
  <c r="P238" i="3"/>
  <c r="O238" i="3"/>
  <c r="N238" i="3"/>
  <c r="L238" i="3"/>
  <c r="K238" i="3"/>
  <c r="J238" i="3"/>
  <c r="I238" i="3"/>
  <c r="H238" i="3"/>
  <c r="G238" i="3"/>
  <c r="Q237" i="3"/>
  <c r="P237" i="3"/>
  <c r="O237" i="3"/>
  <c r="N237" i="3"/>
  <c r="L237" i="3"/>
  <c r="K237" i="3"/>
  <c r="J237" i="3"/>
  <c r="I237" i="3"/>
  <c r="H237" i="3"/>
  <c r="G237" i="3"/>
  <c r="Q236" i="3"/>
  <c r="P236" i="3"/>
  <c r="O236" i="3"/>
  <c r="N236" i="3"/>
  <c r="L236" i="3"/>
  <c r="K236" i="3"/>
  <c r="J236" i="3"/>
  <c r="I236" i="3"/>
  <c r="H236" i="3"/>
  <c r="G236" i="3"/>
  <c r="Q235" i="3"/>
  <c r="P235" i="3"/>
  <c r="O235" i="3"/>
  <c r="N235" i="3"/>
  <c r="L235" i="3"/>
  <c r="K235" i="3"/>
  <c r="J235" i="3"/>
  <c r="I235" i="3"/>
  <c r="H235" i="3"/>
  <c r="G235" i="3"/>
  <c r="Q234" i="3"/>
  <c r="P234" i="3"/>
  <c r="O234" i="3"/>
  <c r="N234" i="3"/>
  <c r="L234" i="3"/>
  <c r="K234" i="3"/>
  <c r="J234" i="3"/>
  <c r="I234" i="3"/>
  <c r="H234" i="3"/>
  <c r="G234" i="3"/>
  <c r="Q233" i="3"/>
  <c r="P233" i="3"/>
  <c r="O233" i="3"/>
  <c r="N233" i="3"/>
  <c r="L233" i="3"/>
  <c r="K233" i="3"/>
  <c r="J233" i="3"/>
  <c r="I233" i="3"/>
  <c r="H233" i="3"/>
  <c r="G233" i="3"/>
  <c r="Q232" i="3"/>
  <c r="P232" i="3"/>
  <c r="O232" i="3"/>
  <c r="N232" i="3"/>
  <c r="L232" i="3"/>
  <c r="K232" i="3"/>
  <c r="J232" i="3"/>
  <c r="I232" i="3"/>
  <c r="H232" i="3"/>
  <c r="G232" i="3"/>
  <c r="Q231" i="3"/>
  <c r="P231" i="3"/>
  <c r="O231" i="3"/>
  <c r="N231" i="3"/>
  <c r="L231" i="3"/>
  <c r="K231" i="3"/>
  <c r="J231" i="3"/>
  <c r="I231" i="3"/>
  <c r="H231" i="3"/>
  <c r="G231" i="3"/>
  <c r="Q230" i="3"/>
  <c r="P230" i="3"/>
  <c r="O230" i="3"/>
  <c r="N230" i="3"/>
  <c r="L230" i="3"/>
  <c r="K230" i="3"/>
  <c r="J230" i="3"/>
  <c r="I230" i="3"/>
  <c r="H230" i="3"/>
  <c r="G230" i="3"/>
  <c r="Q229" i="3"/>
  <c r="P229" i="3"/>
  <c r="O229" i="3"/>
  <c r="N229" i="3"/>
  <c r="L229" i="3"/>
  <c r="K229" i="3"/>
  <c r="J229" i="3"/>
  <c r="I229" i="3"/>
  <c r="H229" i="3"/>
  <c r="G229" i="3"/>
  <c r="Q228" i="3"/>
  <c r="P228" i="3"/>
  <c r="O228" i="3"/>
  <c r="N228" i="3"/>
  <c r="L228" i="3"/>
  <c r="K228" i="3"/>
  <c r="J228" i="3"/>
  <c r="I228" i="3"/>
  <c r="H228" i="3"/>
  <c r="G228" i="3"/>
  <c r="Q227" i="3"/>
  <c r="P227" i="3"/>
  <c r="O227" i="3"/>
  <c r="N227" i="3"/>
  <c r="L227" i="3"/>
  <c r="K227" i="3"/>
  <c r="J227" i="3"/>
  <c r="I227" i="3"/>
  <c r="H227" i="3"/>
  <c r="G227" i="3"/>
  <c r="Q226" i="3"/>
  <c r="P226" i="3"/>
  <c r="O226" i="3"/>
  <c r="N226" i="3"/>
  <c r="L226" i="3"/>
  <c r="K226" i="3"/>
  <c r="J226" i="3"/>
  <c r="I226" i="3"/>
  <c r="H226" i="3"/>
  <c r="G226" i="3"/>
  <c r="Q225" i="3"/>
  <c r="P225" i="3"/>
  <c r="O225" i="3"/>
  <c r="N225" i="3"/>
  <c r="L225" i="3"/>
  <c r="K225" i="3"/>
  <c r="J225" i="3"/>
  <c r="I225" i="3"/>
  <c r="H225" i="3"/>
  <c r="G225" i="3"/>
  <c r="Q224" i="3"/>
  <c r="P224" i="3"/>
  <c r="O224" i="3"/>
  <c r="N224" i="3"/>
  <c r="L224" i="3"/>
  <c r="K224" i="3"/>
  <c r="J224" i="3"/>
  <c r="I224" i="3"/>
  <c r="H224" i="3"/>
  <c r="G224" i="3"/>
  <c r="Q223" i="3"/>
  <c r="P223" i="3"/>
  <c r="O223" i="3"/>
  <c r="N223" i="3"/>
  <c r="L223" i="3"/>
  <c r="K223" i="3"/>
  <c r="J223" i="3"/>
  <c r="I223" i="3"/>
  <c r="H223" i="3"/>
  <c r="G223" i="3"/>
  <c r="Q222" i="3"/>
  <c r="P222" i="3"/>
  <c r="O222" i="3"/>
  <c r="N222" i="3"/>
  <c r="L222" i="3"/>
  <c r="K222" i="3"/>
  <c r="J222" i="3"/>
  <c r="I222" i="3"/>
  <c r="H222" i="3"/>
  <c r="G222" i="3"/>
  <c r="Q221" i="3"/>
  <c r="P221" i="3"/>
  <c r="O221" i="3"/>
  <c r="N221" i="3"/>
  <c r="L221" i="3"/>
  <c r="K221" i="3"/>
  <c r="J221" i="3"/>
  <c r="I221" i="3"/>
  <c r="H221" i="3"/>
  <c r="G221" i="3"/>
  <c r="Q220" i="3"/>
  <c r="P220" i="3"/>
  <c r="O220" i="3"/>
  <c r="N220" i="3"/>
  <c r="L220" i="3"/>
  <c r="K220" i="3"/>
  <c r="J220" i="3"/>
  <c r="I220" i="3"/>
  <c r="H220" i="3"/>
  <c r="G220" i="3"/>
  <c r="Q219" i="3"/>
  <c r="P219" i="3"/>
  <c r="O219" i="3"/>
  <c r="N219" i="3"/>
  <c r="L219" i="3"/>
  <c r="K219" i="3"/>
  <c r="J219" i="3"/>
  <c r="I219" i="3"/>
  <c r="H219" i="3"/>
  <c r="G219" i="3"/>
  <c r="Q218" i="3"/>
  <c r="P218" i="3"/>
  <c r="O218" i="3"/>
  <c r="N218" i="3"/>
  <c r="L218" i="3"/>
  <c r="K218" i="3"/>
  <c r="J218" i="3"/>
  <c r="I218" i="3"/>
  <c r="H218" i="3"/>
  <c r="G218" i="3"/>
  <c r="Q217" i="3"/>
  <c r="P217" i="3"/>
  <c r="O217" i="3"/>
  <c r="N217" i="3"/>
  <c r="L217" i="3"/>
  <c r="K217" i="3"/>
  <c r="J217" i="3"/>
  <c r="I217" i="3"/>
  <c r="H217" i="3"/>
  <c r="G217" i="3"/>
  <c r="Q216" i="3"/>
  <c r="P216" i="3"/>
  <c r="O216" i="3"/>
  <c r="N216" i="3"/>
  <c r="L216" i="3"/>
  <c r="K216" i="3"/>
  <c r="J216" i="3"/>
  <c r="I216" i="3"/>
  <c r="H216" i="3"/>
  <c r="G216" i="3"/>
  <c r="Q215" i="3"/>
  <c r="P215" i="3"/>
  <c r="O215" i="3"/>
  <c r="N215" i="3"/>
  <c r="L215" i="3"/>
  <c r="K215" i="3"/>
  <c r="J215" i="3"/>
  <c r="I215" i="3"/>
  <c r="H215" i="3"/>
  <c r="G215" i="3"/>
  <c r="Q214" i="3"/>
  <c r="P214" i="3"/>
  <c r="O214" i="3"/>
  <c r="N214" i="3"/>
  <c r="L214" i="3"/>
  <c r="K214" i="3"/>
  <c r="J214" i="3"/>
  <c r="I214" i="3"/>
  <c r="H214" i="3"/>
  <c r="G214" i="3"/>
  <c r="Q213" i="3"/>
  <c r="P213" i="3"/>
  <c r="O213" i="3"/>
  <c r="N213" i="3"/>
  <c r="L213" i="3"/>
  <c r="K213" i="3"/>
  <c r="J213" i="3"/>
  <c r="I213" i="3"/>
  <c r="H213" i="3"/>
  <c r="G213" i="3"/>
  <c r="Q212" i="3"/>
  <c r="P212" i="3"/>
  <c r="O212" i="3"/>
  <c r="N212" i="3"/>
  <c r="L212" i="3"/>
  <c r="K212" i="3"/>
  <c r="J212" i="3"/>
  <c r="I212" i="3"/>
  <c r="H212" i="3"/>
  <c r="G212" i="3"/>
  <c r="Q211" i="3"/>
  <c r="P211" i="3"/>
  <c r="O211" i="3"/>
  <c r="N211" i="3"/>
  <c r="L211" i="3"/>
  <c r="K211" i="3"/>
  <c r="J211" i="3"/>
  <c r="I211" i="3"/>
  <c r="H211" i="3"/>
  <c r="G211" i="3"/>
  <c r="Q210" i="3"/>
  <c r="P210" i="3"/>
  <c r="O210" i="3"/>
  <c r="N210" i="3"/>
  <c r="L210" i="3"/>
  <c r="K210" i="3"/>
  <c r="J210" i="3"/>
  <c r="I210" i="3"/>
  <c r="H210" i="3"/>
  <c r="G210" i="3"/>
  <c r="Q209" i="3"/>
  <c r="P209" i="3"/>
  <c r="O209" i="3"/>
  <c r="N209" i="3"/>
  <c r="L209" i="3"/>
  <c r="K209" i="3"/>
  <c r="J209" i="3"/>
  <c r="I209" i="3"/>
  <c r="H209" i="3"/>
  <c r="G209" i="3"/>
  <c r="Q208" i="3"/>
  <c r="P208" i="3"/>
  <c r="O208" i="3"/>
  <c r="N208" i="3"/>
  <c r="L208" i="3"/>
  <c r="K208" i="3"/>
  <c r="J208" i="3"/>
  <c r="I208" i="3"/>
  <c r="H208" i="3"/>
  <c r="G208" i="3"/>
  <c r="Q207" i="3"/>
  <c r="P207" i="3"/>
  <c r="O207" i="3"/>
  <c r="N207" i="3"/>
  <c r="L207" i="3"/>
  <c r="K207" i="3"/>
  <c r="J207" i="3"/>
  <c r="I207" i="3"/>
  <c r="H207" i="3"/>
  <c r="G207" i="3"/>
  <c r="Q206" i="3"/>
  <c r="P206" i="3"/>
  <c r="O206" i="3"/>
  <c r="N206" i="3"/>
  <c r="L206" i="3"/>
  <c r="K206" i="3"/>
  <c r="J206" i="3"/>
  <c r="I206" i="3"/>
  <c r="H206" i="3"/>
  <c r="G206" i="3"/>
  <c r="Q205" i="3"/>
  <c r="P205" i="3"/>
  <c r="O205" i="3"/>
  <c r="N205" i="3"/>
  <c r="L205" i="3"/>
  <c r="K205" i="3"/>
  <c r="J205" i="3"/>
  <c r="I205" i="3"/>
  <c r="H205" i="3"/>
  <c r="G205" i="3"/>
  <c r="Q204" i="3"/>
  <c r="P204" i="3"/>
  <c r="O204" i="3"/>
  <c r="N204" i="3"/>
  <c r="L204" i="3"/>
  <c r="K204" i="3"/>
  <c r="J204" i="3"/>
  <c r="I204" i="3"/>
  <c r="H204" i="3"/>
  <c r="G204" i="3"/>
  <c r="Q203" i="3"/>
  <c r="P203" i="3"/>
  <c r="O203" i="3"/>
  <c r="N203" i="3"/>
  <c r="L203" i="3"/>
  <c r="K203" i="3"/>
  <c r="J203" i="3"/>
  <c r="I203" i="3"/>
  <c r="H203" i="3"/>
  <c r="G203" i="3"/>
  <c r="Q202" i="3"/>
  <c r="P202" i="3"/>
  <c r="O202" i="3"/>
  <c r="N202" i="3"/>
  <c r="L202" i="3"/>
  <c r="K202" i="3"/>
  <c r="J202" i="3"/>
  <c r="I202" i="3"/>
  <c r="H202" i="3"/>
  <c r="G202" i="3"/>
  <c r="Q201" i="3"/>
  <c r="P201" i="3"/>
  <c r="O201" i="3"/>
  <c r="N201" i="3"/>
  <c r="L201" i="3"/>
  <c r="K201" i="3"/>
  <c r="J201" i="3"/>
  <c r="I201" i="3"/>
  <c r="H201" i="3"/>
  <c r="G201" i="3"/>
  <c r="Q200" i="3"/>
  <c r="P200" i="3"/>
  <c r="O200" i="3"/>
  <c r="N200" i="3"/>
  <c r="L200" i="3"/>
  <c r="K200" i="3"/>
  <c r="J200" i="3"/>
  <c r="I200" i="3"/>
  <c r="H200" i="3"/>
  <c r="G200" i="3"/>
  <c r="Q199" i="3"/>
  <c r="P199" i="3"/>
  <c r="O199" i="3"/>
  <c r="N199" i="3"/>
  <c r="L199" i="3"/>
  <c r="K199" i="3"/>
  <c r="J199" i="3"/>
  <c r="I199" i="3"/>
  <c r="H199" i="3"/>
  <c r="G199" i="3"/>
  <c r="Q198" i="3"/>
  <c r="P198" i="3"/>
  <c r="O198" i="3"/>
  <c r="N198" i="3"/>
  <c r="L198" i="3"/>
  <c r="K198" i="3"/>
  <c r="J198" i="3"/>
  <c r="I198" i="3"/>
  <c r="H198" i="3"/>
  <c r="G198" i="3"/>
  <c r="Q197" i="3"/>
  <c r="P197" i="3"/>
  <c r="O197" i="3"/>
  <c r="N197" i="3"/>
  <c r="L197" i="3"/>
  <c r="K197" i="3"/>
  <c r="J197" i="3"/>
  <c r="I197" i="3"/>
  <c r="H197" i="3"/>
  <c r="G197" i="3"/>
  <c r="Q196" i="3"/>
  <c r="P196" i="3"/>
  <c r="O196" i="3"/>
  <c r="N196" i="3"/>
  <c r="L196" i="3"/>
  <c r="K196" i="3"/>
  <c r="J196" i="3"/>
  <c r="I196" i="3"/>
  <c r="H196" i="3"/>
  <c r="G196" i="3"/>
  <c r="Q195" i="3"/>
  <c r="P195" i="3"/>
  <c r="O195" i="3"/>
  <c r="N195" i="3"/>
  <c r="L195" i="3"/>
  <c r="K195" i="3"/>
  <c r="J195" i="3"/>
  <c r="I195" i="3"/>
  <c r="H195" i="3"/>
  <c r="G195" i="3"/>
  <c r="Q194" i="3"/>
  <c r="P194" i="3"/>
  <c r="O194" i="3"/>
  <c r="N194" i="3"/>
  <c r="L194" i="3"/>
  <c r="K194" i="3"/>
  <c r="J194" i="3"/>
  <c r="I194" i="3"/>
  <c r="H194" i="3"/>
  <c r="G194" i="3"/>
  <c r="Q193" i="3"/>
  <c r="P193" i="3"/>
  <c r="O193" i="3"/>
  <c r="N193" i="3"/>
  <c r="L193" i="3"/>
  <c r="K193" i="3"/>
  <c r="J193" i="3"/>
  <c r="I193" i="3"/>
  <c r="H193" i="3"/>
  <c r="G193" i="3"/>
  <c r="Q192" i="3"/>
  <c r="P192" i="3"/>
  <c r="O192" i="3"/>
  <c r="N192" i="3"/>
  <c r="L192" i="3"/>
  <c r="K192" i="3"/>
  <c r="J192" i="3"/>
  <c r="I192" i="3"/>
  <c r="H192" i="3"/>
  <c r="G192" i="3"/>
  <c r="Q191" i="3"/>
  <c r="P191" i="3"/>
  <c r="O191" i="3"/>
  <c r="N191" i="3"/>
  <c r="L191" i="3"/>
  <c r="K191" i="3"/>
  <c r="J191" i="3"/>
  <c r="I191" i="3"/>
  <c r="H191" i="3"/>
  <c r="G191" i="3"/>
  <c r="Q190" i="3"/>
  <c r="P190" i="3"/>
  <c r="O190" i="3"/>
  <c r="N190" i="3"/>
  <c r="L190" i="3"/>
  <c r="K190" i="3"/>
  <c r="J190" i="3"/>
  <c r="I190" i="3"/>
  <c r="H190" i="3"/>
  <c r="G190" i="3"/>
  <c r="Q189" i="3"/>
  <c r="P189" i="3"/>
  <c r="O189" i="3"/>
  <c r="N189" i="3"/>
  <c r="L189" i="3"/>
  <c r="K189" i="3"/>
  <c r="J189" i="3"/>
  <c r="I189" i="3"/>
  <c r="H189" i="3"/>
  <c r="G189" i="3"/>
  <c r="Q188" i="3"/>
  <c r="P188" i="3"/>
  <c r="O188" i="3"/>
  <c r="N188" i="3"/>
  <c r="L188" i="3"/>
  <c r="K188" i="3"/>
  <c r="J188" i="3"/>
  <c r="I188" i="3"/>
  <c r="H188" i="3"/>
  <c r="G188" i="3"/>
  <c r="Q187" i="3"/>
  <c r="P187" i="3"/>
  <c r="O187" i="3"/>
  <c r="N187" i="3"/>
  <c r="L187" i="3"/>
  <c r="K187" i="3"/>
  <c r="J187" i="3"/>
  <c r="I187" i="3"/>
  <c r="H187" i="3"/>
  <c r="G187" i="3"/>
  <c r="Q186" i="3"/>
  <c r="P186" i="3"/>
  <c r="O186" i="3"/>
  <c r="N186" i="3"/>
  <c r="L186" i="3"/>
  <c r="K186" i="3"/>
  <c r="J186" i="3"/>
  <c r="I186" i="3"/>
  <c r="H186" i="3"/>
  <c r="G186" i="3"/>
  <c r="Q185" i="3"/>
  <c r="P185" i="3"/>
  <c r="O185" i="3"/>
  <c r="N185" i="3"/>
  <c r="L185" i="3"/>
  <c r="K185" i="3"/>
  <c r="J185" i="3"/>
  <c r="I185" i="3"/>
  <c r="H185" i="3"/>
  <c r="G185" i="3"/>
  <c r="Q184" i="3"/>
  <c r="P184" i="3"/>
  <c r="O184" i="3"/>
  <c r="N184" i="3"/>
  <c r="L184" i="3"/>
  <c r="K184" i="3"/>
  <c r="J184" i="3"/>
  <c r="I184" i="3"/>
  <c r="H184" i="3"/>
  <c r="G184" i="3"/>
  <c r="Q183" i="3"/>
  <c r="P183" i="3"/>
  <c r="O183" i="3"/>
  <c r="N183" i="3"/>
  <c r="L183" i="3"/>
  <c r="K183" i="3"/>
  <c r="J183" i="3"/>
  <c r="I183" i="3"/>
  <c r="H183" i="3"/>
  <c r="G183" i="3"/>
  <c r="Q182" i="3"/>
  <c r="P182" i="3"/>
  <c r="O182" i="3"/>
  <c r="N182" i="3"/>
  <c r="L182" i="3"/>
  <c r="K182" i="3"/>
  <c r="J182" i="3"/>
  <c r="I182" i="3"/>
  <c r="H182" i="3"/>
  <c r="G182" i="3"/>
  <c r="Q181" i="3"/>
  <c r="P181" i="3"/>
  <c r="O181" i="3"/>
  <c r="N181" i="3"/>
  <c r="L181" i="3"/>
  <c r="K181" i="3"/>
  <c r="J181" i="3"/>
  <c r="I181" i="3"/>
  <c r="H181" i="3"/>
  <c r="G181" i="3"/>
  <c r="Q180" i="3"/>
  <c r="P180" i="3"/>
  <c r="O180" i="3"/>
  <c r="N180" i="3"/>
  <c r="L180" i="3"/>
  <c r="K180" i="3"/>
  <c r="J180" i="3"/>
  <c r="I180" i="3"/>
  <c r="H180" i="3"/>
  <c r="G180" i="3"/>
  <c r="Q179" i="3"/>
  <c r="P179" i="3"/>
  <c r="O179" i="3"/>
  <c r="N179" i="3"/>
  <c r="L179" i="3"/>
  <c r="K179" i="3"/>
  <c r="J179" i="3"/>
  <c r="I179" i="3"/>
  <c r="H179" i="3"/>
  <c r="G179" i="3"/>
  <c r="Q178" i="3"/>
  <c r="P178" i="3"/>
  <c r="O178" i="3"/>
  <c r="N178" i="3"/>
  <c r="L178" i="3"/>
  <c r="K178" i="3"/>
  <c r="J178" i="3"/>
  <c r="I178" i="3"/>
  <c r="H178" i="3"/>
  <c r="G178" i="3"/>
  <c r="Q177" i="3"/>
  <c r="P177" i="3"/>
  <c r="O177" i="3"/>
  <c r="N177" i="3"/>
  <c r="L177" i="3"/>
  <c r="K177" i="3"/>
  <c r="J177" i="3"/>
  <c r="I177" i="3"/>
  <c r="H177" i="3"/>
  <c r="G177" i="3"/>
  <c r="Q176" i="3"/>
  <c r="P176" i="3"/>
  <c r="O176" i="3"/>
  <c r="N176" i="3"/>
  <c r="L176" i="3"/>
  <c r="K176" i="3"/>
  <c r="J176" i="3"/>
  <c r="I176" i="3"/>
  <c r="H176" i="3"/>
  <c r="G176" i="3"/>
  <c r="Q175" i="3"/>
  <c r="P175" i="3"/>
  <c r="O175" i="3"/>
  <c r="N175" i="3"/>
  <c r="L175" i="3"/>
  <c r="K175" i="3"/>
  <c r="J175" i="3"/>
  <c r="I175" i="3"/>
  <c r="H175" i="3"/>
  <c r="G175" i="3"/>
  <c r="Q174" i="3"/>
  <c r="P174" i="3"/>
  <c r="O174" i="3"/>
  <c r="N174" i="3"/>
  <c r="L174" i="3"/>
  <c r="K174" i="3"/>
  <c r="J174" i="3"/>
  <c r="I174" i="3"/>
  <c r="H174" i="3"/>
  <c r="G174" i="3"/>
  <c r="Q173" i="3"/>
  <c r="P173" i="3"/>
  <c r="O173" i="3"/>
  <c r="N173" i="3"/>
  <c r="L173" i="3"/>
  <c r="K173" i="3"/>
  <c r="J173" i="3"/>
  <c r="I173" i="3"/>
  <c r="H173" i="3"/>
  <c r="G173" i="3"/>
  <c r="Q172" i="3"/>
  <c r="P172" i="3"/>
  <c r="O172" i="3"/>
  <c r="N172" i="3"/>
  <c r="L172" i="3"/>
  <c r="K172" i="3"/>
  <c r="J172" i="3"/>
  <c r="I172" i="3"/>
  <c r="H172" i="3"/>
  <c r="G172" i="3"/>
  <c r="Q171" i="3"/>
  <c r="P171" i="3"/>
  <c r="O171" i="3"/>
  <c r="N171" i="3"/>
  <c r="L171" i="3"/>
  <c r="K171" i="3"/>
  <c r="J171" i="3"/>
  <c r="I171" i="3"/>
  <c r="H171" i="3"/>
  <c r="G171" i="3"/>
  <c r="Q170" i="3"/>
  <c r="P170" i="3"/>
  <c r="O170" i="3"/>
  <c r="N170" i="3"/>
  <c r="L170" i="3"/>
  <c r="K170" i="3"/>
  <c r="J170" i="3"/>
  <c r="I170" i="3"/>
  <c r="H170" i="3"/>
  <c r="G170" i="3"/>
  <c r="Q169" i="3"/>
  <c r="P169" i="3"/>
  <c r="O169" i="3"/>
  <c r="N169" i="3"/>
  <c r="L169" i="3"/>
  <c r="K169" i="3"/>
  <c r="J169" i="3"/>
  <c r="I169" i="3"/>
  <c r="H169" i="3"/>
  <c r="G169" i="3"/>
  <c r="Q168" i="3"/>
  <c r="P168" i="3"/>
  <c r="O168" i="3"/>
  <c r="N168" i="3"/>
  <c r="L168" i="3"/>
  <c r="K168" i="3"/>
  <c r="J168" i="3"/>
  <c r="I168" i="3"/>
  <c r="H168" i="3"/>
  <c r="G168" i="3"/>
  <c r="Q167" i="3"/>
  <c r="P167" i="3"/>
  <c r="O167" i="3"/>
  <c r="N167" i="3"/>
  <c r="L167" i="3"/>
  <c r="K167" i="3"/>
  <c r="J167" i="3"/>
  <c r="I167" i="3"/>
  <c r="H167" i="3"/>
  <c r="G167" i="3"/>
  <c r="Q166" i="3"/>
  <c r="P166" i="3"/>
  <c r="O166" i="3"/>
  <c r="N166" i="3"/>
  <c r="L166" i="3"/>
  <c r="K166" i="3"/>
  <c r="J166" i="3"/>
  <c r="I166" i="3"/>
  <c r="H166" i="3"/>
  <c r="G166" i="3"/>
  <c r="Q165" i="3"/>
  <c r="P165" i="3"/>
  <c r="O165" i="3"/>
  <c r="N165" i="3"/>
  <c r="L165" i="3"/>
  <c r="K165" i="3"/>
  <c r="J165" i="3"/>
  <c r="I165" i="3"/>
  <c r="H165" i="3"/>
  <c r="G165" i="3"/>
  <c r="Q164" i="3"/>
  <c r="P164" i="3"/>
  <c r="O164" i="3"/>
  <c r="N164" i="3"/>
  <c r="L164" i="3"/>
  <c r="K164" i="3"/>
  <c r="J164" i="3"/>
  <c r="I164" i="3"/>
  <c r="H164" i="3"/>
  <c r="G164" i="3"/>
  <c r="Q163" i="3"/>
  <c r="P163" i="3"/>
  <c r="O163" i="3"/>
  <c r="N163" i="3"/>
  <c r="L163" i="3"/>
  <c r="K163" i="3"/>
  <c r="J163" i="3"/>
  <c r="I163" i="3"/>
  <c r="H163" i="3"/>
  <c r="G163" i="3"/>
  <c r="Q162" i="3"/>
  <c r="P162" i="3"/>
  <c r="O162" i="3"/>
  <c r="N162" i="3"/>
  <c r="L162" i="3"/>
  <c r="K162" i="3"/>
  <c r="J162" i="3"/>
  <c r="I162" i="3"/>
  <c r="H162" i="3"/>
  <c r="G162" i="3"/>
  <c r="Q161" i="3"/>
  <c r="P161" i="3"/>
  <c r="O161" i="3"/>
  <c r="N161" i="3"/>
  <c r="L161" i="3"/>
  <c r="K161" i="3"/>
  <c r="J161" i="3"/>
  <c r="I161" i="3"/>
  <c r="H161" i="3"/>
  <c r="G161" i="3"/>
  <c r="Q160" i="3"/>
  <c r="P160" i="3"/>
  <c r="O160" i="3"/>
  <c r="N160" i="3"/>
  <c r="L160" i="3"/>
  <c r="K160" i="3"/>
  <c r="J160" i="3"/>
  <c r="I160" i="3"/>
  <c r="H160" i="3"/>
  <c r="G160" i="3"/>
  <c r="Q159" i="3"/>
  <c r="P159" i="3"/>
  <c r="O159" i="3"/>
  <c r="N159" i="3"/>
  <c r="L159" i="3"/>
  <c r="K159" i="3"/>
  <c r="J159" i="3"/>
  <c r="I159" i="3"/>
  <c r="H159" i="3"/>
  <c r="G159" i="3"/>
  <c r="Q158" i="3"/>
  <c r="P158" i="3"/>
  <c r="O158" i="3"/>
  <c r="N158" i="3"/>
  <c r="L158" i="3"/>
  <c r="K158" i="3"/>
  <c r="J158" i="3"/>
  <c r="I158" i="3"/>
  <c r="H158" i="3"/>
  <c r="G158" i="3"/>
  <c r="Q157" i="3"/>
  <c r="P157" i="3"/>
  <c r="O157" i="3"/>
  <c r="N157" i="3"/>
  <c r="L157" i="3"/>
  <c r="K157" i="3"/>
  <c r="J157" i="3"/>
  <c r="I157" i="3"/>
  <c r="H157" i="3"/>
  <c r="G157" i="3"/>
  <c r="Q156" i="3"/>
  <c r="P156" i="3"/>
  <c r="O156" i="3"/>
  <c r="N156" i="3"/>
  <c r="L156" i="3"/>
  <c r="K156" i="3"/>
  <c r="J156" i="3"/>
  <c r="I156" i="3"/>
  <c r="H156" i="3"/>
  <c r="G156" i="3"/>
  <c r="Q155" i="3"/>
  <c r="P155" i="3"/>
  <c r="O155" i="3"/>
  <c r="N155" i="3"/>
  <c r="L155" i="3"/>
  <c r="K155" i="3"/>
  <c r="J155" i="3"/>
  <c r="I155" i="3"/>
  <c r="H155" i="3"/>
  <c r="G155" i="3"/>
  <c r="Q154" i="3"/>
  <c r="P154" i="3"/>
  <c r="O154" i="3"/>
  <c r="N154" i="3"/>
  <c r="L154" i="3"/>
  <c r="K154" i="3"/>
  <c r="J154" i="3"/>
  <c r="I154" i="3"/>
  <c r="H154" i="3"/>
  <c r="G154" i="3"/>
  <c r="Q153" i="3"/>
  <c r="P153" i="3"/>
  <c r="O153" i="3"/>
  <c r="N153" i="3"/>
  <c r="L153" i="3"/>
  <c r="K153" i="3"/>
  <c r="J153" i="3"/>
  <c r="I153" i="3"/>
  <c r="H153" i="3"/>
  <c r="G153" i="3"/>
  <c r="Q152" i="3"/>
  <c r="P152" i="3"/>
  <c r="O152" i="3"/>
  <c r="N152" i="3"/>
  <c r="L152" i="3"/>
  <c r="K152" i="3"/>
  <c r="J152" i="3"/>
  <c r="I152" i="3"/>
  <c r="H152" i="3"/>
  <c r="G152" i="3"/>
  <c r="Q151" i="3"/>
  <c r="P151" i="3"/>
  <c r="O151" i="3"/>
  <c r="N151" i="3"/>
  <c r="L151" i="3"/>
  <c r="K151" i="3"/>
  <c r="J151" i="3"/>
  <c r="I151" i="3"/>
  <c r="H151" i="3"/>
  <c r="G151" i="3"/>
  <c r="Q150" i="3"/>
  <c r="P150" i="3"/>
  <c r="O150" i="3"/>
  <c r="N150" i="3"/>
  <c r="L150" i="3"/>
  <c r="K150" i="3"/>
  <c r="J150" i="3"/>
  <c r="I150" i="3"/>
  <c r="H150" i="3"/>
  <c r="G150" i="3"/>
  <c r="Q149" i="3"/>
  <c r="P149" i="3"/>
  <c r="O149" i="3"/>
  <c r="N149" i="3"/>
  <c r="L149" i="3"/>
  <c r="K149" i="3"/>
  <c r="J149" i="3"/>
  <c r="I149" i="3"/>
  <c r="H149" i="3"/>
  <c r="G149" i="3"/>
  <c r="Q148" i="3"/>
  <c r="P148" i="3"/>
  <c r="O148" i="3"/>
  <c r="N148" i="3"/>
  <c r="L148" i="3"/>
  <c r="K148" i="3"/>
  <c r="J148" i="3"/>
  <c r="I148" i="3"/>
  <c r="H148" i="3"/>
  <c r="G148" i="3"/>
  <c r="Q147" i="3"/>
  <c r="P147" i="3"/>
  <c r="O147" i="3"/>
  <c r="N147" i="3"/>
  <c r="L147" i="3"/>
  <c r="K147" i="3"/>
  <c r="J147" i="3"/>
  <c r="I147" i="3"/>
  <c r="H147" i="3"/>
  <c r="G147" i="3"/>
  <c r="Q146" i="3"/>
  <c r="P146" i="3"/>
  <c r="O146" i="3"/>
  <c r="N146" i="3"/>
  <c r="L146" i="3"/>
  <c r="K146" i="3"/>
  <c r="J146" i="3"/>
  <c r="I146" i="3"/>
  <c r="H146" i="3"/>
  <c r="G146" i="3"/>
  <c r="Q145" i="3"/>
  <c r="P145" i="3"/>
  <c r="O145" i="3"/>
  <c r="N145" i="3"/>
  <c r="L145" i="3"/>
  <c r="K145" i="3"/>
  <c r="J145" i="3"/>
  <c r="I145" i="3"/>
  <c r="H145" i="3"/>
  <c r="G145" i="3"/>
  <c r="Q144" i="3"/>
  <c r="P144" i="3"/>
  <c r="O144" i="3"/>
  <c r="N144" i="3"/>
  <c r="L144" i="3"/>
  <c r="K144" i="3"/>
  <c r="J144" i="3"/>
  <c r="I144" i="3"/>
  <c r="H144" i="3"/>
  <c r="G144" i="3"/>
  <c r="Q143" i="3"/>
  <c r="P143" i="3"/>
  <c r="O143" i="3"/>
  <c r="N143" i="3"/>
  <c r="L143" i="3"/>
  <c r="K143" i="3"/>
  <c r="J143" i="3"/>
  <c r="I143" i="3"/>
  <c r="H143" i="3"/>
  <c r="G143" i="3"/>
  <c r="Q142" i="3"/>
  <c r="P142" i="3"/>
  <c r="O142" i="3"/>
  <c r="N142" i="3"/>
  <c r="L142" i="3"/>
  <c r="K142" i="3"/>
  <c r="J142" i="3"/>
  <c r="I142" i="3"/>
  <c r="H142" i="3"/>
  <c r="G142" i="3"/>
  <c r="Q141" i="3"/>
  <c r="P141" i="3"/>
  <c r="O141" i="3"/>
  <c r="N141" i="3"/>
  <c r="L141" i="3"/>
  <c r="K141" i="3"/>
  <c r="J141" i="3"/>
  <c r="I141" i="3"/>
  <c r="H141" i="3"/>
  <c r="G141" i="3"/>
  <c r="Q140" i="3"/>
  <c r="P140" i="3"/>
  <c r="O140" i="3"/>
  <c r="N140" i="3"/>
  <c r="L140" i="3"/>
  <c r="K140" i="3"/>
  <c r="J140" i="3"/>
  <c r="I140" i="3"/>
  <c r="H140" i="3"/>
  <c r="G140" i="3"/>
  <c r="Q139" i="3"/>
  <c r="P139" i="3"/>
  <c r="O139" i="3"/>
  <c r="N139" i="3"/>
  <c r="L139" i="3"/>
  <c r="K139" i="3"/>
  <c r="J139" i="3"/>
  <c r="I139" i="3"/>
  <c r="H139" i="3"/>
  <c r="G139" i="3"/>
  <c r="Q138" i="3"/>
  <c r="P138" i="3"/>
  <c r="O138" i="3"/>
  <c r="N138" i="3"/>
  <c r="L138" i="3"/>
  <c r="K138" i="3"/>
  <c r="J138" i="3"/>
  <c r="I138" i="3"/>
  <c r="H138" i="3"/>
  <c r="G138" i="3"/>
  <c r="Q137" i="3"/>
  <c r="P137" i="3"/>
  <c r="O137" i="3"/>
  <c r="N137" i="3"/>
  <c r="L137" i="3"/>
  <c r="K137" i="3"/>
  <c r="J137" i="3"/>
  <c r="I137" i="3"/>
  <c r="H137" i="3"/>
  <c r="G137" i="3"/>
  <c r="Q136" i="3"/>
  <c r="P136" i="3"/>
  <c r="O136" i="3"/>
  <c r="N136" i="3"/>
  <c r="L136" i="3"/>
  <c r="K136" i="3"/>
  <c r="J136" i="3"/>
  <c r="I136" i="3"/>
  <c r="H136" i="3"/>
  <c r="G136" i="3"/>
  <c r="Q135" i="3"/>
  <c r="P135" i="3"/>
  <c r="O135" i="3"/>
  <c r="N135" i="3"/>
  <c r="L135" i="3"/>
  <c r="K135" i="3"/>
  <c r="J135" i="3"/>
  <c r="I135" i="3"/>
  <c r="H135" i="3"/>
  <c r="G135" i="3"/>
  <c r="Q134" i="3"/>
  <c r="P134" i="3"/>
  <c r="O134" i="3"/>
  <c r="N134" i="3"/>
  <c r="L134" i="3"/>
  <c r="K134" i="3"/>
  <c r="J134" i="3"/>
  <c r="I134" i="3"/>
  <c r="H134" i="3"/>
  <c r="G134" i="3"/>
  <c r="Q133" i="3"/>
  <c r="P133" i="3"/>
  <c r="O133" i="3"/>
  <c r="N133" i="3"/>
  <c r="L133" i="3"/>
  <c r="K133" i="3"/>
  <c r="J133" i="3"/>
  <c r="I133" i="3"/>
  <c r="H133" i="3"/>
  <c r="G133" i="3"/>
  <c r="Q132" i="3"/>
  <c r="P132" i="3"/>
  <c r="O132" i="3"/>
  <c r="N132" i="3"/>
  <c r="L132" i="3"/>
  <c r="K132" i="3"/>
  <c r="J132" i="3"/>
  <c r="I132" i="3"/>
  <c r="H132" i="3"/>
  <c r="G132" i="3"/>
  <c r="Q131" i="3"/>
  <c r="P131" i="3"/>
  <c r="O131" i="3"/>
  <c r="N131" i="3"/>
  <c r="L131" i="3"/>
  <c r="K131" i="3"/>
  <c r="J131" i="3"/>
  <c r="I131" i="3"/>
  <c r="H131" i="3"/>
  <c r="G131" i="3"/>
  <c r="Q130" i="3"/>
  <c r="P130" i="3"/>
  <c r="O130" i="3"/>
  <c r="N130" i="3"/>
  <c r="L130" i="3"/>
  <c r="K130" i="3"/>
  <c r="J130" i="3"/>
  <c r="I130" i="3"/>
  <c r="H130" i="3"/>
  <c r="G130" i="3"/>
  <c r="Q129" i="3"/>
  <c r="P129" i="3"/>
  <c r="O129" i="3"/>
  <c r="N129" i="3"/>
  <c r="L129" i="3"/>
  <c r="K129" i="3"/>
  <c r="J129" i="3"/>
  <c r="I129" i="3"/>
  <c r="H129" i="3"/>
  <c r="G129" i="3"/>
  <c r="Q128" i="3"/>
  <c r="P128" i="3"/>
  <c r="O128" i="3"/>
  <c r="N128" i="3"/>
  <c r="L128" i="3"/>
  <c r="K128" i="3"/>
  <c r="J128" i="3"/>
  <c r="I128" i="3"/>
  <c r="H128" i="3"/>
  <c r="G128" i="3"/>
  <c r="Q127" i="3"/>
  <c r="P127" i="3"/>
  <c r="O127" i="3"/>
  <c r="N127" i="3"/>
  <c r="L127" i="3"/>
  <c r="K127" i="3"/>
  <c r="J127" i="3"/>
  <c r="I127" i="3"/>
  <c r="H127" i="3"/>
  <c r="G127" i="3"/>
  <c r="Q126" i="3"/>
  <c r="P126" i="3"/>
  <c r="O126" i="3"/>
  <c r="N126" i="3"/>
  <c r="L126" i="3"/>
  <c r="K126" i="3"/>
  <c r="J126" i="3"/>
  <c r="I126" i="3"/>
  <c r="H126" i="3"/>
  <c r="G126" i="3"/>
  <c r="Q125" i="3"/>
  <c r="P125" i="3"/>
  <c r="O125" i="3"/>
  <c r="N125" i="3"/>
  <c r="L125" i="3"/>
  <c r="K125" i="3"/>
  <c r="J125" i="3"/>
  <c r="I125" i="3"/>
  <c r="H125" i="3"/>
  <c r="G125" i="3"/>
  <c r="Q124" i="3"/>
  <c r="P124" i="3"/>
  <c r="O124" i="3"/>
  <c r="N124" i="3"/>
  <c r="L124" i="3"/>
  <c r="K124" i="3"/>
  <c r="J124" i="3"/>
  <c r="I124" i="3"/>
  <c r="H124" i="3"/>
  <c r="G124" i="3"/>
  <c r="Q123" i="3"/>
  <c r="P123" i="3"/>
  <c r="O123" i="3"/>
  <c r="N123" i="3"/>
  <c r="L123" i="3"/>
  <c r="K123" i="3"/>
  <c r="J123" i="3"/>
  <c r="I123" i="3"/>
  <c r="H123" i="3"/>
  <c r="G123" i="3"/>
  <c r="Q122" i="3"/>
  <c r="P122" i="3"/>
  <c r="O122" i="3"/>
  <c r="N122" i="3"/>
  <c r="L122" i="3"/>
  <c r="K122" i="3"/>
  <c r="J122" i="3"/>
  <c r="I122" i="3"/>
  <c r="H122" i="3"/>
  <c r="G122" i="3"/>
  <c r="Q121" i="3"/>
  <c r="P121" i="3"/>
  <c r="O121" i="3"/>
  <c r="N121" i="3"/>
  <c r="L121" i="3"/>
  <c r="K121" i="3"/>
  <c r="J121" i="3"/>
  <c r="I121" i="3"/>
  <c r="H121" i="3"/>
  <c r="G121" i="3"/>
  <c r="Q120" i="3"/>
  <c r="P120" i="3"/>
  <c r="O120" i="3"/>
  <c r="N120" i="3"/>
  <c r="L120" i="3"/>
  <c r="K120" i="3"/>
  <c r="J120" i="3"/>
  <c r="I120" i="3"/>
  <c r="H120" i="3"/>
  <c r="G120" i="3"/>
  <c r="Q119" i="3"/>
  <c r="P119" i="3"/>
  <c r="O119" i="3"/>
  <c r="N119" i="3"/>
  <c r="L119" i="3"/>
  <c r="K119" i="3"/>
  <c r="J119" i="3"/>
  <c r="I119" i="3"/>
  <c r="H119" i="3"/>
  <c r="G119" i="3"/>
  <c r="Q118" i="3"/>
  <c r="P118" i="3"/>
  <c r="O118" i="3"/>
  <c r="N118" i="3"/>
  <c r="L118" i="3"/>
  <c r="K118" i="3"/>
  <c r="J118" i="3"/>
  <c r="I118" i="3"/>
  <c r="H118" i="3"/>
  <c r="G118" i="3"/>
  <c r="Q117" i="3"/>
  <c r="P117" i="3"/>
  <c r="O117" i="3"/>
  <c r="N117" i="3"/>
  <c r="L117" i="3"/>
  <c r="K117" i="3"/>
  <c r="J117" i="3"/>
  <c r="I117" i="3"/>
  <c r="H117" i="3"/>
  <c r="G117" i="3"/>
  <c r="Q116" i="3"/>
  <c r="P116" i="3"/>
  <c r="O116" i="3"/>
  <c r="N116" i="3"/>
  <c r="L116" i="3"/>
  <c r="K116" i="3"/>
  <c r="J116" i="3"/>
  <c r="I116" i="3"/>
  <c r="H116" i="3"/>
  <c r="G116" i="3"/>
  <c r="Q115" i="3"/>
  <c r="P115" i="3"/>
  <c r="O115" i="3"/>
  <c r="N115" i="3"/>
  <c r="L115" i="3"/>
  <c r="K115" i="3"/>
  <c r="J115" i="3"/>
  <c r="I115" i="3"/>
  <c r="H115" i="3"/>
  <c r="G115" i="3"/>
  <c r="Q114" i="3"/>
  <c r="P114" i="3"/>
  <c r="O114" i="3"/>
  <c r="N114" i="3"/>
  <c r="L114" i="3"/>
  <c r="K114" i="3"/>
  <c r="J114" i="3"/>
  <c r="I114" i="3"/>
  <c r="H114" i="3"/>
  <c r="G114" i="3"/>
  <c r="Q113" i="3"/>
  <c r="P113" i="3"/>
  <c r="O113" i="3"/>
  <c r="N113" i="3"/>
  <c r="L113" i="3"/>
  <c r="K113" i="3"/>
  <c r="J113" i="3"/>
  <c r="I113" i="3"/>
  <c r="H113" i="3"/>
  <c r="G113" i="3"/>
  <c r="Q112" i="3"/>
  <c r="P112" i="3"/>
  <c r="O112" i="3"/>
  <c r="N112" i="3"/>
  <c r="L112" i="3"/>
  <c r="K112" i="3"/>
  <c r="J112" i="3"/>
  <c r="I112" i="3"/>
  <c r="H112" i="3"/>
  <c r="G112" i="3"/>
  <c r="Q111" i="3"/>
  <c r="P111" i="3"/>
  <c r="O111" i="3"/>
  <c r="N111" i="3"/>
  <c r="L111" i="3"/>
  <c r="K111" i="3"/>
  <c r="J111" i="3"/>
  <c r="I111" i="3"/>
  <c r="H111" i="3"/>
  <c r="G111" i="3"/>
  <c r="Q110" i="3"/>
  <c r="P110" i="3"/>
  <c r="O110" i="3"/>
  <c r="N110" i="3"/>
  <c r="L110" i="3"/>
  <c r="K110" i="3"/>
  <c r="J110" i="3"/>
  <c r="I110" i="3"/>
  <c r="H110" i="3"/>
  <c r="G110" i="3"/>
  <c r="Q109" i="3"/>
  <c r="P109" i="3"/>
  <c r="O109" i="3"/>
  <c r="N109" i="3"/>
  <c r="L109" i="3"/>
  <c r="K109" i="3"/>
  <c r="J109" i="3"/>
  <c r="I109" i="3"/>
  <c r="H109" i="3"/>
  <c r="G109" i="3"/>
  <c r="Q108" i="3"/>
  <c r="P108" i="3"/>
  <c r="O108" i="3"/>
  <c r="N108" i="3"/>
  <c r="L108" i="3"/>
  <c r="K108" i="3"/>
  <c r="J108" i="3"/>
  <c r="I108" i="3"/>
  <c r="H108" i="3"/>
  <c r="G108" i="3"/>
  <c r="Q107" i="3"/>
  <c r="P107" i="3"/>
  <c r="O107" i="3"/>
  <c r="N107" i="3"/>
  <c r="L107" i="3"/>
  <c r="K107" i="3"/>
  <c r="J107" i="3"/>
  <c r="I107" i="3"/>
  <c r="H107" i="3"/>
  <c r="G107" i="3"/>
  <c r="Q106" i="3"/>
  <c r="P106" i="3"/>
  <c r="O106" i="3"/>
  <c r="N106" i="3"/>
  <c r="L106" i="3"/>
  <c r="K106" i="3"/>
  <c r="J106" i="3"/>
  <c r="I106" i="3"/>
  <c r="H106" i="3"/>
  <c r="G106" i="3"/>
  <c r="Q105" i="3"/>
  <c r="P105" i="3"/>
  <c r="O105" i="3"/>
  <c r="N105" i="3"/>
  <c r="L105" i="3"/>
  <c r="K105" i="3"/>
  <c r="J105" i="3"/>
  <c r="I105" i="3"/>
  <c r="H105" i="3"/>
  <c r="G105" i="3"/>
  <c r="Q104" i="3"/>
  <c r="P104" i="3"/>
  <c r="O104" i="3"/>
  <c r="N104" i="3"/>
  <c r="L104" i="3"/>
  <c r="K104" i="3"/>
  <c r="J104" i="3"/>
  <c r="I104" i="3"/>
  <c r="H104" i="3"/>
  <c r="G104" i="3"/>
  <c r="Q103" i="3"/>
  <c r="P103" i="3"/>
  <c r="O103" i="3"/>
  <c r="N103" i="3"/>
  <c r="L103" i="3"/>
  <c r="K103" i="3"/>
  <c r="J103" i="3"/>
  <c r="I103" i="3"/>
  <c r="H103" i="3"/>
  <c r="G103" i="3"/>
  <c r="Q102" i="3"/>
  <c r="P102" i="3"/>
  <c r="O102" i="3"/>
  <c r="N102" i="3"/>
  <c r="L102" i="3"/>
  <c r="K102" i="3"/>
  <c r="J102" i="3"/>
  <c r="I102" i="3"/>
  <c r="H102" i="3"/>
  <c r="G102" i="3"/>
  <c r="Q101" i="3"/>
  <c r="P101" i="3"/>
  <c r="O101" i="3"/>
  <c r="N101" i="3"/>
  <c r="L101" i="3"/>
  <c r="K101" i="3"/>
  <c r="J101" i="3"/>
  <c r="I101" i="3"/>
  <c r="H101" i="3"/>
  <c r="G101" i="3"/>
  <c r="Q100" i="3"/>
  <c r="P100" i="3"/>
  <c r="O100" i="3"/>
  <c r="N100" i="3"/>
  <c r="L100" i="3"/>
  <c r="K100" i="3"/>
  <c r="J100" i="3"/>
  <c r="I100" i="3"/>
  <c r="H100" i="3"/>
  <c r="G100" i="3"/>
  <c r="Q99" i="3"/>
  <c r="P99" i="3"/>
  <c r="O99" i="3"/>
  <c r="N99" i="3"/>
  <c r="L99" i="3"/>
  <c r="K99" i="3"/>
  <c r="J99" i="3"/>
  <c r="I99" i="3"/>
  <c r="H99" i="3"/>
  <c r="G99" i="3"/>
  <c r="Q98" i="3"/>
  <c r="P98" i="3"/>
  <c r="O98" i="3"/>
  <c r="N98" i="3"/>
  <c r="L98" i="3"/>
  <c r="K98" i="3"/>
  <c r="J98" i="3"/>
  <c r="I98" i="3"/>
  <c r="H98" i="3"/>
  <c r="G98" i="3"/>
  <c r="Q97" i="3"/>
  <c r="P97" i="3"/>
  <c r="O97" i="3"/>
  <c r="N97" i="3"/>
  <c r="L97" i="3"/>
  <c r="K97" i="3"/>
  <c r="J97" i="3"/>
  <c r="I97" i="3"/>
  <c r="H97" i="3"/>
  <c r="G97" i="3"/>
  <c r="Q96" i="3"/>
  <c r="P96" i="3"/>
  <c r="O96" i="3"/>
  <c r="N96" i="3"/>
  <c r="L96" i="3"/>
  <c r="K96" i="3"/>
  <c r="J96" i="3"/>
  <c r="I96" i="3"/>
  <c r="H96" i="3"/>
  <c r="G96" i="3"/>
  <c r="Q95" i="3"/>
  <c r="P95" i="3"/>
  <c r="O95" i="3"/>
  <c r="N95" i="3"/>
  <c r="L95" i="3"/>
  <c r="K95" i="3"/>
  <c r="J95" i="3"/>
  <c r="I95" i="3"/>
  <c r="H95" i="3"/>
  <c r="G95" i="3"/>
  <c r="Q94" i="3"/>
  <c r="P94" i="3"/>
  <c r="O94" i="3"/>
  <c r="N94" i="3"/>
  <c r="L94" i="3"/>
  <c r="K94" i="3"/>
  <c r="J94" i="3"/>
  <c r="I94" i="3"/>
  <c r="H94" i="3"/>
  <c r="G94" i="3"/>
  <c r="Q93" i="3"/>
  <c r="P93" i="3"/>
  <c r="O93" i="3"/>
  <c r="N93" i="3"/>
  <c r="L93" i="3"/>
  <c r="K93" i="3"/>
  <c r="J93" i="3"/>
  <c r="I93" i="3"/>
  <c r="H93" i="3"/>
  <c r="G93" i="3"/>
  <c r="Q92" i="3"/>
  <c r="P92" i="3"/>
  <c r="O92" i="3"/>
  <c r="N92" i="3"/>
  <c r="L92" i="3"/>
  <c r="K92" i="3"/>
  <c r="J92" i="3"/>
  <c r="I92" i="3"/>
  <c r="H92" i="3"/>
  <c r="G92" i="3"/>
  <c r="Q91" i="3"/>
  <c r="P91" i="3"/>
  <c r="O91" i="3"/>
  <c r="N91" i="3"/>
  <c r="L91" i="3"/>
  <c r="K91" i="3"/>
  <c r="J91" i="3"/>
  <c r="I91" i="3"/>
  <c r="H91" i="3"/>
  <c r="G91" i="3"/>
  <c r="Q90" i="3"/>
  <c r="P90" i="3"/>
  <c r="O90" i="3"/>
  <c r="N90" i="3"/>
  <c r="L90" i="3"/>
  <c r="K90" i="3"/>
  <c r="J90" i="3"/>
  <c r="I90" i="3"/>
  <c r="H90" i="3"/>
  <c r="G90" i="3"/>
  <c r="Q89" i="3"/>
  <c r="P89" i="3"/>
  <c r="O89" i="3"/>
  <c r="N89" i="3"/>
  <c r="L89" i="3"/>
  <c r="K89" i="3"/>
  <c r="J89" i="3"/>
  <c r="I89" i="3"/>
  <c r="H89" i="3"/>
  <c r="G89" i="3"/>
  <c r="Q88" i="3"/>
  <c r="P88" i="3"/>
  <c r="O88" i="3"/>
  <c r="N88" i="3"/>
  <c r="L88" i="3"/>
  <c r="K88" i="3"/>
  <c r="J88" i="3"/>
  <c r="I88" i="3"/>
  <c r="H88" i="3"/>
  <c r="G88" i="3"/>
  <c r="Q87" i="3"/>
  <c r="P87" i="3"/>
  <c r="O87" i="3"/>
  <c r="N87" i="3"/>
  <c r="L87" i="3"/>
  <c r="K87" i="3"/>
  <c r="J87" i="3"/>
  <c r="I87" i="3"/>
  <c r="H87" i="3"/>
  <c r="G87" i="3"/>
  <c r="Q86" i="3"/>
  <c r="P86" i="3"/>
  <c r="O86" i="3"/>
  <c r="N86" i="3"/>
  <c r="L86" i="3"/>
  <c r="K86" i="3"/>
  <c r="J86" i="3"/>
  <c r="I86" i="3"/>
  <c r="H86" i="3"/>
  <c r="G86" i="3"/>
  <c r="Q85" i="3"/>
  <c r="P85" i="3"/>
  <c r="O85" i="3"/>
  <c r="N85" i="3"/>
  <c r="L85" i="3"/>
  <c r="K85" i="3"/>
  <c r="J85" i="3"/>
  <c r="I85" i="3"/>
  <c r="H85" i="3"/>
  <c r="G85" i="3"/>
  <c r="Q84" i="3"/>
  <c r="P84" i="3"/>
  <c r="O84" i="3"/>
  <c r="N84" i="3"/>
  <c r="L84" i="3"/>
  <c r="K84" i="3"/>
  <c r="J84" i="3"/>
  <c r="I84" i="3"/>
  <c r="H84" i="3"/>
  <c r="G84" i="3"/>
  <c r="Q83" i="3"/>
  <c r="P83" i="3"/>
  <c r="O83" i="3"/>
  <c r="N83" i="3"/>
  <c r="L83" i="3"/>
  <c r="K83" i="3"/>
  <c r="J83" i="3"/>
  <c r="I83" i="3"/>
  <c r="H83" i="3"/>
  <c r="G83" i="3"/>
  <c r="Q82" i="3"/>
  <c r="P82" i="3"/>
  <c r="O82" i="3"/>
  <c r="N82" i="3"/>
  <c r="L82" i="3"/>
  <c r="K82" i="3"/>
  <c r="J82" i="3"/>
  <c r="I82" i="3"/>
  <c r="H82" i="3"/>
  <c r="G82" i="3"/>
  <c r="Q81" i="3"/>
  <c r="P81" i="3"/>
  <c r="O81" i="3"/>
  <c r="N81" i="3"/>
  <c r="L81" i="3"/>
  <c r="K81" i="3"/>
  <c r="J81" i="3"/>
  <c r="I81" i="3"/>
  <c r="H81" i="3"/>
  <c r="G81" i="3"/>
  <c r="Q80" i="3"/>
  <c r="P80" i="3"/>
  <c r="O80" i="3"/>
  <c r="N80" i="3"/>
  <c r="L80" i="3"/>
  <c r="K80" i="3"/>
  <c r="J80" i="3"/>
  <c r="I80" i="3"/>
  <c r="H80" i="3"/>
  <c r="G80" i="3"/>
  <c r="Q79" i="3"/>
  <c r="P79" i="3"/>
  <c r="O79" i="3"/>
  <c r="N79" i="3"/>
  <c r="L79" i="3"/>
  <c r="K79" i="3"/>
  <c r="J79" i="3"/>
  <c r="I79" i="3"/>
  <c r="H79" i="3"/>
  <c r="G79" i="3"/>
  <c r="Q78" i="3"/>
  <c r="P78" i="3"/>
  <c r="O78" i="3"/>
  <c r="N78" i="3"/>
  <c r="L78" i="3"/>
  <c r="K78" i="3"/>
  <c r="J78" i="3"/>
  <c r="I78" i="3"/>
  <c r="H78" i="3"/>
  <c r="G78" i="3"/>
  <c r="Q77" i="3"/>
  <c r="P77" i="3"/>
  <c r="O77" i="3"/>
  <c r="N77" i="3"/>
  <c r="L77" i="3"/>
  <c r="K77" i="3"/>
  <c r="J77" i="3"/>
  <c r="I77" i="3"/>
  <c r="H77" i="3"/>
  <c r="G77" i="3"/>
  <c r="Q76" i="3"/>
  <c r="P76" i="3"/>
  <c r="O76" i="3"/>
  <c r="N76" i="3"/>
  <c r="L76" i="3"/>
  <c r="K76" i="3"/>
  <c r="J76" i="3"/>
  <c r="I76" i="3"/>
  <c r="H76" i="3"/>
  <c r="G76" i="3"/>
  <c r="Q75" i="3"/>
  <c r="P75" i="3"/>
  <c r="O75" i="3"/>
  <c r="N75" i="3"/>
  <c r="L75" i="3"/>
  <c r="K75" i="3"/>
  <c r="J75" i="3"/>
  <c r="I75" i="3"/>
  <c r="H75" i="3"/>
  <c r="G75" i="3"/>
  <c r="Q74" i="3"/>
  <c r="P74" i="3"/>
  <c r="O74" i="3"/>
  <c r="N74" i="3"/>
  <c r="L74" i="3"/>
  <c r="K74" i="3"/>
  <c r="J74" i="3"/>
  <c r="I74" i="3"/>
  <c r="H74" i="3"/>
  <c r="G74" i="3"/>
  <c r="Q73" i="3"/>
  <c r="P73" i="3"/>
  <c r="O73" i="3"/>
  <c r="N73" i="3"/>
  <c r="L73" i="3"/>
  <c r="K73" i="3"/>
  <c r="J73" i="3"/>
  <c r="I73" i="3"/>
  <c r="H73" i="3"/>
  <c r="G73" i="3"/>
  <c r="Q72" i="3"/>
  <c r="P72" i="3"/>
  <c r="O72" i="3"/>
  <c r="N72" i="3"/>
  <c r="L72" i="3"/>
  <c r="K72" i="3"/>
  <c r="J72" i="3"/>
  <c r="I72" i="3"/>
  <c r="H72" i="3"/>
  <c r="G72" i="3"/>
  <c r="Q71" i="3"/>
  <c r="P71" i="3"/>
  <c r="O71" i="3"/>
  <c r="N71" i="3"/>
  <c r="L71" i="3"/>
  <c r="K71" i="3"/>
  <c r="J71" i="3"/>
  <c r="I71" i="3"/>
  <c r="H71" i="3"/>
  <c r="G71" i="3"/>
  <c r="Q70" i="3"/>
  <c r="P70" i="3"/>
  <c r="O70" i="3"/>
  <c r="N70" i="3"/>
  <c r="L70" i="3"/>
  <c r="K70" i="3"/>
  <c r="J70" i="3"/>
  <c r="I70" i="3"/>
  <c r="H70" i="3"/>
  <c r="G70" i="3"/>
  <c r="Q69" i="3"/>
  <c r="P69" i="3"/>
  <c r="O69" i="3"/>
  <c r="N69" i="3"/>
  <c r="L69" i="3"/>
  <c r="K69" i="3"/>
  <c r="J69" i="3"/>
  <c r="I69" i="3"/>
  <c r="H69" i="3"/>
  <c r="G69" i="3"/>
  <c r="Q68" i="3"/>
  <c r="P68" i="3"/>
  <c r="O68" i="3"/>
  <c r="N68" i="3"/>
  <c r="L68" i="3"/>
  <c r="K68" i="3"/>
  <c r="J68" i="3"/>
  <c r="I68" i="3"/>
  <c r="H68" i="3"/>
  <c r="G68" i="3"/>
  <c r="Q67" i="3"/>
  <c r="P67" i="3"/>
  <c r="O67" i="3"/>
  <c r="N67" i="3"/>
  <c r="L67" i="3"/>
  <c r="K67" i="3"/>
  <c r="J67" i="3"/>
  <c r="I67" i="3"/>
  <c r="H67" i="3"/>
  <c r="G67" i="3"/>
  <c r="Q66" i="3"/>
  <c r="P66" i="3"/>
  <c r="O66" i="3"/>
  <c r="N66" i="3"/>
  <c r="L66" i="3"/>
  <c r="K66" i="3"/>
  <c r="J66" i="3"/>
  <c r="I66" i="3"/>
  <c r="H66" i="3"/>
  <c r="G66" i="3"/>
  <c r="Q65" i="3"/>
  <c r="P65" i="3"/>
  <c r="O65" i="3"/>
  <c r="N65" i="3"/>
  <c r="L65" i="3"/>
  <c r="K65" i="3"/>
  <c r="J65" i="3"/>
  <c r="I65" i="3"/>
  <c r="H65" i="3"/>
  <c r="G65" i="3"/>
  <c r="Q64" i="3"/>
  <c r="P64" i="3"/>
  <c r="O64" i="3"/>
  <c r="N64" i="3"/>
  <c r="L64" i="3"/>
  <c r="K64" i="3"/>
  <c r="J64" i="3"/>
  <c r="I64" i="3"/>
  <c r="H64" i="3"/>
  <c r="G64" i="3"/>
  <c r="Q63" i="3"/>
  <c r="P63" i="3"/>
  <c r="O63" i="3"/>
  <c r="N63" i="3"/>
  <c r="L63" i="3"/>
  <c r="K63" i="3"/>
  <c r="J63" i="3"/>
  <c r="I63" i="3"/>
  <c r="H63" i="3"/>
  <c r="G63" i="3"/>
  <c r="Q62" i="3"/>
  <c r="P62" i="3"/>
  <c r="O62" i="3"/>
  <c r="N62" i="3"/>
  <c r="L62" i="3"/>
  <c r="K62" i="3"/>
  <c r="J62" i="3"/>
  <c r="I62" i="3"/>
  <c r="H62" i="3"/>
  <c r="G62" i="3"/>
  <c r="Q61" i="3"/>
  <c r="P61" i="3"/>
  <c r="O61" i="3"/>
  <c r="N61" i="3"/>
  <c r="L61" i="3"/>
  <c r="K61" i="3"/>
  <c r="J61" i="3"/>
  <c r="I61" i="3"/>
  <c r="H61" i="3"/>
  <c r="G61" i="3"/>
  <c r="Q60" i="3"/>
  <c r="P60" i="3"/>
  <c r="O60" i="3"/>
  <c r="N60" i="3"/>
  <c r="L60" i="3"/>
  <c r="K60" i="3"/>
  <c r="J60" i="3"/>
  <c r="I60" i="3"/>
  <c r="H60" i="3"/>
  <c r="G60" i="3"/>
  <c r="Q59" i="3"/>
  <c r="P59" i="3"/>
  <c r="O59" i="3"/>
  <c r="N59" i="3"/>
  <c r="L59" i="3"/>
  <c r="K59" i="3"/>
  <c r="J59" i="3"/>
  <c r="I59" i="3"/>
  <c r="H59" i="3"/>
  <c r="G59" i="3"/>
  <c r="Q58" i="3"/>
  <c r="P58" i="3"/>
  <c r="O58" i="3"/>
  <c r="N58" i="3"/>
  <c r="L58" i="3"/>
  <c r="K58" i="3"/>
  <c r="J58" i="3"/>
  <c r="I58" i="3"/>
  <c r="H58" i="3"/>
  <c r="G58" i="3"/>
  <c r="Q57" i="3"/>
  <c r="P57" i="3"/>
  <c r="O57" i="3"/>
  <c r="N57" i="3"/>
  <c r="L57" i="3"/>
  <c r="K57" i="3"/>
  <c r="J57" i="3"/>
  <c r="I57" i="3"/>
  <c r="H57" i="3"/>
  <c r="G57" i="3"/>
  <c r="Q56" i="3"/>
  <c r="P56" i="3"/>
  <c r="O56" i="3"/>
  <c r="N56" i="3"/>
  <c r="L56" i="3"/>
  <c r="K56" i="3"/>
  <c r="J56" i="3"/>
  <c r="I56" i="3"/>
  <c r="H56" i="3"/>
  <c r="G56" i="3"/>
  <c r="Q55" i="3"/>
  <c r="P55" i="3"/>
  <c r="O55" i="3"/>
  <c r="N55" i="3"/>
  <c r="L55" i="3"/>
  <c r="K55" i="3"/>
  <c r="J55" i="3"/>
  <c r="I55" i="3"/>
  <c r="H55" i="3"/>
  <c r="G55" i="3"/>
  <c r="Q54" i="3"/>
  <c r="P54" i="3"/>
  <c r="O54" i="3"/>
  <c r="N54" i="3"/>
  <c r="L54" i="3"/>
  <c r="K54" i="3"/>
  <c r="J54" i="3"/>
  <c r="I54" i="3"/>
  <c r="H54" i="3"/>
  <c r="G54" i="3"/>
  <c r="Q53" i="3"/>
  <c r="P53" i="3"/>
  <c r="O53" i="3"/>
  <c r="N53" i="3"/>
  <c r="L53" i="3"/>
  <c r="K53" i="3"/>
  <c r="J53" i="3"/>
  <c r="I53" i="3"/>
  <c r="H53" i="3"/>
  <c r="G53" i="3"/>
  <c r="Q52" i="3"/>
  <c r="P52" i="3"/>
  <c r="O52" i="3"/>
  <c r="N52" i="3"/>
  <c r="L52" i="3"/>
  <c r="K52" i="3"/>
  <c r="J52" i="3"/>
  <c r="I52" i="3"/>
  <c r="H52" i="3"/>
  <c r="G52" i="3"/>
  <c r="Q51" i="3"/>
  <c r="P51" i="3"/>
  <c r="O51" i="3"/>
  <c r="N51" i="3"/>
  <c r="L51" i="3"/>
  <c r="K51" i="3"/>
  <c r="J51" i="3"/>
  <c r="I51" i="3"/>
  <c r="H51" i="3"/>
  <c r="G51" i="3"/>
  <c r="Q50" i="3"/>
  <c r="P50" i="3"/>
  <c r="O50" i="3"/>
  <c r="N50" i="3"/>
  <c r="L50" i="3"/>
  <c r="K50" i="3"/>
  <c r="J50" i="3"/>
  <c r="I50" i="3"/>
  <c r="H50" i="3"/>
  <c r="G50" i="3"/>
  <c r="Q49" i="3"/>
  <c r="P49" i="3"/>
  <c r="O49" i="3"/>
  <c r="N49" i="3"/>
  <c r="L49" i="3"/>
  <c r="K49" i="3"/>
  <c r="J49" i="3"/>
  <c r="I49" i="3"/>
  <c r="H49" i="3"/>
  <c r="G49" i="3"/>
  <c r="Q48" i="3"/>
  <c r="P48" i="3"/>
  <c r="O48" i="3"/>
  <c r="N48" i="3"/>
  <c r="L48" i="3"/>
  <c r="K48" i="3"/>
  <c r="J48" i="3"/>
  <c r="I48" i="3"/>
  <c r="H48" i="3"/>
  <c r="G48" i="3"/>
  <c r="Q47" i="3"/>
  <c r="P47" i="3"/>
  <c r="O47" i="3"/>
  <c r="N47" i="3"/>
  <c r="L47" i="3"/>
  <c r="K47" i="3"/>
  <c r="J47" i="3"/>
  <c r="I47" i="3"/>
  <c r="H47" i="3"/>
  <c r="G47" i="3"/>
  <c r="Q46" i="3"/>
  <c r="P46" i="3"/>
  <c r="O46" i="3"/>
  <c r="N46" i="3"/>
  <c r="L46" i="3"/>
  <c r="K46" i="3"/>
  <c r="J46" i="3"/>
  <c r="I46" i="3"/>
  <c r="H46" i="3"/>
  <c r="G46" i="3"/>
  <c r="Q45" i="3"/>
  <c r="P45" i="3"/>
  <c r="O45" i="3"/>
  <c r="N45" i="3"/>
  <c r="L45" i="3"/>
  <c r="K45" i="3"/>
  <c r="J45" i="3"/>
  <c r="I45" i="3"/>
  <c r="H45" i="3"/>
  <c r="G45" i="3"/>
  <c r="Q44" i="3"/>
  <c r="P44" i="3"/>
  <c r="O44" i="3"/>
  <c r="N44" i="3"/>
  <c r="L44" i="3"/>
  <c r="K44" i="3"/>
  <c r="J44" i="3"/>
  <c r="I44" i="3"/>
  <c r="H44" i="3"/>
  <c r="G44" i="3"/>
  <c r="Q43" i="3"/>
  <c r="P43" i="3"/>
  <c r="O43" i="3"/>
  <c r="N43" i="3"/>
  <c r="L43" i="3"/>
  <c r="K43" i="3"/>
  <c r="J43" i="3"/>
  <c r="I43" i="3"/>
  <c r="H43" i="3"/>
  <c r="G43" i="3"/>
  <c r="Q42" i="3"/>
  <c r="P42" i="3"/>
  <c r="O42" i="3"/>
  <c r="N42" i="3"/>
  <c r="L42" i="3"/>
  <c r="K42" i="3"/>
  <c r="J42" i="3"/>
  <c r="I42" i="3"/>
  <c r="H42" i="3"/>
  <c r="G42" i="3"/>
  <c r="Q41" i="3"/>
  <c r="P41" i="3"/>
  <c r="O41" i="3"/>
  <c r="N41" i="3"/>
  <c r="L41" i="3"/>
  <c r="K41" i="3"/>
  <c r="J41" i="3"/>
  <c r="I41" i="3"/>
  <c r="H41" i="3"/>
  <c r="G41" i="3"/>
  <c r="Q40" i="3"/>
  <c r="P40" i="3"/>
  <c r="O40" i="3"/>
  <c r="N40" i="3"/>
  <c r="L40" i="3"/>
  <c r="K40" i="3"/>
  <c r="J40" i="3"/>
  <c r="I40" i="3"/>
  <c r="H40" i="3"/>
  <c r="G40" i="3"/>
  <c r="Q39" i="3"/>
  <c r="P39" i="3"/>
  <c r="O39" i="3"/>
  <c r="N39" i="3"/>
  <c r="L39" i="3"/>
  <c r="K39" i="3"/>
  <c r="J39" i="3"/>
  <c r="I39" i="3"/>
  <c r="H39" i="3"/>
  <c r="G39" i="3"/>
  <c r="Q38" i="3"/>
  <c r="P38" i="3"/>
  <c r="O38" i="3"/>
  <c r="N38" i="3"/>
  <c r="L38" i="3"/>
  <c r="K38" i="3"/>
  <c r="J38" i="3"/>
  <c r="I38" i="3"/>
  <c r="H38" i="3"/>
  <c r="G38" i="3"/>
  <c r="Q37" i="3"/>
  <c r="P37" i="3"/>
  <c r="O37" i="3"/>
  <c r="N37" i="3"/>
  <c r="L37" i="3"/>
  <c r="K37" i="3"/>
  <c r="J37" i="3"/>
  <c r="I37" i="3"/>
  <c r="H37" i="3"/>
  <c r="G37" i="3"/>
  <c r="Q36" i="3"/>
  <c r="P36" i="3"/>
  <c r="O36" i="3"/>
  <c r="N36" i="3"/>
  <c r="L36" i="3"/>
  <c r="K36" i="3"/>
  <c r="J36" i="3"/>
  <c r="I36" i="3"/>
  <c r="H36" i="3"/>
  <c r="G36" i="3"/>
  <c r="Q35" i="3"/>
  <c r="P35" i="3"/>
  <c r="O35" i="3"/>
  <c r="N35" i="3"/>
  <c r="L35" i="3"/>
  <c r="K35" i="3"/>
  <c r="J35" i="3"/>
  <c r="I35" i="3"/>
  <c r="H35" i="3"/>
  <c r="G35" i="3"/>
  <c r="Q34" i="3"/>
  <c r="P34" i="3"/>
  <c r="O34" i="3"/>
  <c r="N34" i="3"/>
  <c r="L34" i="3"/>
  <c r="K34" i="3"/>
  <c r="J34" i="3"/>
  <c r="I34" i="3"/>
  <c r="H34" i="3"/>
  <c r="G34" i="3"/>
  <c r="Q33" i="3"/>
  <c r="P33" i="3"/>
  <c r="O33" i="3"/>
  <c r="N33" i="3"/>
  <c r="L33" i="3"/>
  <c r="K33" i="3"/>
  <c r="J33" i="3"/>
  <c r="I33" i="3"/>
  <c r="H33" i="3"/>
  <c r="G33" i="3"/>
  <c r="Q32" i="3"/>
  <c r="P32" i="3"/>
  <c r="O32" i="3"/>
  <c r="N32" i="3"/>
  <c r="L32" i="3"/>
  <c r="K32" i="3"/>
  <c r="J32" i="3"/>
  <c r="I32" i="3"/>
  <c r="H32" i="3"/>
  <c r="G32" i="3"/>
  <c r="Q31" i="3"/>
  <c r="P31" i="3"/>
  <c r="O31" i="3"/>
  <c r="N31" i="3"/>
  <c r="L31" i="3"/>
  <c r="K31" i="3"/>
  <c r="J31" i="3"/>
  <c r="I31" i="3"/>
  <c r="H31" i="3"/>
  <c r="G31" i="3"/>
  <c r="Q30" i="3"/>
  <c r="P30" i="3"/>
  <c r="O30" i="3"/>
  <c r="N30" i="3"/>
  <c r="L30" i="3"/>
  <c r="K30" i="3"/>
  <c r="J30" i="3"/>
  <c r="I30" i="3"/>
  <c r="H30" i="3"/>
  <c r="G30" i="3"/>
  <c r="Q29" i="3"/>
  <c r="P29" i="3"/>
  <c r="O29" i="3"/>
  <c r="N29" i="3"/>
  <c r="L29" i="3"/>
  <c r="K29" i="3"/>
  <c r="J29" i="3"/>
  <c r="I29" i="3"/>
  <c r="H29" i="3"/>
  <c r="G29" i="3"/>
  <c r="Q28" i="3"/>
  <c r="P28" i="3"/>
  <c r="O28" i="3"/>
  <c r="N28" i="3"/>
  <c r="L28" i="3"/>
  <c r="K28" i="3"/>
  <c r="J28" i="3"/>
  <c r="I28" i="3"/>
  <c r="H28" i="3"/>
  <c r="G28" i="3"/>
  <c r="Q27" i="3"/>
  <c r="P27" i="3"/>
  <c r="O27" i="3"/>
  <c r="N27" i="3"/>
  <c r="L27" i="3"/>
  <c r="K27" i="3"/>
  <c r="J27" i="3"/>
  <c r="I27" i="3"/>
  <c r="H27" i="3"/>
  <c r="G27" i="3"/>
  <c r="Q26" i="3"/>
  <c r="P26" i="3"/>
  <c r="O26" i="3"/>
  <c r="N26" i="3"/>
  <c r="L26" i="3"/>
  <c r="K26" i="3"/>
  <c r="J26" i="3"/>
  <c r="I26" i="3"/>
  <c r="H26" i="3"/>
  <c r="G26" i="3"/>
  <c r="Q25" i="3"/>
  <c r="P25" i="3"/>
  <c r="O25" i="3"/>
  <c r="N25" i="3"/>
  <c r="L25" i="3"/>
  <c r="K25" i="3"/>
  <c r="J25" i="3"/>
  <c r="I25" i="3"/>
  <c r="H25" i="3"/>
  <c r="G25" i="3"/>
  <c r="Q24" i="3"/>
  <c r="P24" i="3"/>
  <c r="O24" i="3"/>
  <c r="N24" i="3"/>
  <c r="L24" i="3"/>
  <c r="K24" i="3"/>
  <c r="J24" i="3"/>
  <c r="I24" i="3"/>
  <c r="H24" i="3"/>
  <c r="G24" i="3"/>
  <c r="Q23" i="3"/>
  <c r="P23" i="3"/>
  <c r="O23" i="3"/>
  <c r="N23" i="3"/>
  <c r="L23" i="3"/>
  <c r="K23" i="3"/>
  <c r="J23" i="3"/>
  <c r="I23" i="3"/>
  <c r="H23" i="3"/>
  <c r="G23" i="3"/>
  <c r="Q22" i="3"/>
  <c r="P22" i="3"/>
  <c r="O22" i="3"/>
  <c r="N22" i="3"/>
  <c r="L22" i="3"/>
  <c r="K22" i="3"/>
  <c r="J22" i="3"/>
  <c r="I22" i="3"/>
  <c r="H22" i="3"/>
  <c r="G22" i="3"/>
  <c r="Q21" i="3"/>
  <c r="P21" i="3"/>
  <c r="O21" i="3"/>
  <c r="N21" i="3"/>
  <c r="L21" i="3"/>
  <c r="K21" i="3"/>
  <c r="J21" i="3"/>
  <c r="I21" i="3"/>
  <c r="H21" i="3"/>
  <c r="G21" i="3"/>
  <c r="Q20" i="3"/>
  <c r="P20" i="3"/>
  <c r="O20" i="3"/>
  <c r="N20" i="3"/>
  <c r="L20" i="3"/>
  <c r="K20" i="3"/>
  <c r="J20" i="3"/>
  <c r="I20" i="3"/>
  <c r="H20" i="3"/>
  <c r="G20" i="3"/>
  <c r="Q19" i="3"/>
  <c r="P19" i="3"/>
  <c r="O19" i="3"/>
  <c r="N19" i="3"/>
  <c r="L19" i="3"/>
  <c r="K19" i="3"/>
  <c r="J19" i="3"/>
  <c r="I19" i="3"/>
  <c r="H19" i="3"/>
  <c r="G19" i="3"/>
  <c r="Q18" i="3"/>
  <c r="P18" i="3"/>
  <c r="O18" i="3"/>
  <c r="N18" i="3"/>
  <c r="L18" i="3"/>
  <c r="K18" i="3"/>
  <c r="J18" i="3"/>
  <c r="I18" i="3"/>
  <c r="H18" i="3"/>
  <c r="G18" i="3"/>
  <c r="Q17" i="3"/>
  <c r="P17" i="3"/>
  <c r="O17" i="3"/>
  <c r="N17" i="3"/>
  <c r="L17" i="3"/>
  <c r="K17" i="3"/>
  <c r="J17" i="3"/>
  <c r="I17" i="3"/>
  <c r="H17" i="3"/>
  <c r="G17" i="3"/>
  <c r="Q16" i="3"/>
  <c r="P16" i="3"/>
  <c r="O16" i="3"/>
  <c r="N16" i="3"/>
  <c r="L16" i="3"/>
  <c r="K16" i="3"/>
  <c r="J16" i="3"/>
  <c r="I16" i="3"/>
  <c r="H16" i="3"/>
  <c r="G16" i="3"/>
  <c r="Q15" i="3"/>
  <c r="P15" i="3"/>
  <c r="O15" i="3"/>
  <c r="N15" i="3"/>
  <c r="L15" i="3"/>
  <c r="K15" i="3"/>
  <c r="J15" i="3"/>
  <c r="I15" i="3"/>
  <c r="H15" i="3"/>
  <c r="G15" i="3"/>
  <c r="Q14" i="3"/>
  <c r="P14" i="3"/>
  <c r="O14" i="3"/>
  <c r="N14" i="3"/>
  <c r="L14" i="3"/>
  <c r="K14" i="3"/>
  <c r="J14" i="3"/>
  <c r="I14" i="3"/>
  <c r="H14" i="3"/>
  <c r="G14" i="3"/>
  <c r="Q13" i="3"/>
  <c r="P13" i="3"/>
  <c r="O13" i="3"/>
  <c r="N13" i="3"/>
  <c r="L13" i="3"/>
  <c r="K13" i="3"/>
  <c r="J13" i="3"/>
  <c r="I13" i="3"/>
  <c r="H13" i="3"/>
  <c r="G13" i="3"/>
  <c r="Q12" i="3"/>
  <c r="P12" i="3"/>
  <c r="O12" i="3"/>
  <c r="N12" i="3"/>
  <c r="L12" i="3"/>
  <c r="K12" i="3"/>
  <c r="J12" i="3"/>
  <c r="I12" i="3"/>
  <c r="H12" i="3"/>
  <c r="G12" i="3"/>
  <c r="Q11" i="3"/>
  <c r="P11" i="3"/>
  <c r="O11" i="3"/>
  <c r="N11" i="3"/>
  <c r="L11" i="3"/>
  <c r="K11" i="3"/>
  <c r="J11" i="3"/>
  <c r="I11" i="3"/>
  <c r="H11" i="3"/>
  <c r="G11" i="3"/>
  <c r="Q10" i="3"/>
  <c r="P10" i="3"/>
  <c r="O10" i="3"/>
  <c r="N10" i="3"/>
  <c r="L10" i="3"/>
  <c r="K10" i="3"/>
  <c r="J10" i="3"/>
  <c r="I10" i="3"/>
  <c r="H10" i="3"/>
  <c r="G10" i="3"/>
  <c r="Q9" i="3"/>
  <c r="P9" i="3"/>
  <c r="O9" i="3"/>
  <c r="N9" i="3"/>
  <c r="L9" i="3"/>
  <c r="K9" i="3"/>
  <c r="J9" i="3"/>
  <c r="I9" i="3"/>
  <c r="H9" i="3"/>
  <c r="G9" i="3"/>
  <c r="Q8" i="3"/>
  <c r="P8" i="3"/>
  <c r="O8" i="3"/>
  <c r="N8" i="3"/>
  <c r="L8" i="3"/>
  <c r="K8" i="3"/>
  <c r="J8" i="3"/>
  <c r="I8" i="3"/>
  <c r="H8" i="3"/>
  <c r="G8" i="3"/>
  <c r="Q7" i="3"/>
  <c r="P7" i="3"/>
  <c r="O7" i="3"/>
  <c r="N7" i="3"/>
  <c r="L7" i="3"/>
  <c r="K7" i="3"/>
  <c r="J7" i="3"/>
  <c r="I7" i="3"/>
  <c r="H7" i="3"/>
  <c r="G7" i="3"/>
  <c r="Q6" i="3"/>
  <c r="P6" i="3"/>
  <c r="O6" i="3"/>
  <c r="N6" i="3"/>
  <c r="L6" i="3"/>
  <c r="K6" i="3"/>
  <c r="J6" i="3"/>
  <c r="I6" i="3"/>
  <c r="H6" i="3"/>
  <c r="G6" i="3"/>
  <c r="Q5" i="3"/>
  <c r="P5" i="3"/>
  <c r="O5" i="3"/>
  <c r="N5" i="3"/>
  <c r="L5" i="3"/>
  <c r="K5" i="3"/>
  <c r="J5" i="3"/>
  <c r="I5" i="3"/>
  <c r="H5" i="3"/>
  <c r="G5" i="3"/>
  <c r="Q4" i="3"/>
  <c r="P4" i="3"/>
  <c r="O4" i="3"/>
  <c r="N4" i="3"/>
  <c r="L4" i="3"/>
  <c r="K4" i="3"/>
  <c r="J4" i="3"/>
  <c r="I4" i="3"/>
  <c r="H4" i="3"/>
  <c r="G4" i="3"/>
  <c r="Q3" i="3"/>
  <c r="P3" i="3"/>
  <c r="O3" i="3"/>
  <c r="N3" i="3"/>
  <c r="L3" i="3"/>
  <c r="K3" i="3"/>
  <c r="J3" i="3"/>
  <c r="I3" i="3"/>
  <c r="H3" i="3"/>
  <c r="G3" i="3"/>
  <c r="Q2" i="3"/>
  <c r="P2" i="3"/>
  <c r="O2" i="3"/>
  <c r="N2" i="3"/>
  <c r="L2" i="3"/>
  <c r="K2" i="3"/>
  <c r="J2" i="3"/>
  <c r="I2" i="3"/>
  <c r="H2" i="3"/>
</calcChain>
</file>

<file path=xl/sharedStrings.xml><?xml version="1.0" encoding="utf-8"?>
<sst xmlns="http://schemas.openxmlformats.org/spreadsheetml/2006/main" count="14792" uniqueCount="1182">
  <si>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</si>
  <si>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</si>
  <si>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</si>
  <si>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</si>
  <si>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</si>
  <si>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</si>
  <si>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</si>
  <si>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</si>
  <si>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</si>
  <si>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</si>
  <si>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</si>
  <si>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</si>
  <si>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</si>
  <si>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</si>
  <si>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</si>
  <si>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</si>
  <si>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</si>
  <si>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</si>
  <si>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</si>
  <si>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</si>
  <si>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</si>
  <si>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</si>
  <si>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</si>
  <si>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</si>
  <si>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</si>
  <si>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</si>
  <si>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</si>
  <si>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</si>
  <si>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</si>
  <si>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</si>
  <si>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Male</t>
  </si>
  <si>
    <t>631-41-3108</t>
  </si>
  <si>
    <t>Home and lifestyle</t>
  </si>
  <si>
    <t>Credit card</t>
  </si>
  <si>
    <t>B</t>
  </si>
  <si>
    <t>Mandalay</t>
  </si>
  <si>
    <t>123-19-1176</t>
  </si>
  <si>
    <t>1/27/2019</t>
  </si>
  <si>
    <t>Sports and travel</t>
  </si>
  <si>
    <t>373-73-7910</t>
  </si>
  <si>
    <t>Food and beverages</t>
  </si>
  <si>
    <t>699-14-3026</t>
  </si>
  <si>
    <t>3/25/2019</t>
  </si>
  <si>
    <t>Fashion accessories</t>
  </si>
  <si>
    <t>355-53-5943</t>
  </si>
  <si>
    <t>2/25/2019</t>
  </si>
  <si>
    <t>315-22-5665</t>
  </si>
  <si>
    <t>2/24/2019</t>
  </si>
  <si>
    <t>665-32-9167</t>
  </si>
  <si>
    <t>692-92-5582</t>
  </si>
  <si>
    <t>2/20/2019</t>
  </si>
  <si>
    <t>351-62-0822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</si>
  <si>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</si>
  <si>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</si>
  <si>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</si>
  <si>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</si>
  <si>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</si>
  <si>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</si>
  <si>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</si>
  <si>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</si>
  <si>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</si>
  <si>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</si>
  <si>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</si>
  <si>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</si>
  <si>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</si>
  <si>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</si>
  <si>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</si>
  <si>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</si>
  <si>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</si>
  <si>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</si>
  <si>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</si>
  <si>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</si>
  <si>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</si>
  <si>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</si>
  <si>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</si>
  <si>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</si>
  <si>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</si>
  <si>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</si>
  <si>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</si>
  <si>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</si>
  <si>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</si>
  <si>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</si>
  <si>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</si>
  <si>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</si>
  <si>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</si>
  <si>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</si>
  <si>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</si>
  <si>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</si>
  <si>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</si>
  <si>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</si>
  <si>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</si>
  <si>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</si>
  <si>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</si>
  <si>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</si>
  <si>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</si>
  <si>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</si>
  <si>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</si>
  <si>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</si>
  <si>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</si>
  <si>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</si>
  <si>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</si>
  <si>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</si>
  <si>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</si>
  <si>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</si>
  <si>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</si>
  <si>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</si>
  <si>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</si>
  <si>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</si>
  <si>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</si>
  <si>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</si>
  <si>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</si>
  <si>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</si>
  <si>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</si>
  <si>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</si>
  <si>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</si>
  <si>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</si>
  <si>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</si>
  <si>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</si>
  <si>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</si>
  <si>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</si>
  <si>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</si>
  <si>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</si>
  <si>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</si>
  <si>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</si>
  <si>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</si>
  <si>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</si>
  <si>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</si>
  <si>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</si>
  <si>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</si>
  <si>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</si>
  <si>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</si>
  <si>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</si>
  <si>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</si>
  <si>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</si>
  <si>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</si>
  <si>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</si>
  <si>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</si>
  <si>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</si>
  <si>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</si>
  <si>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</si>
  <si>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</si>
  <si>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</si>
  <si>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</si>
  <si>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</si>
  <si>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</si>
  <si>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</si>
  <si>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</si>
  <si>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</si>
  <si>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</si>
  <si>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</si>
  <si>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</si>
  <si>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</si>
  <si>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</si>
  <si>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</si>
  <si>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</si>
  <si>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</si>
  <si>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</si>
  <si>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</si>
  <si>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</si>
  <si>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</si>
  <si>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</si>
  <si>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</si>
  <si>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</si>
  <si>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</si>
  <si>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</si>
  <si>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</si>
  <si>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</si>
  <si>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</si>
  <si>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</si>
  <si>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</si>
  <si>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</si>
  <si>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</si>
  <si>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</si>
  <si>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</si>
  <si>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</si>
  <si>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</si>
  <si>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</si>
  <si>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</si>
  <si>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</si>
  <si>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</si>
  <si>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</si>
  <si>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</si>
  <si>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</si>
  <si>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</si>
  <si>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</si>
  <si>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</si>
  <si>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</si>
  <si>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</si>
  <si>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</si>
  <si>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</si>
  <si>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</si>
  <si>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</si>
  <si>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</si>
  <si>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</si>
  <si>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</si>
  <si>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</si>
  <si>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</si>
  <si>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</si>
  <si>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</si>
  <si>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</si>
  <si>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</si>
  <si>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</si>
  <si>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</si>
  <si>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</si>
  <si>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</si>
  <si>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</si>
  <si>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</si>
  <si>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</si>
  <si>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</si>
  <si>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</si>
  <si>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</si>
  <si>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</si>
  <si>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</si>
  <si>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</si>
  <si>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</si>
  <si>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</si>
  <si>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</si>
  <si>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</si>
  <si>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</si>
  <si>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</si>
  <si>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</si>
  <si>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</si>
  <si>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</si>
  <si>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</si>
  <si>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</si>
  <si>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</si>
  <si>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</si>
  <si>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</si>
  <si>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</si>
  <si>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</si>
  <si>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</si>
  <si>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</si>
  <si>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</si>
  <si>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</si>
  <si>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</si>
  <si>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</si>
  <si>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</si>
  <si>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</si>
  <si>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</si>
  <si>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</si>
  <si>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</si>
  <si>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</si>
  <si>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</si>
  <si>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</si>
  <si>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</si>
  <si>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</si>
  <si>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</si>
  <si>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</si>
  <si>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</si>
  <si>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</si>
  <si>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</si>
  <si>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</si>
  <si>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</si>
  <si>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</si>
  <si>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</si>
  <si>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</si>
  <si>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</si>
  <si>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</si>
  <si>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</si>
  <si>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</si>
  <si>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</si>
  <si>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</si>
  <si>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</si>
  <si>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</si>
  <si>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</si>
  <si>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</si>
  <si>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</si>
  <si>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</si>
  <si>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</si>
  <si>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</si>
  <si>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</si>
  <si>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</si>
  <si>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</si>
  <si>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</si>
  <si>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</si>
  <si>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</si>
  <si>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</si>
  <si>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</si>
  <si>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</si>
  <si>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</si>
  <si>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</si>
  <si>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</si>
  <si>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</si>
  <si>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</si>
  <si>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</si>
  <si>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</si>
  <si>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</si>
  <si>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</si>
  <si>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</si>
  <si>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</si>
  <si>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</si>
  <si>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</si>
  <si>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</si>
  <si>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</si>
  <si>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</si>
  <si>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</si>
  <si>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</si>
  <si>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</si>
  <si>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</si>
  <si>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</si>
  <si>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</si>
  <si>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</si>
  <si>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</si>
  <si>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</si>
  <si>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</si>
  <si>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</si>
  <si>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</si>
  <si>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</si>
  <si>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</si>
  <si>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</si>
  <si>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</si>
  <si>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</si>
  <si>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</si>
  <si>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</si>
  <si>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</si>
  <si>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</si>
  <si>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</si>
  <si>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</si>
  <si>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</si>
  <si>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</si>
  <si>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</si>
  <si>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</si>
  <si>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</si>
  <si>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</si>
  <si>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</si>
  <si>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</si>
  <si>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</si>
  <si>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</si>
  <si>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</si>
  <si>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</si>
  <si>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</si>
  <si>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</si>
  <si>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</si>
  <si>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</si>
  <si>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</si>
  <si>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</si>
  <si>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</si>
  <si>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</si>
  <si>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</si>
  <si>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</si>
  <si>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</si>
  <si>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</si>
  <si>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</si>
  <si>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</si>
  <si>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</si>
  <si>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</si>
  <si>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</si>
  <si>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</si>
  <si>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</si>
  <si>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</si>
  <si>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</si>
  <si>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</si>
  <si>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</si>
  <si>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</si>
  <si>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</si>
  <si>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</si>
  <si>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</si>
  <si>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</si>
  <si>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</si>
  <si>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</si>
  <si>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</si>
  <si>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</si>
  <si>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</si>
  <si>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</si>
  <si>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</si>
  <si>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</si>
  <si>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</si>
  <si>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</si>
  <si>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</si>
  <si>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</si>
  <si>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</si>
  <si>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</si>
  <si>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</si>
  <si>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</si>
  <si>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</si>
  <si>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</si>
  <si>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</si>
  <si>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</si>
  <si>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</si>
  <si>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</si>
  <si>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</si>
  <si>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</si>
  <si>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</si>
  <si>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</si>
  <si>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</si>
  <si>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</si>
  <si>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</si>
  <si>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</si>
  <si>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</si>
  <si>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</si>
  <si>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</si>
  <si>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</si>
  <si>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</si>
  <si>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</si>
  <si>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</si>
  <si>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</si>
  <si>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</si>
  <si>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</si>
  <si>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</si>
  <si>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</si>
  <si>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</si>
  <si>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</si>
  <si>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</si>
  <si>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</si>
  <si>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</si>
  <si>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</si>
  <si>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</si>
  <si>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</si>
  <si>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</si>
  <si>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</si>
  <si>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</si>
  <si>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</si>
  <si>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</si>
  <si>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</si>
  <si>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</si>
  <si>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</si>
  <si>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</si>
  <si>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</si>
  <si>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</si>
  <si>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</si>
  <si>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</si>
  <si>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</si>
  <si>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</si>
  <si>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</si>
  <si>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</si>
  <si>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</si>
  <si>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</si>
  <si>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</si>
  <si>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</si>
  <si>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</si>
  <si>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</si>
  <si>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</si>
  <si>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</si>
  <si>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</si>
  <si>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</si>
  <si>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</si>
  <si>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</si>
  <si>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</si>
  <si>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</si>
  <si>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</si>
  <si>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</si>
  <si>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</si>
  <si>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</si>
  <si>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</si>
  <si>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</si>
  <si>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</si>
  <si>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</si>
  <si>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</si>
  <si>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</si>
  <si>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</si>
  <si>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</si>
  <si>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</si>
  <si>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</si>
  <si>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</si>
  <si>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</si>
  <si>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</si>
  <si>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</si>
  <si>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</si>
  <si>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</si>
  <si>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</si>
  <si>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</si>
  <si>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</si>
  <si>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</si>
  <si>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</si>
  <si>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</si>
  <si>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</si>
  <si>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</si>
  <si>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</si>
  <si>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</si>
  <si>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</si>
  <si>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</si>
  <si>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</si>
  <si>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</si>
  <si>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</si>
  <si>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</si>
  <si>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</si>
  <si>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</si>
  <si>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</si>
  <si>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</si>
  <si>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</si>
  <si>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</si>
  <si>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</si>
  <si>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</si>
  <si>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</si>
  <si>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</si>
  <si>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</si>
  <si>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</si>
  <si>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</si>
  <si>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</si>
  <si>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</si>
  <si>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</si>
  <si>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</si>
  <si>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</si>
  <si>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</si>
  <si>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</si>
  <si>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</si>
  <si>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</si>
  <si>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</si>
  <si>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</si>
  <si>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</si>
  <si>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</si>
  <si>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</si>
  <si>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</si>
  <si>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</si>
  <si>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</si>
  <si>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</si>
  <si>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</si>
  <si>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</si>
  <si>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</si>
  <si>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</si>
  <si>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</si>
  <si>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</si>
  <si>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</si>
  <si>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</si>
  <si>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</si>
  <si>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</si>
  <si>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</si>
  <si>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</si>
  <si>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</si>
  <si>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</si>
  <si>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</si>
  <si>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</si>
  <si>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</si>
  <si>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</si>
  <si>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</si>
  <si>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</si>
  <si>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</si>
  <si>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</si>
  <si>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</si>
  <si>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</si>
  <si>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</si>
  <si>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</si>
  <si>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</si>
  <si>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</si>
  <si>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</si>
  <si>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</si>
  <si>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</si>
  <si>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</si>
  <si>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</si>
  <si>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</si>
  <si>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</si>
  <si>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</si>
  <si>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</si>
  <si>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</si>
  <si>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</si>
  <si>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</si>
  <si>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</si>
  <si>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</si>
  <si>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</si>
  <si>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</si>
  <si>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</si>
  <si>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</si>
  <si>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</si>
  <si>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</si>
  <si>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</si>
  <si>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</si>
  <si>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</si>
  <si>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</si>
  <si>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</si>
  <si>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</si>
  <si>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</si>
  <si>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</si>
  <si>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</si>
  <si>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</si>
  <si>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</si>
  <si>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</si>
  <si>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</si>
  <si>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</si>
  <si>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</si>
  <si>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</si>
  <si>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</si>
  <si>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</si>
  <si>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</si>
  <si>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</si>
  <si>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</si>
  <si>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</si>
  <si>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</si>
  <si>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</si>
  <si>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</si>
  <si>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</si>
  <si>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</si>
  <si>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</si>
  <si>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</si>
  <si>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</si>
  <si>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</si>
  <si>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</si>
  <si>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</si>
  <si>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</si>
  <si>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</si>
  <si>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</si>
  <si>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</si>
  <si>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</si>
  <si>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</si>
  <si>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</si>
  <si>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</si>
  <si>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</si>
  <si>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</si>
  <si>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</si>
  <si>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</si>
  <si>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</si>
  <si>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</si>
  <si>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</si>
  <si>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</si>
  <si>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</si>
  <si>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</si>
  <si>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</si>
  <si>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</si>
  <si>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</si>
  <si>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</si>
  <si>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</si>
  <si>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</si>
  <si>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</si>
  <si>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</si>
  <si>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</si>
  <si>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</si>
  <si>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</si>
  <si>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</si>
  <si>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</si>
  <si>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</si>
  <si>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</si>
  <si>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</si>
  <si>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</si>
  <si>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</si>
  <si>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</si>
  <si>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</si>
  <si>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</si>
  <si>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</si>
  <si>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</si>
  <si>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</si>
  <si>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</si>
  <si>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</si>
  <si>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</si>
  <si>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</si>
  <si>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</si>
  <si>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</si>
  <si>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</si>
  <si>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</si>
  <si>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</si>
  <si>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</si>
  <si>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</si>
  <si>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</si>
  <si>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</si>
  <si>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</si>
  <si>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</si>
  <si>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</si>
  <si>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</si>
  <si>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</si>
  <si>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</si>
  <si>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</si>
  <si>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</si>
  <si>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</si>
  <si>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</si>
  <si>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</si>
  <si>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</si>
  <si>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</si>
  <si>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</si>
  <si>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</si>
  <si>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</si>
  <si>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</si>
  <si>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</si>
  <si>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</si>
  <si>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</si>
  <si>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</si>
  <si>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</si>
  <si>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</si>
  <si>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</si>
  <si>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</si>
  <si>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</si>
  <si>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</si>
  <si>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</si>
  <si>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</si>
  <si>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</si>
  <si>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</si>
  <si>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</si>
  <si>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</si>
  <si>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</si>
  <si>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</si>
  <si>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</si>
  <si>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</si>
  <si>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</si>
  <si>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</si>
  <si>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</si>
  <si>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</si>
  <si>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</si>
  <si>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</si>
  <si>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</si>
  <si>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</si>
  <si>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</si>
  <si>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</si>
  <si>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</si>
  <si>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</si>
  <si>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</si>
  <si>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</si>
  <si>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</si>
  <si>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</si>
  <si>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</si>
  <si>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</si>
  <si>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</si>
  <si>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</si>
  <si>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</si>
  <si>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</si>
  <si>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</si>
  <si>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</si>
  <si>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</si>
  <si>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</si>
  <si>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</si>
  <si>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</si>
  <si>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</si>
  <si>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</si>
  <si>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</si>
  <si>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</si>
  <si>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</si>
  <si>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</si>
  <si>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</si>
  <si>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</si>
  <si>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</si>
  <si>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</si>
  <si>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</si>
  <si>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</si>
  <si>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</si>
  <si>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</si>
  <si>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</si>
  <si>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</si>
  <si>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</si>
  <si>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</si>
  <si>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</si>
  <si>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</si>
  <si>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</si>
  <si>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</si>
  <si>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</si>
  <si>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</si>
  <si>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</si>
  <si>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</si>
  <si>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</si>
  <si>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</si>
  <si>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</si>
  <si>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</si>
  <si>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</si>
  <si>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</si>
  <si>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</si>
  <si>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</si>
  <si>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</si>
  <si>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</si>
  <si>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</si>
  <si>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</si>
  <si>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</si>
  <si>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</si>
  <si>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</si>
  <si>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</si>
  <si>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</si>
  <si>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</si>
  <si>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</si>
  <si>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</si>
  <si>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</si>
  <si>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</si>
  <si>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</si>
  <si>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</si>
  <si>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</si>
  <si>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</si>
  <si>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</si>
  <si>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</si>
  <si>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</si>
  <si>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</si>
  <si>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</si>
  <si>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</si>
  <si>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</si>
  <si>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</si>
  <si>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</si>
  <si>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</si>
  <si>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</si>
  <si>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</si>
  <si>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</si>
  <si>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</si>
  <si>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</si>
  <si>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</si>
  <si>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</si>
  <si>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</si>
  <si>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</si>
  <si>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</si>
  <si>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</si>
  <si>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</si>
  <si>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</si>
  <si>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</si>
  <si>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</si>
  <si>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</si>
  <si>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</si>
  <si>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</si>
  <si>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</si>
  <si>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</si>
  <si>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</si>
  <si>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</si>
  <si>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</si>
  <si>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</si>
  <si>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</si>
  <si>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</si>
  <si>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</si>
  <si>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</si>
  <si>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</si>
  <si>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</si>
  <si>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</si>
  <si>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</si>
  <si>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</si>
  <si>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</si>
  <si>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</si>
  <si>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</si>
  <si>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</si>
  <si>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</si>
  <si>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</si>
  <si>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</si>
  <si>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</si>
  <si>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</si>
  <si>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</si>
  <si>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</si>
  <si>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</si>
  <si>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</si>
  <si>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</si>
  <si>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</si>
  <si>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</si>
  <si>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</si>
  <si>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</si>
  <si>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</si>
  <si>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</si>
  <si>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</si>
  <si>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</si>
  <si>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</si>
  <si>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</si>
  <si>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</si>
  <si>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</si>
  <si>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</si>
  <si>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</si>
  <si>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</si>
  <si>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</si>
  <si>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</si>
  <si>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</si>
  <si>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</si>
  <si>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</si>
  <si>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</si>
  <si>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</si>
  <si>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</si>
  <si>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</si>
  <si>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</si>
  <si>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</si>
  <si>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</si>
  <si>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</si>
  <si>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</si>
  <si>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</si>
  <si>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</si>
  <si>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</si>
  <si>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</si>
  <si>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</si>
  <si>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</si>
  <si>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</si>
  <si>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</si>
  <si>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</si>
  <si>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</si>
  <si>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</si>
  <si>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</si>
  <si>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</si>
  <si>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</si>
  <si>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</si>
  <si>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</si>
  <si>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</si>
  <si>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</si>
  <si>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</si>
  <si>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</si>
  <si>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</si>
  <si>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</si>
  <si>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</si>
  <si>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</si>
  <si>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</si>
  <si>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</si>
  <si>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</si>
  <si>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</si>
  <si>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</si>
  <si>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</si>
  <si>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</si>
  <si>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</si>
  <si>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</si>
  <si>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</si>
  <si>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</si>
  <si>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</si>
  <si>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</si>
  <si>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</si>
  <si>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</si>
  <si>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</si>
  <si>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</si>
  <si>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</si>
  <si>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</si>
  <si>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</si>
  <si>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</si>
  <si>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</si>
  <si>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</si>
  <si>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</si>
  <si>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</si>
  <si>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</si>
  <si>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</si>
  <si>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</si>
  <si>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</si>
  <si>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</si>
  <si>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</si>
  <si>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</si>
  <si>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</si>
  <si>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</si>
  <si>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</si>
  <si>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</si>
  <si>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</si>
  <si>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</si>
  <si>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</si>
  <si>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</si>
  <si>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</si>
  <si>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</si>
  <si>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</si>
  <si>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</si>
  <si>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</si>
  <si>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</si>
  <si>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</si>
  <si>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</si>
  <si>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</si>
  <si>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</si>
  <si>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</si>
  <si>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</si>
  <si>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</si>
  <si>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</si>
  <si>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</si>
  <si>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</si>
  <si>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</si>
  <si>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</si>
  <si>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</si>
  <si>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</si>
  <si>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</si>
  <si>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</si>
  <si>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</si>
  <si>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</si>
  <si>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</si>
  <si>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</si>
  <si>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</si>
  <si>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</si>
  <si>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</si>
  <si>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</si>
  <si>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</si>
  <si>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</si>
  <si>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</si>
  <si>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</si>
  <si>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</si>
  <si>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</si>
  <si>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</si>
  <si>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</si>
  <si>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</si>
  <si>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</si>
  <si>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</si>
  <si>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</si>
  <si>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</si>
  <si>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</si>
  <si>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</si>
  <si>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</si>
  <si>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</si>
  <si>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</si>
  <si>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</si>
  <si>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</si>
  <si>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</si>
  <si>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</si>
  <si>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</si>
  <si>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</si>
  <si>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</si>
  <si>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</si>
  <si>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</si>
  <si>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</si>
  <si>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</si>
  <si>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</si>
  <si>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</si>
  <si>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</si>
  <si>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</si>
  <si>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</si>
  <si>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</si>
  <si>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</si>
  <si>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</si>
  <si>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</si>
  <si>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</si>
  <si>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</si>
  <si>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</si>
  <si>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</si>
  <si>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</si>
  <si>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</si>
  <si>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</si>
  <si>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</si>
  <si>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</si>
  <si>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</si>
  <si>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</si>
  <si>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</si>
  <si>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</si>
  <si>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</si>
  <si>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</si>
  <si>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</si>
  <si>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</si>
  <si>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</si>
  <si>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</si>
  <si>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</si>
  <si>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</si>
  <si>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</si>
  <si>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</si>
  <si>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</si>
  <si>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</si>
  <si>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</si>
  <si>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</si>
  <si>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</si>
  <si>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</si>
  <si>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</si>
  <si>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</si>
  <si>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</si>
  <si>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</si>
  <si>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</si>
  <si>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</si>
  <si>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</si>
  <si>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</si>
  <si>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</si>
  <si>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</si>
  <si>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</si>
  <si>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</si>
  <si>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</si>
  <si>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</si>
  <si>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</si>
  <si>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</si>
  <si>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</si>
  <si>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</si>
  <si>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</si>
  <si>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</si>
  <si>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</si>
  <si>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</si>
  <si>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</si>
  <si>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</si>
  <si>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</si>
  <si>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</si>
  <si>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</si>
  <si>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</si>
  <si>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</si>
  <si>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</si>
  <si>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</si>
  <si>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</si>
  <si>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</si>
  <si>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</si>
  <si>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</si>
  <si>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</si>
  <si>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</si>
  <si>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</si>
  <si>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</si>
  <si>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</si>
  <si>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</si>
  <si>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</si>
  <si>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</si>
  <si>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</si>
  <si>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</si>
  <si>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</si>
  <si>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</si>
  <si>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</si>
  <si>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</si>
  <si>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</si>
  <si>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</si>
  <si>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</si>
  <si>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</si>
  <si>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</si>
  <si>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</si>
  <si>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</si>
  <si>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</si>
  <si>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</si>
  <si>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</si>
  <si>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</si>
  <si>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</si>
  <si>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</si>
  <si>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</si>
  <si>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</si>
  <si>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</si>
  <si>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</si>
  <si>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</si>
  <si>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</si>
  <si>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</si>
  <si>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</si>
  <si>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</si>
  <si>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</si>
  <si>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</si>
  <si>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</si>
  <si>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</si>
  <si>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</si>
  <si>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</si>
  <si>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</si>
  <si>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</si>
  <si>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</si>
  <si>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</si>
  <si>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</si>
  <si>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</si>
  <si>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Общий итог</t>
  </si>
  <si>
    <t>Итог</t>
  </si>
  <si>
    <t>Значения</t>
  </si>
  <si>
    <t>Количество клиентов</t>
  </si>
  <si>
    <t>Часы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</si>
  <si>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</si>
  <si>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</si>
  <si>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</si>
  <si>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</si>
  <si>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</si>
  <si>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</si>
  <si>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</si>
  <si>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</si>
  <si>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</si>
  <si>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</si>
  <si>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</si>
  <si>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Месяцы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</si>
  <si>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</si>
  <si>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</si>
  <si>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</si>
  <si>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</si>
  <si>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</si>
  <si>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</si>
  <si>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</si>
  <si>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</si>
  <si>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</si>
  <si>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</si>
  <si>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</si>
  <si>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</si>
  <si>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Общая выручка</t>
  </si>
  <si>
    <t>Общая прибыль</t>
  </si>
  <si>
    <t>Общая себестоимость</t>
  </si>
  <si>
    <t xml:space="preserve">Анализ продаж супермаркета за 2019 </t>
  </si>
  <si>
    <t>Анализ продаж по категориям товаров, регионам, времени и способам оплаты. Данные содержат 1000+ транзакций.</t>
  </si>
  <si>
    <t>Ключевые выводы:</t>
  </si>
  <si>
    <t>1. Гендерный анализ</t>
  </si>
  <si>
    <t>2. Товарная прибыльность</t>
  </si>
  <si>
    <t>Общая выручка по типу клиента</t>
  </si>
  <si>
    <t>Общая выручка по гендеру</t>
  </si>
  <si>
    <t>Кол-во товаров</t>
  </si>
  <si>
    <t>Обобщенно:</t>
  </si>
  <si>
    <t>Анализ по гендеру:</t>
  </si>
  <si>
    <t>Анализ по типу клиента:</t>
  </si>
  <si>
    <t>Анализ прибыльности компании по категории товара:</t>
  </si>
  <si>
    <t>Город Naypyitaw — самый прибыльный (как и Yangon). Mandalay проваливается по выручке (в 7 раз ниже при том же количестве товара). </t>
  </si>
  <si>
    <t>3. Регионы</t>
  </si>
  <si>
    <t>Филиал C — лидер по эффективности. Рекомендация: Внедрить его бизнес-процессы в филиалах A и B. Способы оплаты: Ewallet и Cash доминируют (Credit card отстает). </t>
  </si>
  <si>
    <t>4. Филиалы и каналы</t>
  </si>
  <si>
    <t>Пик продаж — с 13:00 до 14:00 и с 18:00 до 19:00. Это часы максимальной загрузки касс. Пик месяцев — январь и февраль, спад — апрель. </t>
  </si>
  <si>
    <t>5. Время и сезонность</t>
  </si>
  <si>
    <t>Анализ каналов продаж (город и филиал):</t>
  </si>
  <si>
    <t>Анализ способов оплаты:</t>
  </si>
  <si>
    <t>Анализ времени продаж:</t>
  </si>
  <si>
    <t>Анализ сезонности продаж:</t>
  </si>
  <si>
    <t>Итоговая сводка и главные рекомендации </t>
  </si>
  <si>
    <t>Mandalay требует проверки ценообразования (выручка в 7 раз ниже при том же объеме продаж). Категория «Food and beverages» нуждается в оптимизации себестоимости.</t>
  </si>
  <si>
    <t>Ключевые проблемы:</t>
  </si>
  <si>
    <t>Основные драйверы продаж:</t>
  </si>
  <si>
    <t>Категории «Sports and travel» и «Fashion accessories» генерируют наибольшую прибыль. Филиал C — эталон эффективности.</t>
  </si>
  <si>
    <t>Приоритетные действия на ближайший квартал:</t>
  </si>
  <si>
    <t>2. Запустить кэшбэк для оплаты кредитными картами.</t>
  </si>
  <si>
    <t>3. Усилить маркетинг в декабре под январский пик.</t>
  </si>
  <si>
    <t>1. Внедрить процессы филиала C в филиалы A и B.</t>
  </si>
  <si>
    <t>Структура файла:</t>
  </si>
  <si>
    <r>
      <t>Рекомендация:</t>
    </r>
    <r>
      <rPr>
        <sz val="12"/>
        <color rgb="FF0F1115"/>
        <rFont val="Calibri"/>
        <family val="2"/>
        <charset val="204"/>
        <scheme val="minor"/>
      </rPr>
      <t xml:space="preserve"> Усилить маркетинг в декабре (под пик января), а в апреле — точечные акции для поддержания продаж.</t>
    </r>
  </si>
  <si>
    <r>
      <t>Рекомендации:</t>
    </r>
    <r>
      <rPr>
        <sz val="12"/>
        <color rgb="FF0F1115"/>
        <rFont val="Calibri"/>
        <family val="2"/>
        <charset val="204"/>
        <scheme val="minor"/>
      </rPr>
      <t xml:space="preserve"> Стоит добавить стимулы для оплаты картой (кешбэк).</t>
    </r>
  </si>
  <si>
    <r>
      <t>Рекомендации:</t>
    </r>
    <r>
      <rPr>
        <sz val="12"/>
        <color rgb="FF0F1115"/>
        <rFont val="Calibri"/>
        <family val="2"/>
        <charset val="204"/>
        <scheme val="minor"/>
      </rPr>
      <t xml:space="preserve"> Проверить ценообразование в Mandalay: возможно, там слишком низкие цены или идут массовые распродажи.</t>
    </r>
  </si>
  <si>
    <r>
      <t xml:space="preserve">Наибольшую прибыль дают </t>
    </r>
    <r>
      <rPr>
        <i/>
        <sz val="12"/>
        <color rgb="FF0F1115"/>
        <rFont val="Calibri"/>
        <family val="2"/>
        <charset val="204"/>
        <scheme val="minor"/>
      </rPr>
      <t>"Sports and travel"</t>
    </r>
    <r>
      <rPr>
        <sz val="12"/>
        <color rgb="FF0F1115"/>
        <rFont val="Calibri"/>
        <family val="2"/>
        <charset val="204"/>
        <scheme val="minor"/>
      </rPr>
      <t xml:space="preserve"> и </t>
    </r>
    <r>
      <rPr>
        <i/>
        <sz val="12"/>
        <color rgb="FF0F1115"/>
        <rFont val="Calibri"/>
        <family val="2"/>
        <charset val="204"/>
        <scheme val="minor"/>
      </rPr>
      <t>"Fashion accessories"</t>
    </r>
    <r>
      <rPr>
        <sz val="12"/>
        <color rgb="FF0F1115"/>
        <rFont val="Calibri"/>
        <family val="2"/>
        <charset val="204"/>
        <scheme val="minor"/>
      </rPr>
      <t xml:space="preserve">. У категории </t>
    </r>
    <r>
      <rPr>
        <i/>
        <sz val="12"/>
        <color rgb="FF0F1115"/>
        <rFont val="Calibri"/>
        <family val="2"/>
        <charset val="204"/>
        <scheme val="minor"/>
      </rPr>
      <t>"Food and beverages"</t>
    </r>
    <r>
      <rPr>
        <sz val="12"/>
        <color rgb="FF0F1115"/>
        <rFont val="Calibri"/>
        <family val="2"/>
        <charset val="204"/>
        <scheme val="minor"/>
      </rPr>
      <t xml:space="preserve"> высокая выручка, но самая высокая себестоимость. </t>
    </r>
  </si>
  <si>
    <r>
      <t>Рекомендации:</t>
    </r>
    <r>
      <rPr>
        <sz val="12"/>
        <color rgb="FF0F1115"/>
        <rFont val="Calibri"/>
        <family val="2"/>
        <charset val="204"/>
        <scheme val="minor"/>
      </rPr>
      <t xml:space="preserve"> Пересмотреть закупочные цены на </t>
    </r>
    <r>
      <rPr>
        <i/>
        <sz val="12"/>
        <color rgb="FF0F1115"/>
        <rFont val="Calibri"/>
        <family val="2"/>
        <charset val="204"/>
        <scheme val="minor"/>
      </rPr>
      <t>"Food and beverages"</t>
    </r>
    <r>
      <rPr>
        <sz val="12"/>
        <color rgb="FF0F1115"/>
        <rFont val="Calibri"/>
        <family val="2"/>
        <charset val="204"/>
        <scheme val="minor"/>
      </rPr>
      <t xml:space="preserve">, чтобы увеличить прибыль. Категорию </t>
    </r>
    <r>
      <rPr>
        <i/>
        <sz val="12"/>
        <color rgb="FF0F1115"/>
        <rFont val="Calibri"/>
        <family val="2"/>
        <charset val="204"/>
        <scheme val="minor"/>
      </rPr>
      <t>"Health and beauty"</t>
    </r>
    <r>
      <rPr>
        <sz val="12"/>
        <color rgb="FF0F1115"/>
        <rFont val="Calibri"/>
        <family val="2"/>
        <charset val="204"/>
        <scheme val="minor"/>
      </rPr>
      <t xml:space="preserve"> (низкая прибыль) использовать как "якорную" для привлечения потока.</t>
    </r>
  </si>
  <si>
    <r>
      <t xml:space="preserve">Мужчины и женщины приносят практически равную выручку (разница 0,5%). Мужчины предпочитают категорию </t>
    </r>
    <r>
      <rPr>
        <i/>
        <sz val="12"/>
        <color rgb="FF0F1115"/>
        <rFont val="Calibri"/>
        <family val="2"/>
        <charset val="204"/>
        <scheme val="minor"/>
      </rPr>
      <t>"Sports and travel"</t>
    </r>
    <r>
      <rPr>
        <sz val="12"/>
        <color rgb="FF0F1115"/>
        <rFont val="Calibri"/>
        <family val="2"/>
        <charset val="204"/>
        <scheme val="minor"/>
      </rPr>
      <t xml:space="preserve"> (16% продаж), женщины — </t>
    </r>
    <r>
      <rPr>
        <i/>
        <sz val="12"/>
        <color rgb="FF0F1115"/>
        <rFont val="Calibri"/>
        <family val="2"/>
        <charset val="204"/>
        <scheme val="minor"/>
      </rPr>
      <t>"Fashion accessories"</t>
    </r>
    <r>
      <rPr>
        <sz val="12"/>
        <color rgb="FF0F1115"/>
        <rFont val="Calibri"/>
        <family val="2"/>
        <charset val="204"/>
        <scheme val="minor"/>
      </rPr>
      <t xml:space="preserve"> (13%). </t>
    </r>
  </si>
  <si>
    <r>
      <t>Рекомендации:</t>
    </r>
    <r>
      <rPr>
        <sz val="12"/>
        <color rgb="FF0F1115"/>
        <rFont val="Calibri"/>
        <family val="2"/>
        <charset val="204"/>
        <scheme val="minor"/>
      </rPr>
      <t xml:space="preserve"> Сегментировать рекламные кампании, продвигая спорт и путешествия мужчинам, аксессуары — женщинам.</t>
    </r>
  </si>
  <si>
    <t>Основные выводы:</t>
  </si>
  <si>
    <t>Анализ продаж супермаркета за 2019 год</t>
  </si>
  <si>
    <t>Microsoft Excel</t>
  </si>
  <si>
    <t>• Очистка и подготовка данных</t>
  </si>
  <si>
    <t>• 5 сводных таблиц по ключевым срезам: гендер, товары, регионы, филиалы, время</t>
  </si>
  <si>
    <t>• Визуализация в виде дашборда</t>
  </si>
  <si>
    <t>• Бизнес-выводы и рекомендации по каждому срезу</t>
  </si>
  <si>
    <t>• README — описание проекта</t>
  </si>
  <si>
    <t>• Raw Data — исходные данные</t>
  </si>
  <si>
    <t>• Cleaned Data — очищенные данные с формулами</t>
  </si>
  <si>
    <t>• Pivot Tables — все сводные таблицы</t>
  </si>
  <si>
    <t>• Dashboard — финальный дашборд</t>
  </si>
  <si>
    <t>1. Мужчины и женщины приносят равную выручку (разница 0,5%), но предпочитают разные категории</t>
  </si>
  <si>
    <t>2. Лидеры по прибыли: Sports &amp; Travel и Fashion Accessories</t>
  </si>
  <si>
    <t>3. Филиал C — самый эффективный, Mandalay требует проверки ценообразования</t>
  </si>
  <si>
    <t>4. Пик продаж: январь-февраль, часы 13-14 и 18-19</t>
  </si>
  <si>
    <t>Название проекта:</t>
  </si>
  <si>
    <t>Источник данных:</t>
  </si>
  <si>
    <t>Датасет с GitHub (Supermarket Sales)</t>
  </si>
  <si>
    <t>Инструменты:</t>
  </si>
  <si>
    <t>Что сделано:</t>
  </si>
  <si>
    <t>• Создание вычисляемых столбцов для переформатирования дат в числа (формулы ЗНАЧЕН, ЕСЛИ, ЕОШ, НАЙТИ и др.)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</si>
</sst>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9]d\ mmm\ yy;@"/>
  </numFmts>
  <fonts count="30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u/>
      <sz val="12"/>
      <color rgb="FF0F1115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rgb="FF0F1115"/>
      <name val="Calibri"/>
      <family val="2"/>
      <charset val="204"/>
      <scheme val="minor"/>
    </font>
    <font>
      <b/>
      <u/>
      <sz val="12"/>
      <color rgb="FF0F1115"/>
      <name val="Calibri"/>
      <family val="2"/>
      <charset val="204"/>
      <scheme val="minor"/>
    </font>
    <font>
      <i/>
      <sz val="12"/>
      <color rgb="FF0F1115"/>
      <name val="Calibri"/>
      <family val="2"/>
      <charset val="204"/>
      <scheme val="minor"/>
    </font>
    <font>
      <sz val="10"/>
      <color rgb="FF0F1115"/>
      <name val="Var(--ds-font-family-code)"/>
    </font>
    <font>
      <b/>
      <sz val="10"/>
      <color rgb="FF0F1115"/>
      <name val="Var(--ds-font-family-code)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14" fontId="0" fillId="0" borderId="0" xfId="0" applyNumberFormat="1"/>
    <xf numFmtId="20" fontId="0" fillId="0" borderId="0" xfId="0" applyNumberFormat="1"/>
    <xf numFmtId="16" fontId="0" fillId="0" borderId="0" xfId="0" applyNumberFormat="1"/>
    <xf numFmtId="17" fontId="0" fillId="0" borderId="0" xfId="0" applyNumberFormat="1"/>
    <xf numFmtId="164" fontId="0" fillId="0" borderId="0" xfId="0" applyNumberFormat="1"/>
    <xf numFmtId="2" fontId="0" fillId="0" borderId="0" xfId="0" applyNumberFormat="1"/>
    <xf numFmtId="16" fontId="0" fillId="33" borderId="0" xfId="0" applyNumberFormat="1" applyFill="1"/>
    <xf numFmtId="0" fontId="0" fillId="0" borderId="0" xfId="0" applyFont="1"/>
    <xf numFmtId="0" fontId="22" fillId="0" borderId="0" xfId="0" applyFont="1" applyAlignment="1">
      <alignment vertical="top" wrapText="1"/>
    </xf>
    <xf numFmtId="0" fontId="22" fillId="0" borderId="0" xfId="0" applyFont="1" applyAlignment="1">
      <alignment horizontal="left" vertical="center" indent="1"/>
    </xf>
    <xf numFmtId="0" fontId="25" fillId="0" borderId="0" xfId="0" applyFont="1" applyAlignment="1">
      <alignment horizontal="left" vertical="center" indent="1"/>
    </xf>
    <xf numFmtId="0" fontId="24" fillId="0" borderId="0" xfId="0" applyFont="1" applyAlignment="1">
      <alignment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indent="1"/>
    </xf>
    <xf numFmtId="0" fontId="27" fillId="0" borderId="0" xfId="0" applyFont="1" applyAlignment="1">
      <alignment horizontal="left" indent="1"/>
    </xf>
    <xf numFmtId="0" fontId="0" fillId="0" borderId="0" xfId="0" applyFont="1" applyAlignment="1">
      <alignment horizontal="left" vertical="top" wrapText="1" indent="1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 vertical="top" indent="1"/>
    </xf>
    <xf numFmtId="0" fontId="20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indent="1"/>
    </xf>
    <xf numFmtId="0" fontId="21" fillId="0" borderId="0" xfId="0" applyFont="1" applyAlignment="1">
      <alignment horizontal="left" vertical="top" indent="1"/>
    </xf>
    <xf numFmtId="0" fontId="22" fillId="0" borderId="0" xfId="0" applyFont="1" applyAlignment="1">
      <alignment horizontal="left" vertical="top" wrapText="1" indent="1"/>
    </xf>
    <xf numFmtId="0" fontId="22" fillId="0" borderId="0" xfId="0" applyFont="1" applyAlignment="1">
      <alignment horizontal="left" vertical="top" indent="1"/>
    </xf>
    <xf numFmtId="0" fontId="23" fillId="0" borderId="0" xfId="0" applyFont="1" applyAlignment="1">
      <alignment horizontal="left" indent="1"/>
    </xf>
    <xf numFmtId="0" fontId="21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indent="1"/>
    </xf>
    <xf numFmtId="0" fontId="0" fillId="0" borderId="10" xfId="0" pivotButton="1" applyBorder="1" applyAlignment="1">
      <alignment horizontal="left" indent="1"/>
    </xf>
    <xf numFmtId="0" fontId="0" fillId="0" borderId="10" xfId="0" applyBorder="1" applyAlignment="1">
      <alignment horizontal="left" indent="1"/>
    </xf>
    <xf numFmtId="3" fontId="0" fillId="0" borderId="10" xfId="0" applyNumberFormat="1" applyBorder="1" applyAlignment="1">
      <alignment horizontal="left" indent="1"/>
    </xf>
    <xf numFmtId="0" fontId="0" fillId="0" borderId="10" xfId="0" applyBorder="1" applyAlignment="1">
      <alignment horizontal="left" wrapText="1" indent="1"/>
    </xf>
    <xf numFmtId="0" fontId="0" fillId="0" borderId="10" xfId="0" applyNumberFormat="1" applyBorder="1" applyAlignment="1">
      <alignment horizontal="left" indent="1"/>
    </xf>
    <xf numFmtId="0" fontId="18" fillId="0" borderId="0" xfId="0" applyFont="1" applyAlignment="1">
      <alignment horizontal="left" indent="1"/>
    </xf>
    <xf numFmtId="0" fontId="22" fillId="0" borderId="0" xfId="0" applyFont="1" applyAlignment="1">
      <alignment horizontal="left" vertical="top" wrapText="1" indent="1"/>
    </xf>
    <xf numFmtId="0" fontId="24" fillId="0" borderId="0" xfId="0" applyFont="1" applyAlignment="1">
      <alignment horizontal="left" vertical="top" wrapText="1" indent="1"/>
    </xf>
    <xf numFmtId="0" fontId="19" fillId="0" borderId="0" xfId="0" applyFont="1" applyAlignment="1">
      <alignment horizontal="left" wrapText="1" indent="1"/>
    </xf>
    <xf numFmtId="0" fontId="2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center" indent="1"/>
    </xf>
    <xf numFmtId="0" fontId="28" fillId="0" borderId="0" xfId="0" applyFont="1" applyAlignment="1">
      <alignment horizontal="left" vertical="center" indent="1"/>
    </xf>
    <xf numFmtId="0" fontId="29" fillId="0" borderId="0" xfId="0" applyFont="1" applyAlignment="1">
      <alignment horizontal="left" vertical="center" inden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3" formatCode="#,##0"/>
    </dxf>
    <dxf>
      <numFmt numFmtId="3" formatCode="#,##0"/>
    </dxf>
    <dxf>
      <numFmt numFmtId="4" formatCode="#,##0.0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wrapText="1" readingOrder="0"/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3" formatCode="#,##0"/>
    </dxf>
    <dxf>
      <numFmt numFmtId="4" formatCode="#,##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3" formatCode="#,##0"/>
    </dxf>
    <dxf>
      <numFmt numFmtId="4" formatCode="#,##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alignment horizontal="left" indent="1" readingOrder="0"/>
    </dxf>
    <dxf>
      <numFmt numFmtId="3" formatCode="#,##0"/>
    </dxf>
    <dxf>
      <numFmt numFmtId="3" formatCode="#,##0"/>
    </dxf>
    <dxf>
      <numFmt numFmtId="4" formatCode="#,##0.00"/>
    </dxf>
    <dxf>
      <alignment wrapText="1" readingOrder="0"/>
    </dxf>
    <dxf>
      <alignment wrapText="1" readingOrder="0"/>
    </dxf>
    <dxf>
      <numFmt numFmtId="2" formatCode="0.00"/>
    </dxf>
    <dxf>
      <numFmt numFmtId="2" formatCode="0.00"/>
    </dxf>
    <dxf>
      <numFmt numFmtId="25" formatCode="h:mm"/>
    </dxf>
    <dxf>
      <numFmt numFmtId="19" formatCode="dd/mm/yyyy"/>
    </dxf>
    <dxf>
      <numFmt numFmtId="2" formatCode="0.00"/>
    </dxf>
    <dxf>
      <numFmt numFmtId="2" formatCode="0.00"/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[Анализ_Продаж_Супермаркета_Дашборд_xlsx.xlsx]Pivot Tables!Сводная таблица3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гендеру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Tables'!$G$3:$G$4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59C-4948-AC9B-DBBFB5021C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59C-4948-AC9B-DBBFB5021C0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Tables'!$F$5:$F$7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Tables'!$G$5:$G$7</c:f>
              <c:numCache>
                <c:formatCode>#,##0</c:formatCode>
                <c:ptCount val="2"/>
                <c:pt idx="0">
                  <c:v>184642.23050000001</c:v>
                </c:pt>
                <c:pt idx="1">
                  <c:v>186394.14550000013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9C-4948-AC9B-DBBFB5021C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[Анализ_Продаж_Супермаркета_Дашборд_xlsx.xlsx]Pivot Tables!Сводная таблица1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гендеру и категории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alpha val="4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alpha val="4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alpha val="4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alpha val="4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'Pivot Tables'!$B$5:$B$11</c:f>
              <c:numCache>
                <c:formatCode>#,##0</c:formatCode>
                <c:ptCount val="6"/>
                <c:pt idx="0">
                  <c:v>27102.022499999999</c:v>
                </c:pt>
                <c:pt idx="1">
                  <c:v>47196.705500000011</c:v>
                </c:pt>
                <c:pt idx="2">
                  <c:v>33170.917499999996</c:v>
                </c:pt>
                <c:pt idx="3">
                  <c:v>18560.986499999995</c:v>
                </c:pt>
                <c:pt idx="4">
                  <c:v>30036.877500000006</c:v>
                </c:pt>
                <c:pt idx="5">
                  <c:v>28574.72099999999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E-4304-BF04-D84632EDC73D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1">
                  <a:alpha val="4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'Pivot Tables'!$C$5:$C$11</c:f>
              <c:numCache>
                <c:formatCode>#,##0</c:formatCode>
                <c:ptCount val="6"/>
                <c:pt idx="0">
                  <c:v>27235.508999999998</c:v>
                </c:pt>
                <c:pt idx="1">
                  <c:v>23868.494999999999</c:v>
                </c:pt>
                <c:pt idx="2">
                  <c:v>22973.92649999999</c:v>
                </c:pt>
                <c:pt idx="3">
                  <c:v>30632.752499999995</c:v>
                </c:pt>
                <c:pt idx="4">
                  <c:v>23825.035499999998</c:v>
                </c:pt>
                <c:pt idx="5">
                  <c:v>57858.426999999996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DE-4304-BF04-D84632EDC7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7"/>
        <c:overlap val="42"/>
        <c:axId val="512794768"/>
        <c:axId val="512795600"/>
      </c:barChart>
      <c:catAx>
        <c:axId val="512794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2795600"/>
        <c:crosses val="autoZero"/>
        <c:auto val="1"/>
        <c:lblAlgn val="ctr"/>
        <c:lblOffset val="100"/>
        <c:noMultiLvlLbl val="0"/>
      </c:catAx>
      <c:valAx>
        <c:axId val="512795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279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[Анализ_Продаж_Супермаркета_Дашборд_xlsx.xlsx]Pivot Tables!Сводная таблица4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Прибыль по категориям товаров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Tables'!$B$15:$B$16</c:f>
              <c:strCache>
                <c:ptCount val="1"/>
                <c:pt idx="0">
                  <c:v>Общая выручка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Tables'!$A$17:$A$23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'Pivot Tables'!$B$17:$B$23</c:f>
              <c:numCache>
                <c:formatCode>#,##0</c:formatCode>
                <c:ptCount val="6"/>
                <c:pt idx="0">
                  <c:v>54337.531500000005</c:v>
                </c:pt>
                <c:pt idx="1">
                  <c:v>71065.200499999977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86433.147999999986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0-4F33-AB94-BE9DBB518E41}"/>
            </c:ext>
          </c:extLst>
        </c:ser>
        <c:ser>
          <c:idx val="2"/>
          <c:order val="2"/>
          <c:tx>
            <c:strRef>
              <c:f>'Pivot Tables'!$D$15:$D$16</c:f>
              <c:strCache>
                <c:ptCount val="1"/>
                <c:pt idx="0">
                  <c:v>Общая прибыль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Tables'!$A$17:$A$23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'Pivot Tables'!$D$17:$D$23</c:f>
              <c:numCache>
                <c:formatCode>#,##0</c:formatCode>
                <c:ptCount val="6"/>
                <c:pt idx="0">
                  <c:v>2587.5014999999999</c:v>
                </c:pt>
                <c:pt idx="1">
                  <c:v>19346.380499999999</c:v>
                </c:pt>
                <c:pt idx="2">
                  <c:v>2673.5640000000012</c:v>
                </c:pt>
                <c:pt idx="3">
                  <c:v>2342.5590000000002</c:v>
                </c:pt>
                <c:pt idx="4">
                  <c:v>2564.8530000000019</c:v>
                </c:pt>
                <c:pt idx="5">
                  <c:v>33935.218000000015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B0-4F33-AB94-BE9DBB518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8"/>
        <c:overlap val="15"/>
        <c:axId val="741533296"/>
        <c:axId val="741540784"/>
      </c:barChart>
      <c:barChart>
        <c:barDir val="bar"/>
        <c:grouping val="clustered"/>
        <c:varyColors val="0"/>
        <c:ser>
          <c:idx val="1"/>
          <c:order val="1"/>
          <c:tx>
            <c:strRef>
              <c:f>'Pivot Tables'!$C$15:$C$16</c:f>
              <c:strCache>
                <c:ptCount val="1"/>
                <c:pt idx="0">
                  <c:v>Общая себестоимость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'Pivot Tables'!$A$17:$A$23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'Pivot Tables'!$C$17:$C$23</c:f>
              <c:numCache>
                <c:formatCode>#,##0</c:formatCode>
                <c:ptCount val="6"/>
                <c:pt idx="0">
                  <c:v>51750.029999999984</c:v>
                </c:pt>
                <c:pt idx="1">
                  <c:v>51718.819999999978</c:v>
                </c:pt>
                <c:pt idx="2">
                  <c:v>53471.280000000057</c:v>
                </c:pt>
                <c:pt idx="3">
                  <c:v>46851.179999999978</c:v>
                </c:pt>
                <c:pt idx="4">
                  <c:v>51297.059999999983</c:v>
                </c:pt>
                <c:pt idx="5">
                  <c:v>52497.930000000022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B0-4F33-AB94-BE9DBB518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15"/>
        <c:axId val="720517088"/>
        <c:axId val="720513760"/>
      </c:barChart>
      <c:catAx>
        <c:axId val="74153329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1540784"/>
        <c:crosses val="autoZero"/>
        <c:auto val="1"/>
        <c:lblAlgn val="ctr"/>
        <c:lblOffset val="100"/>
        <c:noMultiLvlLbl val="0"/>
      </c:catAx>
      <c:valAx>
        <c:axId val="741540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1533296"/>
        <c:crosses val="autoZero"/>
        <c:crossBetween val="between"/>
      </c:valAx>
      <c:valAx>
        <c:axId val="720513760"/>
        <c:scaling>
          <c:orientation val="minMax"/>
        </c:scaling>
        <c:delete val="0"/>
        <c:axPos val="t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0517088"/>
        <c:crosses val="max"/>
        <c:crossBetween val="between"/>
      </c:valAx>
      <c:catAx>
        <c:axId val="7205170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20513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97173620457602"/>
          <c:y val="0.43888815981335677"/>
          <c:w val="0.23687752355316286"/>
          <c:h val="0.3942355643044619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[Анализ_Продаж_Супермаркета_Дашборд_xlsx.xlsx]Pivot Tables!Сводная таблица2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регионам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Tables'!$G$15:$G$16</c:f>
              <c:strCache>
                <c:ptCount val="1"/>
                <c:pt idx="0">
                  <c:v>Кол-во товаров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Tables'!$F$17:$F$20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'Pivot Tables'!$G$17:$G$20</c:f>
              <c:numCache>
                <c:formatCode>#,##0</c:formatCode>
                <c:ptCount val="3"/>
                <c:pt idx="0">
                  <c:v>1820</c:v>
                </c:pt>
                <c:pt idx="1">
                  <c:v>1831</c:v>
                </c:pt>
                <c:pt idx="2">
                  <c:v>1859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D-4A2C-B7CA-F82B24EBE058}"/>
            </c:ext>
          </c:extLst>
        </c:ser>
        <c:ser>
          <c:idx val="1"/>
          <c:order val="1"/>
          <c:tx>
            <c:strRef>
              <c:f>'Pivot Tables'!$H$15:$H$16</c:f>
              <c:strCache>
                <c:ptCount val="1"/>
                <c:pt idx="0">
                  <c:v>Общая прибыль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Tables'!$F$17:$F$20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'Pivot Tables'!$H$17:$H$20</c:f>
              <c:numCache>
                <c:formatCode>#,##0</c:formatCode>
                <c:ptCount val="3"/>
                <c:pt idx="0">
                  <c:v>5057.0320000000011</c:v>
                </c:pt>
                <c:pt idx="1">
                  <c:v>36575.497999999985</c:v>
                </c:pt>
                <c:pt idx="2">
                  <c:v>21817.545999999995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9D-4A2C-B7CA-F82B24EBE05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04854800"/>
        <c:axId val="404852304"/>
      </c:barChart>
      <c:catAx>
        <c:axId val="40485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852304"/>
        <c:crosses val="autoZero"/>
        <c:auto val="1"/>
        <c:lblAlgn val="ctr"/>
        <c:lblOffset val="100"/>
        <c:noMultiLvlLbl val="0"/>
      </c:catAx>
      <c:valAx>
        <c:axId val="4048523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0485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[Анализ_Продаж_Супермаркета_Дашборд_xlsx.xlsx]Pivot Tables!Сводная таблица5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Прибыль филиалов </a:t>
            </a:r>
            <a:r>
              <a:rPr lang="en-US"/>
              <a:t>A, B, C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Tables'!$K$15:$K$16</c:f>
              <c:strCache>
                <c:ptCount val="1"/>
                <c:pt idx="0">
                  <c:v>Кол-во товаров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Tables'!$J$17:$J$20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'Pivot Tables'!$K$17:$K$20</c:f>
              <c:numCache>
                <c:formatCode>#,##0</c:formatCode>
                <c:ptCount val="3"/>
                <c:pt idx="0">
                  <c:v>1859</c:v>
                </c:pt>
                <c:pt idx="1">
                  <c:v>1820</c:v>
                </c:pt>
                <c:pt idx="2">
                  <c:v>1831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1-4900-B0EE-7D6E7F507EA9}"/>
            </c:ext>
          </c:extLst>
        </c:ser>
        <c:ser>
          <c:idx val="1"/>
          <c:order val="1"/>
          <c:tx>
            <c:strRef>
              <c:f>'Pivot Tables'!$L$15:$L$16</c:f>
              <c:strCache>
                <c:ptCount val="1"/>
                <c:pt idx="0">
                  <c:v>Общая прибыль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Tables'!$J$17:$J$20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'Pivot Tables'!$L$17:$L$20</c:f>
              <c:numCache>
                <c:formatCode>#,##0</c:formatCode>
                <c:ptCount val="3"/>
                <c:pt idx="0">
                  <c:v>21817.545999999995</c:v>
                </c:pt>
                <c:pt idx="1">
                  <c:v>5057.0320000000011</c:v>
                </c:pt>
                <c:pt idx="2">
                  <c:v>36575.497999999985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1-4900-B0EE-7D6E7F507E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82864720"/>
        <c:axId val="882852656"/>
      </c:barChart>
      <c:catAx>
        <c:axId val="88286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2852656"/>
        <c:crosses val="autoZero"/>
        <c:auto val="1"/>
        <c:lblAlgn val="ctr"/>
        <c:lblOffset val="100"/>
        <c:noMultiLvlLbl val="0"/>
      </c:catAx>
      <c:valAx>
        <c:axId val="88285265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88286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[Анализ_Продаж_Супермаркета_Дашборд_xlsx.xlsx]Pivot Tables!Сводная таблица7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Метод расчета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Tables'!$B$27:$B$28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D05-4FEA-9AB9-72B9A31035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D05-4FEA-9AB9-72B9A31035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D05-4FEA-9AB9-72B9A31035A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Tables'!$A$29:$A$32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'Pivot Tables'!$B$29:$B$32</c:f>
              <c:numCache>
                <c:formatCode>General</c:formatCode>
                <c:ptCount val="3"/>
                <c:pt idx="0">
                  <c:v>344</c:v>
                </c:pt>
                <c:pt idx="1">
                  <c:v>311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05-4FEA-9AB9-72B9A31035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[Анализ_Продаж_Супермаркета_Дашборд_xlsx.xlsx]Pivot Tables!Сводная таблица10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</a:t>
            </a:r>
            <a:r>
              <a:rPr lang="ru-RU" baseline="0"/>
              <a:t> по времени суток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Tables'!$H$27:$H$28</c:f>
              <c:strCache>
                <c:ptCount val="1"/>
                <c:pt idx="0">
                  <c:v>Итог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Tables'!$F$29:$G$40</c:f>
              <c:strCach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strCache>
            </c:strRef>
          </c:cat>
          <c:val>
            <c:numRef>
              <c:f>'Pivot Tables'!$H$29:$H$40</c:f>
              <c:numCache>
                <c:formatCode>#,##0</c:formatCode>
                <c:ptCount val="11"/>
                <c:pt idx="0">
                  <c:v>31421.481000000011</c:v>
                </c:pt>
                <c:pt idx="1">
                  <c:v>30377.329499999996</c:v>
                </c:pt>
                <c:pt idx="2">
                  <c:v>26065.882499999996</c:v>
                </c:pt>
                <c:pt idx="3">
                  <c:v>34723.227000000014</c:v>
                </c:pt>
                <c:pt idx="4">
                  <c:v>62138.72050000001</c:v>
                </c:pt>
                <c:pt idx="5">
                  <c:v>31179.508499999996</c:v>
                </c:pt>
                <c:pt idx="6">
                  <c:v>25226.323499999995</c:v>
                </c:pt>
                <c:pt idx="7">
                  <c:v>24445.218000000001</c:v>
                </c:pt>
                <c:pt idx="8">
                  <c:v>42789.645499999999</c:v>
                </c:pt>
                <c:pt idx="9">
                  <c:v>39699.513000000021</c:v>
                </c:pt>
                <c:pt idx="10">
                  <c:v>22969.527000000002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1-455E-BF89-BA55814EC5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82849744"/>
        <c:axId val="882858480"/>
      </c:lineChart>
      <c:catAx>
        <c:axId val="88284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2858480"/>
        <c:crosses val="autoZero"/>
        <c:auto val="1"/>
        <c:lblAlgn val="ctr"/>
        <c:lblOffset val="100"/>
        <c:noMultiLvlLbl val="0"/>
      </c:catAx>
      <c:valAx>
        <c:axId val="8828584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88284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[Анализ_Продаж_Супермаркета_Дашборд_xlsx.xlsx]Pivot Tables!Сводная таблица8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Сезонность продаж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  <a:headEnd type="none" w="med" len="med"/>
            <a:tailEnd type="none"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  <a:headEnd type="none" w="med" len="med"/>
            <a:tailEnd type="none"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  <a:headEnd type="none" w="med" len="med"/>
            <a:tailEnd type="none"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 cmpd="sng">
            <a:solidFill>
              <a:schemeClr val="accent1"/>
            </a:solidFill>
            <a:round/>
            <a:headEnd type="none" w="med" len="med"/>
            <a:tailEnd type="none"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Tables'!$K$27:$K$28</c:f>
              <c:strCache>
                <c:ptCount val="1"/>
                <c:pt idx="0">
                  <c:v>Итог</c:v>
                </c:pt>
              </c:strCache>
            </c:strRef>
          </c:tx>
          <c:spPr>
            <a:ln w="31750" cap="rnd" cmpd="sng">
              <a:solidFill>
                <a:schemeClr val="accent1"/>
              </a:solidFill>
              <a:round/>
              <a:headEnd type="none" w="med" len="med"/>
              <a:tailEnd type="none"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Tables'!$J$29:$J$41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'Pivot Tables'!$K$29:$K$41</c:f>
              <c:numCache>
                <c:formatCode>#,##0</c:formatCode>
                <c:ptCount val="12"/>
                <c:pt idx="0">
                  <c:v>103321.87250000003</c:v>
                </c:pt>
                <c:pt idx="1">
                  <c:v>63169.742999999995</c:v>
                </c:pt>
                <c:pt idx="2">
                  <c:v>72749.249999999956</c:v>
                </c:pt>
                <c:pt idx="3">
                  <c:v>7957.6245000000017</c:v>
                </c:pt>
                <c:pt idx="4">
                  <c:v>12798.691500000003</c:v>
                </c:pt>
                <c:pt idx="5">
                  <c:v>9612.2250000000004</c:v>
                </c:pt>
                <c:pt idx="6">
                  <c:v>42811.034500000002</c:v>
                </c:pt>
                <c:pt idx="7">
                  <c:v>13503.777000000002</c:v>
                </c:pt>
                <c:pt idx="8">
                  <c:v>13767.285000000002</c:v>
                </c:pt>
                <c:pt idx="9">
                  <c:v>9865.2014999999992</c:v>
                </c:pt>
                <c:pt idx="10">
                  <c:v>9618.3675000000003</c:v>
                </c:pt>
                <c:pt idx="11">
                  <c:v>11861.303999999998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4B-4C47-8B20-29F8E85457C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0873328"/>
        <c:axId val="940865424"/>
      </c:lineChart>
      <c:catAx>
        <c:axId val="94087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0865424"/>
        <c:crosses val="autoZero"/>
        <c:auto val="1"/>
        <c:lblAlgn val="ctr"/>
        <c:lblOffset val="100"/>
        <c:noMultiLvlLbl val="0"/>
      </c:catAx>
      <c:valAx>
        <c:axId val="9408654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94087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138546</xdr:colOff>
      <xdr:row>10</xdr:row>
      <xdr:rowOff>171450</xdr:rowOff>
    </xdr:from>
    <xdr:to>
      <xdr:col>6</xdr:col>
      <xdr:colOff>72736</xdr:colOff>
      <xdr:row>25</xdr:row>
      <xdr:rowOff>63500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137391</xdr:colOff>
      <xdr:row>26</xdr:row>
      <xdr:rowOff>34923</xdr:rowOff>
    </xdr:from>
    <xdr:to>
      <xdr:col>7</xdr:col>
      <xdr:colOff>404667</xdr:colOff>
      <xdr:row>40</xdr:row>
      <xdr:rowOff>92939</xdr:rowOff>
    </xdr:to>
    <xdr:graphicFrame macro="">
      <xdr:nvGraphicFramePr>
        <xdr:cNvPr id="3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138547</xdr:colOff>
      <xdr:row>48</xdr:row>
      <xdr:rowOff>130176</xdr:rowOff>
    </xdr:from>
    <xdr:to>
      <xdr:col>7</xdr:col>
      <xdr:colOff>589397</xdr:colOff>
      <xdr:row>63</xdr:row>
      <xdr:rowOff>99003</xdr:rowOff>
    </xdr:to>
    <xdr:graphicFrame macro="">
      <xdr:nvGraphicFramePr>
        <xdr:cNvPr id="4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144896</xdr:colOff>
      <xdr:row>68</xdr:row>
      <xdr:rowOff>154419</xdr:rowOff>
    </xdr:from>
    <xdr:to>
      <xdr:col>7</xdr:col>
      <xdr:colOff>449696</xdr:colOff>
      <xdr:row>83</xdr:row>
      <xdr:rowOff>56572</xdr:rowOff>
    </xdr:to>
    <xdr:graphicFrame macro="">
      <xdr:nvGraphicFramePr>
        <xdr:cNvPr id="5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135557</xdr:colOff>
      <xdr:row>88</xdr:row>
      <xdr:rowOff>158766</xdr:rowOff>
    </xdr:from>
    <xdr:to>
      <xdr:col>7</xdr:col>
      <xdr:colOff>440357</xdr:colOff>
      <xdr:row>103</xdr:row>
      <xdr:rowOff>47066</xdr:rowOff>
    </xdr:to>
    <xdr:graphicFrame macro="">
      <xdr:nvGraphicFramePr>
        <xdr:cNvPr id="6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165322</xdr:colOff>
      <xdr:row>104</xdr:row>
      <xdr:rowOff>40080</xdr:rowOff>
    </xdr:from>
    <xdr:to>
      <xdr:col>6</xdr:col>
      <xdr:colOff>374872</xdr:colOff>
      <xdr:row>118</xdr:row>
      <xdr:rowOff>114259</xdr:rowOff>
    </xdr:to>
    <xdr:graphicFrame macro="">
      <xdr:nvGraphicFramePr>
        <xdr:cNvPr id="7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129710</xdr:colOff>
      <xdr:row>124</xdr:row>
      <xdr:rowOff>70867</xdr:rowOff>
    </xdr:from>
    <xdr:to>
      <xdr:col>7</xdr:col>
      <xdr:colOff>434510</xdr:colOff>
      <xdr:row>139</xdr:row>
      <xdr:rowOff>58719</xdr:rowOff>
    </xdr:to>
    <xdr:graphicFrame macro="">
      <xdr:nvGraphicFramePr>
        <xdr:cNvPr id="8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118993</xdr:colOff>
      <xdr:row>140</xdr:row>
      <xdr:rowOff>39430</xdr:rowOff>
    </xdr:from>
    <xdr:to>
      <xdr:col>7</xdr:col>
      <xdr:colOff>400602</xdr:colOff>
      <xdr:row>155</xdr:row>
      <xdr:rowOff>24798</xdr:rowOff>
    </xdr:to>
    <xdr:graphicFrame macro="">
      <xdr:nvGraphicFramePr>
        <xdr:cNvPr id="9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vitoseller4" refreshedDate="46160.576278125001" createdVersion="6" refreshedVersion="6" minRefreshableVersion="3" recordCount="1000">
  <cacheSource type="worksheet">
    <worksheetSource name="Таблица1"/>
  </cacheSource>
  <cacheFields count="19">
    <cacheField name="Invoice ID" numFmtId="0">
      <sharedItems/>
    </cacheField>
    <cacheField name="Branch" numFmtId="0">
      <sharedItems count="3">
        <s v="A"/>
        <s v="C"/>
        <s v="B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 count="10">
        <n v="7"/>
        <n v="5"/>
        <n v="8"/>
        <n v="6"/>
        <n v="10"/>
        <n v="2"/>
        <n v="3"/>
        <n v="4"/>
        <n v="1"/>
        <n v="9"/>
      </sharedItems>
    </cacheField>
    <cacheField name="Tax 5%" numFmtId="2">
      <sharedItems containsSemiMixedTypes="0" containsString="0" containsNumber="1" minValue="0.62700000000000067" maxValue="31310.83"/>
    </cacheField>
    <cacheField name="Total" numFmtId="2">
      <sharedItems containsSemiMixedTypes="0" containsString="0" containsNumber="1" minValue="13.167" maxValue="31321" count="990">
        <n v="548.97149999999999"/>
        <n v="80.22"/>
        <n v="340.52550000000002"/>
        <n v="489.048"/>
        <n v="634.37850000000003"/>
        <n v="627.61649999999997"/>
        <n v="433.69200000000001"/>
        <n v="772.38"/>
        <n v="76.146000000000001"/>
        <n v="172.74600000000001"/>
        <n v="60.816000000000003"/>
        <n v="107.142"/>
        <n v="246.48750000000001"/>
        <n v="453.495"/>
        <n v="749.49"/>
        <n v="590.43600000000004"/>
        <n v="506.63549999999998"/>
        <n v="457.44299999999998"/>
        <n v="172.2105"/>
        <n v="84.63"/>
        <n v="451.71"/>
        <n v="277.137"/>
        <n v="69.72"/>
        <n v="181.44"/>
        <n v="279.18450000000001"/>
        <n v="441.75599999999997"/>
        <n v="35.195999999999998"/>
        <n v="184.107"/>
        <n v="463.89"/>
        <n v="235.2105"/>
        <n v="494.1825"/>
        <n v="737.76149999999996"/>
        <n v="703.75199999999995"/>
        <n v="202.81800000000001"/>
        <n v="417.56400000000002"/>
        <n v="71.525999999999996"/>
        <n v="328.755"/>
        <n v="575.31600000000003"/>
        <n v="461.32799999999997"/>
        <n v="253.00800000000001"/>
        <n v="91.055999999999997"/>
        <n v="117.831"/>
        <n v="435.45600000000002"/>
        <n v="829.08"/>
        <n v="32.277000000000001"/>
        <n v="394.63200000000001"/>
        <n v="535.72050000000002"/>
        <n v="189.09450000000001"/>
        <n v="119.259"/>
        <n v="867.61500000000001"/>
        <n v="671.79"/>
        <n v="234.0975"/>
        <n v="75.054000000000002"/>
        <n v="16.201499999999999"/>
        <n v="33.936"/>
        <n v="722.23199999999997"/>
        <n v="93.114000000000004"/>
        <n v="752.64"/>
        <n v="759.67499999999995"/>
        <n v="192.84299999999999"/>
        <n v="77.930999999999997"/>
        <n v="351.09899999999999"/>
        <n v="520.41150000000005"/>
        <n v="166.005"/>
        <n v="318.108"/>
        <n v="166.63499999999999"/>
        <n v="70.287000000000006"/>
        <n v="614.94299999999998"/>
        <n v="827.08500000000004"/>
        <n v="19.246500000000001"/>
        <n v="939.54"/>
        <n v="652.26"/>
        <n v="152.83799999999999"/>
        <n v="478.233"/>
        <n v="705.63149999999996"/>
        <n v="437.32499999999999"/>
        <n v="463.428"/>
        <n v="822.255"/>
        <n v="106.995"/>
        <n v="624.89700000000005"/>
        <n v="304.54199999999997"/>
        <n v="161.69999999999999"/>
        <n v="337.512"/>
        <n v="256.77749999999997"/>
        <n v="610.49099999999999"/>
        <n v="401.73"/>
        <n v="362.94299999999998"/>
        <n v="44.593499999999999"/>
        <n v="485.03699999999998"/>
        <n v="198.99600000000001"/>
        <n v="471.03"/>
        <n v="161.553"/>
        <n v="608.202"/>
        <n v="94.237499999999997"/>
        <n v="102.018"/>
        <n v="922.63499999999999"/>
        <n v="78.435000000000002"/>
        <n v="166.16249999999999"/>
        <n v="521.01"/>
        <n v="51.145499999999998"/>
        <n v="742.29750000000001"/>
        <n v="218.01150000000001"/>
        <n v="367.03800000000001"/>
        <n v="223.07249999999999"/>
        <n v="931.03499999999997"/>
        <n v="172.494"/>
        <n v="391.41899999999998"/>
        <n v="321.11099999999999"/>
        <n v="860.68499999999995"/>
        <n v="34.628999999999998"/>
        <n v="309.36149999999998"/>
        <n v="535.37400000000002"/>
        <n v="548.76149999999996"/>
        <n v="763.46550000000002"/>
        <n v="85.113"/>
        <n v="115.185"/>
        <n v="53.927999999999997"/>
        <n v="115.08"/>
        <n v="112.224"/>
        <n v="836.30399999999997"/>
        <n v="419.83199999999999"/>
        <n v="944.62199999999996"/>
        <n v="536.84400000000005"/>
        <n v="474.34800000000001"/>
        <n v="688.62149999999997"/>
        <n v="169.3125"/>
        <n v="299.8485"/>
        <n v="575.73599999999999"/>
        <n v="853.14599999999996"/>
        <n v="291.20699999999999"/>
        <n v="580.41899999999998"/>
        <n v="146.328"/>
        <n v="550.93499999999995"/>
        <n v="512.19000000000005"/>
        <n v="284.19299999999998"/>
        <n v="138.1275"/>
        <n v="216.846"/>
        <n v="545.05499999999995"/>
        <n v="609"/>
        <n v="942.9"/>
        <n v="950.25"/>
        <n v="720.3"/>
        <n v="31.930499999999999"/>
        <n v="491.08499999999998"/>
        <n v="291.43799999999999"/>
        <n v="316.47000000000003"/>
        <n v="277.78800000000001"/>
        <n v="603.62400000000002"/>
        <n v="272.66399999999999"/>
        <n v="384.46800000000002"/>
        <n v="254.01599999999999"/>
        <n v="786.61800000000005"/>
        <n v="103.824"/>
        <n v="680.14800000000002"/>
        <n v="484.52249999999998"/>
        <n v="75.778499999999994"/>
        <n v="263.97000000000003"/>
        <n v="918.72900000000004"/>
        <n v="588.35699999999997"/>
        <n v="362.71199999999999"/>
        <n v="66.874499999999998"/>
        <n v="336.55650000000003"/>
        <n v="160.44"/>
        <n v="418.95"/>
        <n v="357.58800000000002"/>
        <n v="1003.59"/>
        <n v="1039.29"/>
        <n v="323.06400000000002"/>
        <n v="510.97199999999998"/>
        <n v="367.55250000000001"/>
        <n v="420.26249999999999"/>
        <n v="175.14"/>
        <n v="333.20699999999999"/>
        <n v="166.23599999999999"/>
        <n v="319.78800000000001"/>
        <n v="186.22800000000001"/>
        <n v="165.4485"/>
        <n v="465.44400000000002"/>
        <n v="273.42"/>
        <n v="472.31099999999998"/>
        <n v="323.14800000000002"/>
        <n v="162.75"/>
        <n v="288.20400000000001"/>
        <n v="90.698999999999998"/>
        <n v="56.951999999999998"/>
        <n v="793.71600000000001"/>
        <n v="195.17400000000001"/>
        <n v="77.773499999999999"/>
        <n v="293.202"/>
        <n v="242.67599999999999"/>
        <n v="154.392"/>
        <n v="829.71"/>
        <n v="107.31"/>
        <n v="171.72749999999999"/>
        <n v="78.004499999999993"/>
        <n v="91.77"/>
        <n v="26.554500000000001"/>
        <n v="174.3"/>
        <n v="374.79750000000001"/>
        <n v="120.645"/>
        <n v="241.458"/>
        <n v="451.36349999999999"/>
        <n v="271.95"/>
        <n v="93.292500000000004"/>
        <n v="217.6335"/>
        <n v="629.84249999999997"/>
        <n v="299.565"/>
        <n v="95.665499999999994"/>
        <n v="942.44849999999997"/>
        <n v="247.87350000000001"/>
        <n v="881.30700000000002"/>
        <n v="484.89"/>
        <n v="146.22300000000001"/>
        <n v="19.193999999999999"/>
        <n v="130.04249999999999"/>
        <n v="298.11599999999999"/>
        <n v="796.90800000000002"/>
        <n v="180.62100000000001"/>
        <n v="285.70499999999998"/>
        <n v="456.28800000000001"/>
        <n v="62.002499999999998"/>
        <n v="13.167"/>
        <n v="90.825000000000003"/>
        <n v="183.036"/>
        <n v="655.54650000000004"/>
        <n v="155.65199999999999"/>
        <n v="571.41"/>
        <n v="532.72799999999995"/>
        <n v="170.87700000000001"/>
        <n v="33.358499999999999"/>
        <n v="794.65049999999997"/>
        <n v="310.04399999999998"/>
        <n v="545.37"/>
        <n v="195.59399999999999"/>
        <n v="91.402500000000003"/>
        <n v="232.155"/>
        <n v="69.405000000000001"/>
        <n v="94.174499999999995"/>
        <n v="235.68299999999999"/>
        <n v="125.517"/>
        <n v="195.72"/>
        <n v="263.13"/>
        <n v="788.50800000000004"/>
        <n v="399.75599999999997"/>
        <n v="256.41000000000003"/>
        <n v="94.185000000000002"/>
        <n v="326.42399999999998"/>
        <n v="536.99099999999999"/>
        <n v="439.89749999999998"/>
        <n v="369.495"/>
        <n v="30.219000000000001"/>
        <n v="99.75"/>
        <n v="494.76"/>
        <n v="137.00399999999999"/>
        <n v="69.667500000000004"/>
        <n v="163.233"/>
        <n v="135.44999999999999"/>
        <n v="276.94799999999998"/>
        <n v="709.31700000000001"/>
        <n v="69.09"/>
        <n v="160.86000000000001"/>
        <n v="233.52"/>
        <n v="57.172499999999999"/>
        <n v="723.24"/>
        <n v="148.97399999999999"/>
        <n v="783.3"/>
        <n v="297.108"/>
        <n v="373.17"/>
        <n v="354.00749999999999"/>
        <n v="44.351999999999997"/>
        <n v="203.553"/>
        <n v="25.263000000000002"/>
        <n v="628.173"/>
        <n v="352.5795"/>
        <n v="229.11"/>
        <n v="400.76400000000001"/>
        <n v="745.39499999999998"/>
        <n v="462.21"/>
        <n v="587.66399999999999"/>
        <n v="38.85"/>
        <n v="16.106999999999999"/>
        <n v="628.92899999999997"/>
        <n v="200.214"/>
        <n v="350.07"/>
        <n v="78.602999999999994"/>
        <n v="224.4375"/>
        <n v="356.54849999999999"/>
        <n v="697.36800000000005"/>
        <n v="423.15"/>
        <n v="204.69749999999999"/>
        <n v="65.603999999999999"/>
        <n v="76.355999999999995"/>
        <n v="190.155"/>
        <n v="272.58"/>
        <n v="121.128"/>
        <n v="493.79399999999998"/>
        <n v="252.042"/>
        <n v="93.040499999999994"/>
        <n v="209.62200000000001"/>
        <n v="40.960500000000003"/>
        <n v="51.040500000000002"/>
        <n v="214.99799999999999"/>
        <n v="125.664"/>
        <n v="530.66999999999996"/>
        <n v="295.69049999999999"/>
        <n v="745.83600000000001"/>
        <n v="83.412000000000006"/>
        <n v="172.011"/>
        <n v="503.55900000000003"/>
        <n v="145.59299999999999"/>
        <n v="74.707499999999996"/>
        <n v="146.94749999999999"/>
        <n v="820.36500000000001"/>
        <n v="208.67699999999999"/>
        <n v="66.402000000000001"/>
        <n v="392.64749999999998"/>
        <n v="218.0745"/>
        <n v="185.09399999999999"/>
        <n v="216.6885"/>
        <n v="41.390999999999998"/>
        <n v="96.138000000000005"/>
        <n v="324.29250000000002"/>
        <n v="135.57599999999999"/>
        <n v="410.50799999999998"/>
        <n v="523.84500000000003"/>
        <n v="395.892"/>
        <n v="214.74600000000001"/>
        <n v="152.71199999999999"/>
        <n v="208.089"/>
        <n v="103.63500000000001"/>
        <n v="404.35500000000002"/>
        <n v="49.308"/>
        <n v="77.174999999999997"/>
        <n v="149.36250000000001"/>
        <n v="721.98"/>
        <n v="365.08499999999998"/>
        <n v="150.0975"/>
        <n v="404.649"/>
        <n v="151.48349999999999"/>
        <n v="411.37950000000001"/>
        <n v="565.21500000000003"/>
        <n v="509.40750000000003"/>
        <n v="140.64750000000001"/>
        <n v="736.43849999999998"/>
        <n v="75.547499999999999"/>
        <n v="749.7"/>
        <n v="191.24700000000001"/>
        <n v="141.75"/>
        <n v="1042.6500000000001"/>
        <n v="379.92149999999998"/>
        <n v="402.26549999999997"/>
        <n v="255.15"/>
        <n v="31.751999999999999"/>
        <n v="374.38799999999998"/>
        <n v="394.27499999999998"/>
        <n v="1002.12"/>
        <n v="86.625"/>
        <n v="78.718500000000006"/>
        <n v="680.06399999999996"/>
        <n v="793.548"/>
        <n v="209.559"/>
        <n v="461.286"/>
        <n v="173.208"/>
        <n v="343.05599999999998"/>
        <n v="484.97399999999999"/>
        <n v="150.78"/>
        <n v="203.17500000000001"/>
        <n v="193.011"/>
        <n v="128.01599999999999"/>
        <n v="441.69299999999998"/>
        <n v="265.10399999999998"/>
        <n v="352.22250000000003"/>
        <n v="507.67500000000001"/>
        <n v="334.34100000000001"/>
        <n v="701.85149999999999"/>
        <n v="407.31599999999997"/>
        <n v="99.33"/>
        <n v="345.786"/>
        <n v="55.881"/>
        <n v="523.37249999999995"/>
        <n v="314.53800000000001"/>
        <n v="214.935"/>
        <n v="79.611000000000004"/>
        <n v="294.65100000000001"/>
        <n v="339.36"/>
        <n v="510.9615"/>
        <n v="133.917"/>
        <n v="253.512"/>
        <n v="398.47500000000002"/>
        <n v="80.661000000000001"/>
        <n v="548.73"/>
        <n v="83.727000000000004"/>
        <n v="406.875"/>
        <n v="284.91750000000002"/>
        <n v="128.4255"/>
        <n v="258.678"/>
        <n v="181.81800000000001"/>
        <n v="248.40899999999999"/>
        <n v="194.124"/>
        <n v="14.679"/>
        <n v="208.6875"/>
        <n v="718.75649999999996"/>
        <n v="282.49200000000002"/>
        <n v="72.397499999999994"/>
        <n v="288.58199999999999"/>
        <n v="237.42599999999999"/>
        <n v="125.05500000000001"/>
        <n v="359.20499999999998"/>
        <n v="45.927"/>
        <n v="110.0925"/>
        <n v="81.396000000000001"/>
        <n v="427.81200000000001"/>
        <n v="100.91549999999999"/>
        <n v="190.596"/>
        <n v="85.585499999999996"/>
        <n v="120.16200000000001"/>
        <n v="185.36699999999999"/>
        <n v="121.59"/>
        <n v="264.75749999999999"/>
        <n v="1020.705"/>
        <n v="213.52799999999999"/>
        <n v="17.094000000000001"/>
        <n v="383.7645"/>
        <n v="390.79950000000002"/>
        <n v="65.740499999999997"/>
        <n v="353.16750000000002"/>
        <n v="951.82500000000005"/>
        <n v="145.06800000000001"/>
        <n v="90.867000000000004"/>
        <n v="147.798"/>
        <n v="702.21900000000005"/>
        <n v="49.811999999999998"/>
        <n v="937.81799999999998"/>
        <n v="348.30599999999998"/>
        <n v="214.137"/>
        <n v="71.567999999999998"/>
        <n v="343.22399999999999"/>
        <n v="91.56"/>
        <n v="742.81200000000001"/>
        <n v="843.03449999999998"/>
        <n v="13.419"/>
        <n v="140.38499999999999"/>
        <n v="20.107500000000002"/>
        <n v="290.43"/>
        <n v="144.08099999999999"/>
        <n v="28.423500000000001"/>
        <n v="41.076000000000001"/>
        <n v="470.673"/>
        <n v="138.66300000000001"/>
        <n v="333.95249999999999"/>
        <n v="26.25"/>
        <n v="87.233999999999995"/>
        <n v="155.19"/>
        <n v="731.43"/>
        <n v="833.59500000000003"/>
        <n v="488.98500000000001"/>
        <n v="37.6845"/>
        <n v="212.73"/>
        <n v="767.02499999999998"/>
        <n v="310.58999999999997"/>
        <n v="23.751000000000001"/>
        <n v="269.53500000000003"/>
        <n v="572.77499999999998"/>
        <n v="273.05250000000001"/>
        <n v="233.226"/>
        <n v="22.658999999999999"/>
        <n v="103.782"/>
        <n v="527.75099999999998"/>
        <n v="168.21"/>
        <n v="452.86500000000001"/>
        <n v="609.58799999999997"/>
        <n v="338.31"/>
        <n v="205.31700000000001"/>
        <n v="174.61500000000001"/>
        <n v="353.09399999999999"/>
        <n v="360.88499999999999"/>
        <n v="40.53"/>
        <n v="554.14800000000002"/>
        <n v="344.4"/>
        <n v="194.98500000000001"/>
        <n v="633.99"/>
        <n v="388.29"/>
        <n v="207.858"/>
        <n v="431.44499999999999"/>
        <n v="156.03"/>
        <n v="24.108000000000001"/>
        <n v="734.07600000000002"/>
        <n v="72.87"/>
        <n v="206.43"/>
        <n v="212.68799999999999"/>
        <n v="127.26"/>
        <n v="209.76900000000001"/>
        <n v="637.72799999999995"/>
        <n v="132.762"/>
        <n v="568.51199999999994"/>
        <n v="103.0365"/>
        <n v="432.76799999999997"/>
        <n v="77.668499999999995"/>
        <n v="33.494999999999997"/>
        <n v="145.74"/>
        <n v="195.95099999999999"/>
        <n v="92.872500000000002"/>
        <n v="203.11199999999999"/>
        <n v="152.77500000000001"/>
        <n v="529.51499999999999"/>
        <n v="321.77249999999998"/>
        <n v="100.485"/>
        <n v="666.93899999999996"/>
        <n v="225.2775"/>
        <n v="398.95800000000003"/>
        <n v="731.6925"/>
        <n v="429.16649999999998"/>
        <n v="54.043500000000002"/>
        <n v="288.01499999999999"/>
        <n v="206.79750000000001"/>
        <n v="72.933000000000007"/>
        <n v="377.58"/>
        <n v="143.98650000000001"/>
        <n v="523.971"/>
        <n v="235.87200000000001"/>
        <n v="132.02699999999999"/>
        <n v="514.77300000000002"/>
        <n v="479.90249999999997"/>
        <n v="164.68199999999999"/>
        <n v="125.706"/>
        <n v="570.78"/>
        <n v="926.95050000000003"/>
        <n v="160.209"/>
        <n v="728.11199999999997"/>
        <n v="240.97499999999999"/>
        <n v="154.12950000000001"/>
        <n v="148.68"/>
        <n v="122.5245"/>
        <n v="77.658000000000001"/>
        <n v="102.837"/>
        <n v="306.81"/>
        <n v="551.12400000000002"/>
        <n v="96.641999999999996"/>
        <n v="79.674000000000007"/>
        <n v="84.756"/>
        <n v="118.251"/>
        <n v="74.760000000000005"/>
        <n v="163.00200000000001"/>
        <n v="308.91000000000003"/>
        <n v="575.97749999999996"/>
        <n v="270.58499999999998"/>
        <n v="416.178"/>
        <n v="180.40049999999999"/>
        <n v="513.22950000000003"/>
        <n v="550.36800000000005"/>
        <n v="139.923"/>
        <n v="142.00200000000001"/>
        <n v="118.062"/>
        <n v="151.28399999999999"/>
        <n v="1034.46"/>
        <n v="262.45800000000003"/>
        <n v="228.12299999999999"/>
        <n v="203.93100000000001"/>
        <n v="936.6"/>
        <n v="356.32799999999997"/>
        <n v="469.41300000000001"/>
        <n v="208.42500000000001"/>
        <n v="852.70500000000004"/>
        <n v="517.96500000000003"/>
        <n v="621.24300000000005"/>
        <n v="586.971"/>
        <n v="543.75300000000004"/>
        <n v="430.71"/>
        <n v="280.03500000000003"/>
        <n v="74.455500000000001"/>
        <n v="152.01900000000001"/>
        <n v="451.02749999999997"/>
        <n v="597.62850000000003"/>
        <n v="253.26"/>
        <n v="133.434"/>
        <n v="269.93400000000003"/>
        <n v="145.971"/>
        <n v="85.742999999999995"/>
        <n v="326.25599999999997"/>
        <n v="195.25800000000001"/>
        <n v="75.936000000000007"/>
        <n v="198.63900000000001"/>
        <n v="217.18199999999999"/>
        <n v="164.87100000000001"/>
        <n v="226.065"/>
        <n v="625.90499999999997"/>
        <n v="76.754999999999995"/>
        <n v="293.13900000000001"/>
        <n v="178.16399999999999"/>
        <n v="47.859000000000002"/>
        <n v="236.88"/>
        <n v="304.92"/>
        <n v="46.683"/>
        <n v="164.43"/>
        <n v="440.93700000000001"/>
        <n v="193.46250000000001"/>
        <n v="147.672"/>
        <n v="68.239500000000007"/>
        <n v="814.38"/>
        <n v="343.41300000000001"/>
        <n v="381.39150000000001"/>
        <n v="133.35"/>
        <n v="394.32749999999999"/>
        <n v="209.11799999999999"/>
        <n v="32.140500000000003"/>
        <n v="121.569"/>
        <n v="30.408000000000001"/>
        <n v="935.26649999999995"/>
        <n v="293.64299999999997"/>
        <n v="84.976500000000001"/>
        <n v="708.22500000000002"/>
        <n v="365.904"/>
        <n v="457.38"/>
        <n v="461.52749999999997"/>
        <n v="620.73900000000003"/>
        <n v="273.798"/>
        <n v="225.792"/>
        <n v="96.1905"/>
        <n v="695.23649999999998"/>
        <n v="874.125"/>
        <n v="95.917500000000004"/>
        <n v="165.648"/>
        <n v="127.827"/>
        <n v="867.09"/>
        <n v="167.89500000000001"/>
        <n v="16772"/>
        <n v="673.995"/>
        <n v="246.6765"/>
        <n v="175.917"/>
        <n v="314.05500000000001"/>
        <n v="251.7165"/>
        <n v="697.93499999999995"/>
        <n v="212.7825"/>
        <n v="48.51"/>
        <n v="92.557500000000005"/>
        <n v="165.12299999999999"/>
        <n v="311.18849999999998"/>
        <n v="743.82"/>
        <n v="116.907"/>
        <n v="609.16800000000001"/>
        <n v="63.262500000000003"/>
        <n v="182.952"/>
        <n v="442.32299999999998"/>
        <n v="35.311500000000002"/>
        <n v="32.529000000000003"/>
        <n v="259.77"/>
        <n v="397.21499999999997"/>
        <n v="351.60300000000001"/>
        <n v="764.19"/>
        <n v="352.67399999999998"/>
        <n v="252.756"/>
        <n v="49.423499999999997"/>
        <n v="104.67449999999999"/>
        <n v="277.67250000000001"/>
        <n v="146.63249999999999"/>
        <n v="58.222499999999997"/>
        <n v="135.35550000000001"/>
        <n v="125.979"/>
        <n v="370.125"/>
        <n v="914.55"/>
        <n v="207.48"/>
        <n v="204.24600000000001"/>
        <n v="181.881"/>
        <n v="75.474000000000004"/>
        <n v="300.57299999999998"/>
        <n v="85.302000000000007"/>
        <n v="588.41999999999996"/>
        <n v="196.14"/>
        <n v="231.2415"/>
        <n v="282.57600000000002"/>
        <n v="477.54"/>
        <n v="470.988"/>
        <n v="308.57400000000001"/>
        <n v="618.97500000000002"/>
        <n v="305.55"/>
        <n v="41.454000000000001"/>
        <n v="36.5505"/>
        <n v="310.71600000000001"/>
        <n v="45.107999999999997"/>
        <n v="145.404"/>
        <n v="103.11"/>
        <n v="136.143"/>
        <n v="667.38"/>
        <n v="153.048"/>
        <n v="211.36500000000001"/>
        <n v="663.29549999999995"/>
        <n v="404.54399999999998"/>
        <n v="510.61500000000001"/>
        <n v="539.34299999999996"/>
        <n v="497.07"/>
        <n v="458.6925"/>
        <n v="113.568"/>
        <n v="261.19799999999998"/>
        <n v="657.53099999999995"/>
        <n v="1023.75"/>
        <n v="507.44400000000002"/>
        <n v="101.80800000000001"/>
        <n v="207.58500000000001"/>
        <n v="760.44150000000002"/>
        <n v="835.28549999999996"/>
        <n v="527.5095"/>
        <n v="180.6"/>
        <n v="72.429000000000002"/>
        <n v="131.208"/>
        <n v="80.954999999999998"/>
        <n v="507.90600000000001"/>
        <n v="317.226"/>
        <n v="733.60350000000005"/>
        <n v="130.88249999999999"/>
        <n v="187.32"/>
        <n v="525.23099999999999"/>
        <n v="37.610999999999997"/>
        <n v="142.947"/>
        <n v="110.124"/>
        <n v="187.86600000000001"/>
        <n v="856.45349999999996"/>
        <n v="138.97800000000001"/>
        <n v="270.2595"/>
        <n v="98.028000000000006"/>
        <n v="239.4"/>
        <n v="175.0455"/>
        <n v="732.27"/>
        <n v="408.49200000000002"/>
        <n v="383.52300000000002"/>
        <n v="93.744"/>
        <n v="176.4"/>
        <n v="20.684999999999999"/>
        <n v="557.71799999999996"/>
        <n v="56.405999999999999"/>
        <n v="860.47500000000002"/>
        <n v="596.82000000000005"/>
        <n v="616.98"/>
        <n v="769.10400000000004"/>
        <n v="887.92200000000003"/>
        <n v="408.73349999999999"/>
        <n v="89.0715"/>
        <n v="150.423"/>
        <n v="79.149000000000001"/>
        <n v="266.02800000000002"/>
        <n v="40.341000000000001"/>
        <n v="684.91499999999996"/>
        <n v="55.282499999999999"/>
        <n v="116.1405"/>
        <n v="597.04049999999995"/>
        <n v="143.22"/>
        <n v="182.91"/>
        <n v="384.72"/>
        <n v="267.34050000000002"/>
        <n v="817.23599999999999"/>
        <n v="300.21600000000001"/>
        <n v="608.07600000000002"/>
        <n v="197.92500000000001"/>
        <n v="232.63800000000001"/>
        <n v="810.6"/>
        <n v="757.36500000000001"/>
        <n v="536.59199999999998"/>
        <n v="56.122500000000002"/>
        <n v="233.1"/>
        <n v="801.86400000000003"/>
        <n v="239.589"/>
        <n v="86.247"/>
        <n v="401.68799999999999"/>
        <n v="72.009"/>
        <n v="401.26799999999997"/>
        <n v="631.14449999999999"/>
        <n v="499.72649999999999"/>
        <n v="55.040999999999997"/>
        <n v="137.86500000000001"/>
        <n v="151.51499999999999"/>
        <n v="480.02850000000001"/>
        <n v="98.049000000000007"/>
        <n v="132.5625"/>
        <n v="830.37149999999997"/>
        <n v="183.12"/>
        <n v="397.99200000000002"/>
        <n v="32.151000000000003"/>
        <n v="369.68400000000003"/>
        <n v="53.34"/>
        <n v="548.16300000000001"/>
        <n v="603.87599999999998"/>
        <n v="57.697499999999998"/>
        <n v="190.48050000000001"/>
        <n v="432.98849999999999"/>
        <n v="48.730499999999999"/>
        <n v="287.91000000000003"/>
        <n v="1022.385"/>
        <n v="680.61"/>
        <n v="97.881"/>
        <n v="57.078000000000003"/>
        <n v="63.913499999999999"/>
        <n v="257.14499999999998"/>
        <n v="97.418999999999997"/>
        <n v="455.1225"/>
        <n v="144.96299999999999"/>
        <n v="253.68"/>
        <n v="495.31650000000002"/>
        <n v="462.67200000000003"/>
        <n v="714.32550000000003"/>
        <n v="325.37400000000002"/>
        <n v="195.678"/>
        <n v="210.96600000000001"/>
        <n v="18.637499999999999"/>
        <n v="652.89"/>
        <n v="90.3"/>
        <n v="422.73"/>
        <n v="341.09249999999997"/>
        <n v="99.907499999999999"/>
        <n v="408.40800000000002"/>
        <n v="446.964"/>
        <n v="333.98399999999998"/>
        <n v="284.59199999999998"/>
        <n v="403.87200000000001"/>
        <n v="247.59"/>
        <n v="222.13800000000001"/>
        <n v="100.128"/>
        <n v="31321"/>
        <n v="216.4365"/>
        <n v="441.58800000000002"/>
        <n v="92.441999999999993"/>
        <n v="681.43949999999995"/>
        <n v="130.03200000000001"/>
        <n v="681.97500000000002"/>
        <n v="779.31"/>
        <n v="88.703999999999994"/>
        <n v="262.79399999999998"/>
        <n v="99.54"/>
        <n v="95.864999999999995"/>
        <n v="299.3655"/>
        <n v="54.999000000000002"/>
        <n v="202.33500000000001"/>
        <n v="281.16899999999998"/>
        <n v="586.63499999999999"/>
        <n v="184.08600000000001"/>
        <n v="163.61099999999999"/>
        <n v="63.314999999999998"/>
        <n v="82.887"/>
        <n v="31.227"/>
        <n v="22.385999999999999"/>
        <n v="295.40699999999998"/>
        <n v="76.923000000000002"/>
        <n v="23.498999999999999"/>
        <n v="688.71600000000001"/>
        <n v="624.33000000000004"/>
        <n v="77.805000000000007"/>
        <n v="206.80799999999999"/>
        <n v="390.94650000000001"/>
        <n v="554.29499999999996"/>
        <n v="503.73750000000001"/>
        <n v="345.01949999999999"/>
        <n v="177.40799999999999"/>
        <n v="118.902"/>
        <n v="362.81700000000001"/>
        <n v="450.1035"/>
        <n v="90.583500000000001"/>
        <n v="26.795999999999999"/>
        <n v="106.596"/>
        <n v="375.36450000000002"/>
        <n v="250.70849999999999"/>
        <n v="106.50149999999999"/>
        <n v="760.452"/>
        <n v="131.922"/>
        <n v="76.576499999999996"/>
        <n v="271.27800000000002"/>
        <n v="182.42699999999999"/>
        <n v="59.325000000000003"/>
        <n v="225.01499999999999"/>
        <n v="561.07799999999997"/>
        <n v="97.817999999999998"/>
        <n v="548.18399999999997"/>
        <n v="54.967500000000001"/>
        <n v="41.737499999999997"/>
        <n v="756.16800000000001"/>
        <n v="101.64"/>
        <n v="348.70499999999998"/>
        <n v="85.512"/>
        <n v="335.89499999999998"/>
        <n v="175.01400000000001"/>
        <n v="335.01299999999998"/>
        <n v="92.295000000000002"/>
        <n v="771.43499999999995"/>
        <n v="102.396"/>
        <n v="807.66"/>
        <n v="439.21499999999997"/>
        <n v="486.44400000000002"/>
        <n v="485.57249999999999"/>
        <n v="148.995"/>
        <n v="317.83499999999998"/>
        <n v="832.94399999999996"/>
        <n v="446.43900000000002"/>
        <n v="297.80099999999999"/>
        <n v="629.16"/>
        <n v="331.12799999999999"/>
        <n v="423.738"/>
        <n v="193.07400000000001"/>
        <n v="145.58250000000001"/>
        <n v="84.745500000000007"/>
        <n v="122.47199999999999"/>
        <n v="329.19600000000003"/>
        <n v="888.40499999999997"/>
        <n v="435.12"/>
        <n v="167.03399999999999"/>
        <n v="514.60500000000002"/>
        <n v="91.822500000000005"/>
        <n v="235.74600000000001"/>
        <n v="782.20799999999997"/>
        <n v="431.25599999999997"/>
        <n v="313.74"/>
        <n v="223.58699999999999"/>
        <n v="44.9925"/>
        <n v="397.61399999999998"/>
        <n v="217.25550000000001"/>
        <n v="82.718999999999994"/>
        <n v="338.21550000000002"/>
        <n v="103.131"/>
        <n v="26.733000000000001"/>
        <n v="611.07899999999995"/>
        <n v="221.886"/>
        <n v="57.875999999999998"/>
        <n v="92.725499999999997"/>
        <n v="374.40899999999999"/>
        <n v="833.96249999999998"/>
        <n v="53.151000000000003"/>
        <n v="629.49599999999998"/>
        <n v="175.035"/>
        <n v="781.62"/>
        <n v="397.84500000000003"/>
        <n v="270.01799999999997"/>
        <n v="579.8415"/>
        <n v="469.77"/>
        <n v="290.08350000000002"/>
        <n v="360.92700000000002"/>
        <n v="279.38400000000001"/>
        <n v="943.29899999999998"/>
        <n v="479.64"/>
        <n v="266.64749999999998"/>
        <n v="74.087999999999994"/>
        <n v="690.01800000000003"/>
        <n v="176.92500000000001"/>
        <n v="56.469000000000001"/>
        <n v="188.0025"/>
        <n v="222.012"/>
        <n v="125.7165"/>
        <n v="68.984999999999999"/>
        <n v="88.367999999999995"/>
        <n v="415.233"/>
        <n v="312.8895"/>
        <n v="477.13049999999998"/>
        <n v="289.92599999999999"/>
        <n v="165.9"/>
        <n v="932.33699999999999"/>
        <n v="96.578999999999994"/>
        <n v="43.869"/>
        <n v="16.274999999999999"/>
        <n v="304.983"/>
        <n v="69.992999999999995"/>
        <n v="80.367000000000004"/>
        <n v="314.685"/>
        <n v="255.1815"/>
        <n v="49.77"/>
        <n v="181.07249999999999"/>
        <n v="888.61500000000001"/>
        <n v="271.2885"/>
        <n v="640.03800000000001"/>
        <n v="252.25200000000001"/>
        <n v="180.87299999999999"/>
        <n v="104.83199999999999"/>
        <n v="313.572"/>
        <n v="167.58"/>
        <n v="26.7225"/>
        <n v="71.158500000000004"/>
        <n v="250.27799999999999"/>
        <n v="244.23"/>
        <n v="921.18600000000004"/>
        <n v="734.70600000000002"/>
        <n v="708.31949999999995"/>
        <n v="334.47750000000002"/>
        <n v="30.995999999999999"/>
        <n v="520.79999999999995"/>
        <n v="864.57"/>
        <n v="633.10799999999995"/>
        <n v="296.94"/>
        <n v="804.3"/>
        <n v="121.863"/>
        <n v="183.64500000000001"/>
        <n v="63.997500000000002"/>
        <n v="42.3675"/>
        <n v="1022.49"/>
        <n v="33.432000000000002"/>
        <n v="69.111000000000004"/>
        <n v="649.29899999999998"/>
      </sharedItems>
    </cacheField>
    <cacheField name="Date" numFmtId="14">
      <sharedItems containsSemiMixedTypes="0" containsNonDate="0" containsDate="1" containsString="0" minDate="2019-01-01T00:00:00" maxDate="2019-12-04T00:00:00" count="89">
        <d v="2019-05-01T00:00:00"/>
        <d v="2019-08-03T00:00:00"/>
        <d v="2019-03-03T00:00:00"/>
        <d v="2019-01-27T00:00:00"/>
        <d v="2019-08-02T00:00:00"/>
        <d v="2019-03-25T00:00:00"/>
        <d v="2019-02-25T00:00:00"/>
        <d v="2019-02-24T00:00:00"/>
        <d v="2019-10-01T00:00:00"/>
        <d v="2019-02-20T00:00:00"/>
        <d v="2019-06-02T00:00:00"/>
        <d v="2019-09-03T00:00:00"/>
        <d v="2019-12-02T00:00:00"/>
        <d v="2019-07-02T00:00:00"/>
        <d v="2019-03-29T00:00:00"/>
        <d v="2019-01-15T00:00:00"/>
        <d v="2019-11-03T00:00:00"/>
        <d v="2019-01-01T00:00:00"/>
        <d v="2019-01-21T00:00:00"/>
        <d v="2019-05-03T00:00:00"/>
        <d v="2019-03-15T00:00:00"/>
        <d v="2019-02-17T00:00:00"/>
        <d v="2019-02-03T00:00:00"/>
        <d v="2019-03-22T00:00:00"/>
        <d v="2019-10-03T00:00:00"/>
        <d v="2019-01-25T00:00:00"/>
        <d v="2019-01-28T00:00:00"/>
        <d v="2019-07-01T00:00:00"/>
        <d v="2019-03-23T00:00:00"/>
        <d v="2019-01-17T00:00:00"/>
        <d v="2019-02-02T00:00:00"/>
        <d v="2019-04-03T00:00:00"/>
        <d v="2019-03-16T00:00:00"/>
        <d v="2019-02-27T00:00:00"/>
        <d v="2019-10-02T00:00:00"/>
        <d v="2019-03-19T00:00:00"/>
        <d v="2019-03-02T00:00:00"/>
        <d v="2019-07-03T00:00:00"/>
        <d v="2019-02-28T00:00:00"/>
        <d v="2019-03-27T00:00:00"/>
        <d v="2019-01-20T00:00:00"/>
        <d v="2019-12-03T00:00:00"/>
        <d v="2019-02-15T00:00:00"/>
        <d v="2019-06-03T00:00:00"/>
        <d v="2019-02-14T00:00:00"/>
        <d v="2019-03-13T00:00:00"/>
        <d v="2019-01-24T00:00:00"/>
        <d v="2019-06-01T00:00:00"/>
        <d v="2019-11-02T00:00:00"/>
        <d v="2019-01-22T00:00:00"/>
        <d v="2019-01-13T00:00:00"/>
        <d v="2019-09-01T00:00:00"/>
        <d v="2019-12-01T00:00:00"/>
        <d v="2019-01-26T00:00:00"/>
        <d v="2019-01-23T00:00:00"/>
        <d v="2019-02-23T00:00:00"/>
        <d v="2019-02-01T00:00:00"/>
        <d v="2019-09-02T00:00:00"/>
        <d v="2019-03-26T00:00:00"/>
        <d v="2019-01-03T00:00:00"/>
        <d v="2019-01-02T00:00:00"/>
        <d v="2019-03-28T00:00:00"/>
        <d v="2019-03-24T00:00:00"/>
        <d v="2019-05-02T00:00:00"/>
        <d v="2019-01-19T00:00:00"/>
        <d v="2019-01-16T00:00:00"/>
        <d v="2019-08-01T00:00:00"/>
        <d v="2019-02-18T00:00:00"/>
        <d v="2019-01-18T00:00:00"/>
        <d v="2019-02-16T00:00:00"/>
        <d v="2019-02-22T00:00:00"/>
        <d v="2019-01-29T00:00:00"/>
        <d v="2019-04-01T00:00:00"/>
        <d v="2019-03-30T00:00:00"/>
        <d v="2019-01-30T00:00:00"/>
        <d v="2019-03-01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11-01T00:00:00"/>
        <d v="2019-02-26T00:00:00"/>
        <d v="2019-03-17T00:00:00"/>
        <d v="2019-03-14T00:00:00"/>
        <d v="2019-04-02T00:00:00"/>
        <d v="2019-02-19T00:00:00"/>
      </sharedItems>
      <fieldGroup par="18" base="10">
        <rangePr groupBy="days" startDate="2019-01-01T00:00:00" endDate="2019-12-04T00:00:00"/>
        <groupItems count="368">
          <s v="&lt;01.01.2019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4.12.2019"/>
        </groupItems>
      </fieldGroup>
    </cacheField>
    <cacheField name="Time" numFmtId="20">
      <sharedItems containsSemiMixedTypes="0" containsNonDate="0" containsDate="1" containsString="0" minDate="1899-12-30T10:00:00" maxDate="1899-12-30T20:59:00" count="506">
        <d v="1899-12-30T13:08:00"/>
        <d v="1899-12-30T10:29:00"/>
        <d v="1899-12-30T13:23:00"/>
        <d v="1899-12-30T20:33:00"/>
        <d v="1899-12-30T10:37:00"/>
        <d v="1899-12-30T18:30:00"/>
        <d v="1899-12-30T14:36:00"/>
        <d v="1899-12-30T11:38:00"/>
        <d v="1899-12-30T17:15:00"/>
        <d v="1899-12-30T13:27:00"/>
        <d v="1899-12-30T18:07:00"/>
        <d v="1899-12-30T17:03:00"/>
        <d v="1899-12-30T10:25:00"/>
        <d v="1899-12-30T16:48:00"/>
        <d v="1899-12-30T19:21:00"/>
        <d v="1899-12-30T16:19:00"/>
        <d v="1899-12-30T11:03:00"/>
        <d v="1899-12-30T10:39:00"/>
        <d v="1899-12-30T18:00:00"/>
        <d v="1899-12-30T15:30:00"/>
        <d v="1899-12-30T11:24:00"/>
        <d v="1899-12-30T10:40:00"/>
        <d v="1899-12-30T12:20:00"/>
        <d v="1899-12-30T11:15:00"/>
        <d v="1899-12-30T17:36:00"/>
        <d v="1899-12-30T19:20:00"/>
        <d v="1899-12-30T15:31:00"/>
        <d v="1899-12-30T12:17:00"/>
        <d v="1899-12-30T19:48:00"/>
        <d v="1899-12-30T15:36:00"/>
        <d v="1899-12-30T19:39:00"/>
        <d v="1899-12-30T12:43:00"/>
        <d v="1899-12-30T14:49:00"/>
        <d v="1899-12-30T10:12:00"/>
        <d v="1899-12-30T10:42:00"/>
        <d v="1899-12-30T12:28:00"/>
        <d v="1899-12-30T19:15:00"/>
        <d v="1899-12-30T17:17:00"/>
        <d v="1899-12-30T13:24:00"/>
        <d v="1899-12-30T13:01:00"/>
        <d v="1899-12-30T18:45:00"/>
        <d v="1899-12-30T10:11:00"/>
        <d v="1899-12-30T13:03:00"/>
        <d v="1899-12-30T20:39:00"/>
        <d v="1899-12-30T19:47:00"/>
        <d v="1899-12-30T17:24:00"/>
        <d v="1899-12-30T15:47:00"/>
        <d v="1899-12-30T12:45:00"/>
        <d v="1899-12-30T17:08:00"/>
        <d v="1899-12-30T10:19:00"/>
        <d v="1899-12-30T15:10:00"/>
        <d v="1899-12-30T14:42:00"/>
        <d v="1899-12-30T15:46:00"/>
        <d v="1899-12-30T11:49:00"/>
        <d v="1899-12-30T19:01:00"/>
        <d v="1899-12-30T11:26:00"/>
        <d v="1899-12-30T11:28:00"/>
        <d v="1899-12-30T15:55:00"/>
        <d v="1899-12-30T20:36:00"/>
        <d v="1899-12-30T17:47:00"/>
        <d v="1899-12-30T10:55:00"/>
        <d v="1899-12-30T13:40:00"/>
        <d v="1899-12-30T12:27:00"/>
        <d v="1899-12-30T14:35:00"/>
        <d v="1899-12-30T16:40:00"/>
        <d v="1899-12-30T15:43:00"/>
        <d v="1899-12-30T15:01:00"/>
        <d v="1899-12-30T10:04:00"/>
        <d v="1899-12-30T18:50:00"/>
        <d v="1899-12-30T12:46:00"/>
        <d v="1899-12-30T18:17:00"/>
        <d v="1899-12-30T18:21:00"/>
        <d v="1899-12-30T17:04:00"/>
        <d v="1899-12-30T14:20:00"/>
        <d v="1899-12-30T15:48:00"/>
        <d v="1899-12-30T16:24:00"/>
        <d v="1899-12-30T18:56:00"/>
        <d v="1899-12-30T19:56:00"/>
        <d v="1899-12-30T18:37:00"/>
        <d v="1899-12-30T10:17:00"/>
        <d v="1899-12-30T14:31:00"/>
        <d v="1899-12-30T10:23:00"/>
        <d v="1899-12-30T20:35:00"/>
        <d v="1899-12-30T16:57:00"/>
        <d v="1899-12-30T17:55:00"/>
        <d v="1899-12-30T19:54:00"/>
        <d v="1899-12-30T16:42:00"/>
        <d v="1899-12-30T12:09:00"/>
        <d v="1899-12-30T20:05:00"/>
        <d v="1899-12-30T20:38:00"/>
        <d v="1899-12-30T13:11:00"/>
        <d v="1899-12-30T10:16:00"/>
        <d v="1899-12-30T18:14:00"/>
        <d v="1899-12-30T13:22:00"/>
        <d v="1899-12-30T11:27:00"/>
        <d v="1899-12-30T16:44:00"/>
        <d v="1899-12-30T18:19:00"/>
        <d v="1899-12-30T14:50:00"/>
        <d v="1899-12-30T20:54:00"/>
        <d v="1899-12-30T20:19:00"/>
        <d v="1899-12-30T10:43:00"/>
        <d v="1899-12-30T14:30:00"/>
        <d v="1899-12-30T11:32:00"/>
        <d v="1899-12-30T10:41:00"/>
        <d v="1899-12-30T12:44:00"/>
        <d v="1899-12-30T20:07:00"/>
        <d v="1899-12-30T20:31:00"/>
        <d v="1899-12-30T12:29:00"/>
        <d v="1899-12-30T15:26:00"/>
        <d v="1899-12-30T20:48:00"/>
        <d v="1899-12-30T12:02:00"/>
        <d v="1899-12-30T17:26:00"/>
        <d v="1899-12-30T19:52:00"/>
        <d v="1899-12-30T14:57:00"/>
        <d v="1899-12-30T18:44:00"/>
        <d v="1899-12-30T13:26:00"/>
        <d v="1899-12-30T16:17:00"/>
        <d v="1899-12-30T15:57:00"/>
        <d v="1899-12-30T13:18:00"/>
        <d v="1899-12-30T20:34:00"/>
        <d v="1899-12-30T18:36:00"/>
        <d v="1899-12-30T14:40:00"/>
        <d v="1899-12-30T16:43:00"/>
        <d v="1899-12-30T20:59:00"/>
        <d v="1899-12-30T15:39:00"/>
        <d v="1899-12-30T12:21:00"/>
        <d v="1899-12-30T19:25:00"/>
        <d v="1899-12-30T13:00:00"/>
        <d v="1899-12-30T13:48:00"/>
        <d v="1899-12-30T19:57:00"/>
        <d v="1899-12-30T10:36:00"/>
        <d v="1899-12-30T16:37:00"/>
        <d v="1899-12-30T17:11:00"/>
        <d v="1899-12-30T15:07:00"/>
        <d v="1899-12-30T16:07:00"/>
        <d v="1899-12-30T11:56:00"/>
        <d v="1899-12-30T18:23:00"/>
        <d v="1899-12-30T13:05:00"/>
        <d v="1899-12-30T19:40:00"/>
        <d v="1899-12-30T13:58:00"/>
        <d v="1899-12-30T14:43:00"/>
        <d v="1899-12-30T19:18:00"/>
        <d v="1899-12-30T16:21:00"/>
        <d v="1899-12-30T19:44:00"/>
        <d v="1899-12-30T19:42:00"/>
        <d v="1899-12-30T15:24:00"/>
        <d v="1899-12-30T14:12:00"/>
        <d v="1899-12-30T13:32:00"/>
        <d v="1899-12-30T16:20:00"/>
        <d v="1899-12-30T16:31:00"/>
        <d v="1899-12-30T11:36:00"/>
        <d v="1899-12-30T19:17:00"/>
        <d v="1899-12-30T17:34:00"/>
        <d v="1899-12-30T12:04:00"/>
        <d v="1899-12-30T17:01:00"/>
        <d v="1899-12-30T10:50:00"/>
        <d v="1899-12-30T19:16:00"/>
        <d v="1899-12-30T16:47:00"/>
        <d v="1899-12-30T10:00:00"/>
        <d v="1899-12-30T11:51:00"/>
        <d v="1899-12-30T15:00:00"/>
        <d v="1899-12-30T11:19:00"/>
        <d v="1899-12-30T19:46:00"/>
        <d v="1899-12-30T19:00:00"/>
        <d v="1899-12-30T10:53:00"/>
        <d v="1899-12-30T12:50:00"/>
        <d v="1899-12-30T20:50:00"/>
        <d v="1899-12-30T13:41:00"/>
        <d v="1899-12-30T19:08:00"/>
        <d v="1899-12-30T20:23:00"/>
        <d v="1899-12-30T11:30:00"/>
        <d v="1899-12-30T19:30:00"/>
        <d v="1899-12-30T18:03:00"/>
        <d v="1899-12-30T10:13:00"/>
        <d v="1899-12-30T19:58:00"/>
        <d v="1899-12-30T10:01:00"/>
        <d v="1899-12-30T11:57:00"/>
        <d v="1899-12-30T10:02:00"/>
        <d v="1899-12-30T14:51:00"/>
        <d v="1899-12-30T12:42:00"/>
        <d v="1899-12-30T17:38:00"/>
        <d v="1899-12-30T20:24:00"/>
        <d v="1899-12-30T18:08:00"/>
        <d v="1899-12-30T15:53:00"/>
        <d v="1899-12-30T15:05:00"/>
        <d v="1899-12-30T18:27:00"/>
        <d v="1899-12-30T16:55:00"/>
        <d v="1899-12-30T12:58:00"/>
        <d v="1899-12-30T18:59:00"/>
        <d v="1899-12-30T13:44:00"/>
        <d v="1899-12-30T13:46:00"/>
        <d v="1899-12-30T18:06:00"/>
        <d v="1899-12-30T12:38:00"/>
        <d v="1899-12-30T15:56:00"/>
        <d v="1899-12-30T14:29:00"/>
        <d v="1899-12-30T19:14:00"/>
        <d v="1899-12-30T10:52:00"/>
        <d v="1899-12-30T12:55:00"/>
        <d v="1899-12-30T19:28:00"/>
        <d v="1899-12-30T13:52:00"/>
        <d v="1899-12-30T10:54:00"/>
        <d v="1899-12-30T18:31:00"/>
        <d v="1899-12-30T18:24:00"/>
        <d v="1899-12-30T18:09:00"/>
        <d v="1899-12-30T15:16:00"/>
        <d v="1899-12-30T17:07:00"/>
        <d v="1899-12-30T19:26:00"/>
        <d v="1899-12-30T11:20:00"/>
        <d v="1899-12-30T16:49:00"/>
        <d v="1899-12-30T12:01:00"/>
        <d v="1899-12-30T11:25:00"/>
        <d v="1899-12-30T18:42:00"/>
        <d v="1899-12-30T14:47:00"/>
        <d v="1899-12-30T19:43:00"/>
        <d v="1899-12-30T14:04:00"/>
        <d v="1899-12-30T16:11:00"/>
        <d v="1899-12-30T19:06:00"/>
        <d v="1899-12-30T15:34:00"/>
        <d v="1899-12-30T11:22:00"/>
        <d v="1899-12-30T11:23:00"/>
        <d v="1899-12-30T10:46:00"/>
        <d v="1899-12-30T13:25:00"/>
        <d v="1899-12-30T14:53:00"/>
        <d v="1899-12-30T19:22:00"/>
        <d v="1899-12-30T11:00:00"/>
        <d v="1899-12-30T19:24:00"/>
        <d v="1899-12-30T17:22:00"/>
        <d v="1899-12-30T20:55:00"/>
        <d v="1899-12-30T16:05:00"/>
        <d v="1899-12-30T13:34:00"/>
        <d v="1899-12-30T18:13:00"/>
        <d v="1899-12-30T11:44:00"/>
        <d v="1899-12-30T15:51:00"/>
        <d v="1899-12-30T16:52:00"/>
        <d v="1899-12-30T20:52:00"/>
        <d v="1899-12-30T16:28:00"/>
        <d v="1899-12-30T13:29:00"/>
        <d v="1899-12-30T11:09:00"/>
        <d v="1899-12-30T15:02:00"/>
        <d v="1899-12-30T14:21:00"/>
        <d v="1899-12-30T18:01:00"/>
        <d v="1899-12-30T13:30:00"/>
        <d v="1899-12-30T14:38:00"/>
        <d v="1899-12-30T17:37:00"/>
        <d v="1899-12-30T17:20:00"/>
        <d v="1899-12-30T20:29:00"/>
        <d v="1899-12-30T11:46:00"/>
        <d v="1899-12-30T13:42:00"/>
        <d v="1899-12-30T14:44:00"/>
        <d v="1899-12-30T14:16:00"/>
        <d v="1899-12-30T15:54:00"/>
        <d v="1899-12-30T10:21:00"/>
        <d v="1899-12-30T16:46:00"/>
        <d v="1899-12-30T20:14:00"/>
        <d v="1899-12-30T17:09:00"/>
        <d v="1899-12-30T17:43:00"/>
        <d v="1899-12-30T19:05:00"/>
        <d v="1899-12-30T10:08:00"/>
        <d v="1899-12-30T13:12:00"/>
        <d v="1899-12-30T20:51:00"/>
        <d v="1899-12-30T17:29:00"/>
        <d v="1899-12-30T11:34:00"/>
        <d v="1899-12-30T18:58:00"/>
        <d v="1899-12-30T20:26:00"/>
        <d v="1899-12-30T15:08:00"/>
        <d v="1899-12-30T13:21:00"/>
        <d v="1899-12-30T12:48:00"/>
        <d v="1899-12-30T19:53:00"/>
        <d v="1899-12-30T19:09:00"/>
        <d v="1899-12-30T16:30:00"/>
        <d v="1899-12-30T13:07:00"/>
        <d v="1899-12-30T18:48:00"/>
        <d v="1899-12-30T17:27:00"/>
        <d v="1899-12-30T15:59:00"/>
        <d v="1899-12-30T11:21:00"/>
        <d v="1899-12-30T15:49:00"/>
        <d v="1899-12-30T13:02:00"/>
        <d v="1899-12-30T20:21:00"/>
        <d v="1899-12-30T15:04:00"/>
        <d v="1899-12-30T16:10:00"/>
        <d v="1899-12-30T12:14:00"/>
        <d v="1899-12-30T11:06:00"/>
        <d v="1899-12-30T18:22:00"/>
        <d v="1899-12-30T19:02:00"/>
        <d v="1899-12-30T15:44:00"/>
        <d v="1899-12-30T20:01:00"/>
        <d v="1899-12-30T13:45:00"/>
        <d v="1899-12-30T15:40:00"/>
        <d v="1899-12-30T16:58:00"/>
        <d v="1899-12-30T11:12:00"/>
        <d v="1899-12-30T15:12:00"/>
        <d v="1899-12-30T20:37:00"/>
        <d v="1899-12-30T17:44:00"/>
        <d v="1899-12-30T16:23:00"/>
        <d v="1899-12-30T12:12:00"/>
        <d v="1899-12-30T19:33:00"/>
        <d v="1899-12-30T14:28:00"/>
        <d v="1899-12-30T17:54:00"/>
        <d v="1899-12-30T12:25:00"/>
        <d v="1899-12-30T12:52:00"/>
        <d v="1899-12-30T19:50:00"/>
        <d v="1899-12-30T15:32:00"/>
        <d v="1899-12-30T13:19:00"/>
        <d v="1899-12-30T13:37:00"/>
        <d v="1899-12-30T14:55:00"/>
        <d v="1899-12-30T12:31:00"/>
        <d v="1899-12-30T10:26:00"/>
        <d v="1899-12-30T20:18:00"/>
        <d v="1899-12-30T20:04:00"/>
        <d v="1899-12-30T13:38:00"/>
        <d v="1899-12-30T17:30:00"/>
        <d v="1899-12-30T15:28:00"/>
        <d v="1899-12-30T19:07:00"/>
        <d v="1899-12-30T18:55:00"/>
        <d v="1899-12-30T19:36:00"/>
        <d v="1899-12-30T10:57:00"/>
        <d v="1899-12-30T17:13:00"/>
        <d v="1899-12-30T13:57:00"/>
        <d v="1899-12-30T13:53:00"/>
        <d v="1899-12-30T16:53:00"/>
        <d v="1899-12-30T16:51:00"/>
        <d v="1899-12-30T15:37:00"/>
        <d v="1899-12-30T20:15:00"/>
        <d v="1899-12-30T19:35:00"/>
        <d v="1899-12-30T15:42:00"/>
        <d v="1899-12-30T14:11:00"/>
        <d v="1899-12-30T17:58:00"/>
        <d v="1899-12-30T11:02:00"/>
        <d v="1899-12-30T15:09:00"/>
        <d v="1899-12-30T13:47:00"/>
        <d v="1899-12-30T16:59:00"/>
        <d v="1899-12-30T14:15:00"/>
        <d v="1899-12-30T15:19:00"/>
        <d v="1899-12-30T18:33:00"/>
        <d v="1899-12-30T12:10:00"/>
        <d v="1899-12-30T11:40:00"/>
        <d v="1899-12-30T16:54:00"/>
        <d v="1899-12-30T15:25:00"/>
        <d v="1899-12-30T20:47:00"/>
        <d v="1899-12-30T18:20:00"/>
        <d v="1899-12-30T11:48:00"/>
        <d v="1899-12-30T14:14:00"/>
        <d v="1899-12-30T11:17:00"/>
        <d v="1899-12-30T12:40:00"/>
        <d v="1899-12-30T17:53:00"/>
        <d v="1899-12-30T16:36:00"/>
        <d v="1899-12-30T10:48:00"/>
        <d v="1899-12-30T18:05:00"/>
        <d v="1899-12-30T12:07:00"/>
        <d v="1899-12-30T19:49:00"/>
        <d v="1899-12-30T15:52:00"/>
        <d v="1899-12-30T20:46:00"/>
        <d v="1899-12-30T10:34:00"/>
        <d v="1899-12-30T13:55:00"/>
        <d v="1899-12-30T11:43:00"/>
        <d v="1899-12-30T16:03:00"/>
        <d v="1899-12-30T20:03:00"/>
        <d v="1899-12-30T19:41:00"/>
        <d v="1899-12-30T18:04:00"/>
        <d v="1899-12-30T10:31:00"/>
        <d v="1899-12-30T13:28:00"/>
        <d v="1899-12-30T17:16:00"/>
        <d v="1899-12-30T18:43:00"/>
        <d v="1899-12-30T10:30:00"/>
        <d v="1899-12-30T20:40:00"/>
        <d v="1899-12-30T12:08:00"/>
        <d v="1899-12-30T17:45:00"/>
        <d v="1899-12-30T10:28:00"/>
        <d v="1899-12-30T10:49:00"/>
        <d v="1899-12-30T12:34:00"/>
        <d v="1899-12-30T18:51:00"/>
        <d v="1899-12-30T19:38:00"/>
        <d v="1899-12-30T12:32:00"/>
        <d v="1899-12-30T10:33:00"/>
        <d v="1899-12-30T19:55:00"/>
        <d v="1899-12-30T14:33:00"/>
        <d v="1899-12-30T13:54:00"/>
        <d v="1899-12-30T12:15:00"/>
        <d v="1899-12-30T12:37:00"/>
        <d v="1899-12-30T15:06:00"/>
        <d v="1899-12-30T15:58:00"/>
        <d v="1899-12-30T14:03:00"/>
        <d v="1899-12-30T16:38:00"/>
        <d v="1899-12-30T11:07:00"/>
        <d v="1899-12-30T12:23:00"/>
        <d v="1899-12-30T14:13:00"/>
        <d v="1899-12-30T19:11:00"/>
        <d v="1899-12-30T18:53:00"/>
        <d v="1899-12-30T14:22:00"/>
        <d v="1899-12-30T10:06:00"/>
        <d v="1899-12-30T20:08:00"/>
        <d v="1899-12-30T12:56:00"/>
        <d v="1899-12-30T10:18:00"/>
        <d v="1899-12-30T11:45:00"/>
        <d v="1899-12-30T16:08:00"/>
        <d v="1899-12-30T12:24:00"/>
        <d v="1899-12-30T19:51:00"/>
        <d v="1899-12-30T18:10:00"/>
        <d v="1899-12-30T15:27:00"/>
        <d v="1899-12-30T16:04:00"/>
        <d v="1899-12-30T14:41:00"/>
        <d v="1899-12-30T14:19:00"/>
        <d v="1899-12-30T14:08:00"/>
        <d v="1899-12-30T11:29:00"/>
        <d v="1899-12-30T12:16:00"/>
        <d v="1899-12-30T20:00:00"/>
        <d v="1899-12-30T15:29:00"/>
        <d v="1899-12-30T14:58:00"/>
        <d v="1899-12-30T11:52:00"/>
        <d v="1899-12-30T17:46:00"/>
        <d v="1899-12-30T14:45:00"/>
        <d v="1899-12-30T11:39:00"/>
        <d v="1899-12-30T13:06:00"/>
        <d v="1899-12-30T20:43:00"/>
        <d v="1899-12-30T16:34:00"/>
        <d v="1899-12-30T13:10:00"/>
        <d v="1899-12-30T17:10:00"/>
        <d v="1899-12-30T10:22:00"/>
        <d v="1899-12-30T19:29:00"/>
        <d v="1899-12-30T14:27:00"/>
        <d v="1899-12-30T12:22:00"/>
        <d v="1899-12-30T11:59:00"/>
        <d v="1899-12-30T17:59:00"/>
        <d v="1899-12-30T12:51:00"/>
        <d v="1899-12-30T13:56:00"/>
        <d v="1899-12-30T19:45:00"/>
        <d v="1899-12-30T16:18:00"/>
        <d v="1899-12-30T18:57:00"/>
        <d v="1899-12-30T11:18:00"/>
        <d v="1899-12-30T14:06:00"/>
        <d v="1899-12-30T20:13:00"/>
        <d v="1899-12-30T15:14:00"/>
        <d v="1899-12-30T16:06:00"/>
        <d v="1899-12-30T12:47:00"/>
        <d v="1899-12-30T20:42:00"/>
        <d v="1899-12-30T20:10:00"/>
        <d v="1899-12-30T14:24:00"/>
        <d v="1899-12-30T11:42:00"/>
        <d v="1899-12-30T17:49:00"/>
        <d v="1899-12-30T15:33:00"/>
        <d v="1899-12-30T10:38:00"/>
        <d v="1899-12-30T12:39:00"/>
        <d v="1899-12-30T14:26:00"/>
        <d v="1899-12-30T12:41:00"/>
        <d v="1899-12-30T15:20:00"/>
        <d v="1899-12-30T16:33:00"/>
        <d v="1899-12-30T20:44:00"/>
        <d v="1899-12-30T11:16:00"/>
        <d v="1899-12-30T12:30:00"/>
        <d v="1899-12-30T17:48:00"/>
        <d v="1899-12-30T20:30:00"/>
        <d v="1899-12-30T13:59:00"/>
        <d v="1899-12-30T11:58:00"/>
        <d v="1899-12-30T16:50:00"/>
        <d v="1899-12-30T18:02:00"/>
        <d v="1899-12-30T17:52:00"/>
        <d v="1899-12-30T20:32:00"/>
        <d v="1899-12-30T16:09:00"/>
        <d v="1899-12-30T11:33:00"/>
        <d v="1899-12-30T15:15:00"/>
        <d v="1899-12-30T20:06:00"/>
        <d v="1899-12-30T16:26:00"/>
        <d v="1899-12-30T18:38:00"/>
        <d v="1899-12-30T16:45:00"/>
        <d v="1899-12-30T18:41:00"/>
        <d v="1899-12-30T17:12:00"/>
        <d v="1899-12-30T14:00:00"/>
        <d v="1899-12-30T16:32:00"/>
        <d v="1899-12-30T10:10:00"/>
        <d v="1899-12-30T10:05:00"/>
        <d v="1899-12-30T18:15:00"/>
        <d v="1899-12-30T11:01:00"/>
        <d v="1899-12-30T15:21:00"/>
        <d v="1899-12-30T16:16:00"/>
        <d v="1899-12-30T11:05:00"/>
        <d v="1899-12-30T19:31:00"/>
        <d v="1899-12-30T18:35:00"/>
        <d v="1899-12-30T13:51:00"/>
        <d v="1899-12-30T12:35:00"/>
        <d v="1899-12-30T11:55:00"/>
        <d v="1899-12-30T15:11:00"/>
        <d v="1899-12-30T14:48:00"/>
        <d v="1899-12-30T12:36:00"/>
        <d v="1899-12-30T13:35:00"/>
        <d v="1899-12-30T15:45:00"/>
        <d v="1899-12-30T14:25:00"/>
        <d v="1899-12-30T15:18:00"/>
        <d v="1899-12-30T10:03:00"/>
        <d v="1899-12-30T13:14:00"/>
        <d v="1899-12-30T16:35:00"/>
        <d v="1899-12-30T20:57:00"/>
        <d v="1899-12-30T13:50:00"/>
        <d v="1899-12-30T17:35:00"/>
        <d v="1899-12-30T17:56:00"/>
        <d v="1899-12-30T10:44:00"/>
        <d v="1899-12-30T10:09:00"/>
        <d v="1899-12-30T10:58:00"/>
        <d v="1899-12-30T13:49:00"/>
        <d v="1899-12-30T11:10:00"/>
        <d v="1899-12-30T13:33:00"/>
        <d v="1899-12-30T14:05:00"/>
        <d v="1899-12-30T16:27:00"/>
        <d v="1899-12-30T15:23:00"/>
        <d v="1899-12-30T18:18:00"/>
        <d v="1899-12-30T15:17:00"/>
        <d v="1899-12-30T19:12:00"/>
      </sharedItems>
      <fieldGroup par="17" base="11">
        <rangePr groupBy="minutes" startDate="1899-12-30T10:00:00" endDate="1899-12-30T20:59:00"/>
        <groupItems count="62">
          <s v="&lt;00.01.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.01.1900"/>
        </groupItems>
      </fieldGroup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 count="990">
        <n v="522.83000000000004"/>
        <n v="76.400000000000006"/>
        <n v="324.31"/>
        <n v="465.76"/>
        <n v="604.16999999999996"/>
        <n v="597.73"/>
        <n v="413.04"/>
        <n v="735.6"/>
        <n v="72.52"/>
        <n v="164.52"/>
        <n v="57.92"/>
        <n v="102.04"/>
        <n v="234.75"/>
        <n v="431.9"/>
        <n v="713.8"/>
        <n v="562.32000000000005"/>
        <n v="482.51"/>
        <n v="435.66"/>
        <n v="164.01"/>
        <n v="80.599999999999994"/>
        <n v="430.2"/>
        <n v="263.94"/>
        <n v="66.400000000000006"/>
        <n v="172.8"/>
        <n v="265.89"/>
        <n v="420.72"/>
        <n v="33.520000000000003"/>
        <n v="175.34"/>
        <n v="441.8"/>
        <n v="224.01"/>
        <n v="470.65"/>
        <n v="702.63"/>
        <n v="670.24"/>
        <n v="193.16"/>
        <n v="397.68"/>
        <n v="68.12"/>
        <n v="313.10000000000002"/>
        <n v="547.91999999999996"/>
        <n v="439.36"/>
        <n v="240.96"/>
        <n v="86.72"/>
        <n v="112.22"/>
        <n v="414.72"/>
        <n v="789.6"/>
        <n v="30.74"/>
        <n v="375.84"/>
        <n v="510.21"/>
        <n v="180.09"/>
        <n v="113.58"/>
        <n v="826.3"/>
        <n v="639.79999999999995"/>
        <n v="222.95"/>
        <n v="71.48"/>
        <n v="15.43"/>
        <n v="32.32"/>
        <n v="687.84"/>
        <n v="88.68"/>
        <n v="716.8"/>
        <n v="723.5"/>
        <n v="183.66"/>
        <n v="74.22"/>
        <n v="334.38"/>
        <n v="495.63"/>
        <n v="158.1"/>
        <n v="302.95999999999998"/>
        <n v="158.69999999999999"/>
        <n v="66.94"/>
        <n v="585.66"/>
        <n v="787.7"/>
        <n v="18.329999999999998"/>
        <n v="894.8"/>
        <n v="621.20000000000005"/>
        <n v="145.56"/>
        <n v="455.46"/>
        <n v="672.03"/>
        <n v="416.5"/>
        <n v="441.36"/>
        <n v="783.1"/>
        <n v="101.9"/>
        <n v="595.14"/>
        <n v="290.04000000000002"/>
        <n v="154"/>
        <n v="321.44"/>
        <n v="244.55"/>
        <n v="581.41999999999996"/>
        <n v="382.6"/>
        <n v="345.66"/>
        <n v="42.47"/>
        <n v="461.94"/>
        <n v="189.52"/>
        <n v="448.6"/>
        <n v="153.86000000000001"/>
        <n v="579.24"/>
        <n v="89.75"/>
        <n v="97.16"/>
        <n v="878.7"/>
        <n v="74.7"/>
        <n v="158.25"/>
        <n v="496.2"/>
        <n v="48.71"/>
        <n v="706.95"/>
        <n v="207.63"/>
        <n v="349.56"/>
        <n v="212.45"/>
        <n v="886.7"/>
        <n v="164.28"/>
        <n v="372.78"/>
        <n v="305.82"/>
        <n v="819.7"/>
        <n v="32.979999999999997"/>
        <n v="294.63"/>
        <n v="509.88"/>
        <n v="522.63"/>
        <n v="727.11"/>
        <n v="81.06"/>
        <n v="109.7"/>
        <n v="51.36"/>
        <n v="109.6"/>
        <n v="106.88"/>
        <n v="796.48"/>
        <n v="399.84"/>
        <n v="899.64"/>
        <n v="511.28"/>
        <n v="451.76"/>
        <n v="655.83"/>
        <n v="161.25"/>
        <n v="285.57"/>
        <n v="548.32000000000005"/>
        <n v="812.52"/>
        <n v="277.33999999999997"/>
        <n v="552.78"/>
        <n v="139.36000000000001"/>
        <n v="524.70000000000005"/>
        <n v="487.8"/>
        <n v="270.66000000000003"/>
        <n v="131.55000000000001"/>
        <n v="206.52"/>
        <n v="519.1"/>
        <n v="580"/>
        <n v="898"/>
        <n v="905"/>
        <n v="686"/>
        <n v="30.41"/>
        <n v="467.7"/>
        <n v="277.56"/>
        <n v="301.39999999999998"/>
        <n v="264.56"/>
        <n v="574.88"/>
        <n v="259.68"/>
        <n v="366.16"/>
        <n v="241.92"/>
        <n v="749.16"/>
        <n v="98.88"/>
        <n v="647.76"/>
        <n v="461.45"/>
        <n v="72.17"/>
        <n v="251.4"/>
        <n v="874.98"/>
        <n v="560.34"/>
        <n v="345.44"/>
        <n v="63.69"/>
        <n v="320.52999999999997"/>
        <n v="152.80000000000001"/>
        <n v="399"/>
        <n v="340.56"/>
        <n v="955.8"/>
        <n v="989.8"/>
        <n v="307.68"/>
        <n v="486.64"/>
        <n v="350.05"/>
        <n v="400.25"/>
        <n v="166.8"/>
        <n v="317.33999999999997"/>
        <n v="158.32"/>
        <n v="304.56"/>
        <n v="177.36"/>
        <n v="157.57"/>
        <n v="443.28"/>
        <n v="260.39999999999998"/>
        <n v="449.82"/>
        <n v="307.76"/>
        <n v="155"/>
        <n v="274.48"/>
        <n v="86.38"/>
        <n v="54.24"/>
        <n v="755.92"/>
        <n v="185.88"/>
        <n v="74.069999999999993"/>
        <n v="279.24"/>
        <n v="231.12"/>
        <n v="147.04"/>
        <n v="790.2"/>
        <n v="102.2"/>
        <n v="163.55000000000001"/>
        <n v="74.290000000000006"/>
        <n v="87.4"/>
        <n v="25.29"/>
        <n v="166"/>
        <n v="356.95"/>
        <n v="114.9"/>
        <n v="229.96"/>
        <n v="429.87"/>
        <n v="259"/>
        <n v="88.85"/>
        <n v="207.27"/>
        <n v="599.85"/>
        <n v="285.3"/>
        <n v="91.11"/>
        <n v="897.57"/>
        <n v="236.07"/>
        <n v="839.34"/>
        <n v="461.8"/>
        <n v="139.26"/>
        <n v="18.28"/>
        <n v="123.85"/>
        <n v="283.92"/>
        <n v="758.96"/>
        <n v="172.02"/>
        <n v="272.10000000000002"/>
        <n v="434.56"/>
        <n v="59.05"/>
        <n v="12.54"/>
        <n v="86.5"/>
        <n v="174.32"/>
        <n v="624.33000000000004"/>
        <n v="148.24"/>
        <n v="544.20000000000005"/>
        <n v="507.36"/>
        <n v="162.74"/>
        <n v="31.77"/>
        <n v="756.81"/>
        <n v="295.27999999999997"/>
        <n v="519.4"/>
        <n v="186.28"/>
        <n v="87.05"/>
        <n v="221.1"/>
        <n v="66.099999999999994"/>
        <n v="89.69"/>
        <n v="224.46"/>
        <n v="119.54"/>
        <n v="186.4"/>
        <n v="250.6"/>
        <n v="750.96"/>
        <n v="380.72"/>
        <n v="244.2"/>
        <n v="89.7"/>
        <n v="310.88"/>
        <n v="511.42"/>
        <n v="418.95"/>
        <n v="351.9"/>
        <n v="28.78"/>
        <n v="95"/>
        <n v="471.2"/>
        <n v="130.47999999999999"/>
        <n v="66.349999999999994"/>
        <n v="155.46"/>
        <n v="129"/>
        <n v="263.76"/>
        <n v="675.54"/>
        <n v="65.8"/>
        <n v="153.19999999999999"/>
        <n v="222.4"/>
        <n v="54.45"/>
        <n v="688.8"/>
        <n v="141.88"/>
        <n v="746"/>
        <n v="282.95999999999998"/>
        <n v="355.4"/>
        <n v="337.15"/>
        <n v="42.24"/>
        <n v="193.86"/>
        <n v="24.06"/>
        <n v="598.26"/>
        <n v="335.79"/>
        <n v="218.2"/>
        <n v="381.68"/>
        <n v="709.9"/>
        <n v="440.2"/>
        <n v="559.67999999999995"/>
        <n v="37"/>
        <n v="15.34"/>
        <n v="598.98"/>
        <n v="190.68"/>
        <n v="333.4"/>
        <n v="74.86"/>
        <n v="213.75"/>
        <n v="339.57"/>
        <n v="664.16"/>
        <n v="403"/>
        <n v="194.95"/>
        <n v="62.48"/>
        <n v="72.72"/>
        <n v="181.1"/>
        <n v="259.60000000000002"/>
        <n v="115.36"/>
        <n v="470.28"/>
        <n v="240.04"/>
        <n v="88.61"/>
        <n v="199.64"/>
        <n v="39.01"/>
        <n v="48.61"/>
        <n v="204.76"/>
        <n v="119.68"/>
        <n v="505.4"/>
        <n v="281.61"/>
        <n v="710.32"/>
        <n v="79.44"/>
        <n v="163.82"/>
        <n v="479.58"/>
        <n v="138.66"/>
        <n v="71.150000000000006"/>
        <n v="139.94999999999999"/>
        <n v="781.3"/>
        <n v="198.74"/>
        <n v="63.24"/>
        <n v="373.95"/>
        <n v="207.69"/>
        <n v="176.28"/>
        <n v="206.37"/>
        <n v="39.42"/>
        <n v="91.56"/>
        <n v="308.85000000000002"/>
        <n v="129.12"/>
        <n v="390.96"/>
        <n v="498.9"/>
        <n v="377.04"/>
        <n v="204.52"/>
        <n v="145.44"/>
        <n v="198.18"/>
        <n v="98.7"/>
        <n v="385.1"/>
        <n v="46.96"/>
        <n v="73.5"/>
        <n v="142.25"/>
        <n v="687.6"/>
        <n v="347.7"/>
        <n v="142.94999999999999"/>
        <n v="385.38"/>
        <n v="144.27000000000001"/>
        <n v="391.79"/>
        <n v="538.29999999999995"/>
        <n v="485.15"/>
        <n v="133.94999999999999"/>
        <n v="701.37"/>
        <n v="71.95"/>
        <n v="714"/>
        <n v="182.14"/>
        <n v="135"/>
        <n v="993"/>
        <n v="361.83"/>
        <n v="383.11"/>
        <n v="243"/>
        <n v="30.24"/>
        <n v="356.56"/>
        <n v="375.5"/>
        <n v="954.4"/>
        <n v="82.5"/>
        <n v="74.97"/>
        <n v="647.67999999999995"/>
        <n v="755.76"/>
        <n v="199.58"/>
        <n v="439.32"/>
        <n v="164.96"/>
        <n v="326.72000000000003"/>
        <n v="461.88"/>
        <n v="143.6"/>
        <n v="193.5"/>
        <n v="183.82"/>
        <n v="121.92"/>
        <n v="420.66"/>
        <n v="252.48"/>
        <n v="335.45"/>
        <n v="483.5"/>
        <n v="318.42"/>
        <n v="668.43"/>
        <n v="387.92"/>
        <n v="94.6"/>
        <n v="329.32"/>
        <n v="53.22"/>
        <n v="498.45"/>
        <n v="299.56"/>
        <n v="204.7"/>
        <n v="75.819999999999993"/>
        <n v="280.62"/>
        <n v="323.2"/>
        <n v="486.63"/>
        <n v="127.54"/>
        <n v="241.44"/>
        <n v="379.5"/>
        <n v="76.819999999999993"/>
        <n v="522.6"/>
        <n v="79.739999999999995"/>
        <n v="387.5"/>
        <n v="271.35000000000002"/>
        <n v="122.31"/>
        <n v="246.36"/>
        <n v="173.16"/>
        <n v="236.58"/>
        <n v="184.88"/>
        <n v="13.98"/>
        <n v="198.75"/>
        <n v="684.53"/>
        <n v="269.04000000000002"/>
        <n v="68.95"/>
        <n v="274.83999999999997"/>
        <n v="226.12"/>
        <n v="119.1"/>
        <n v="342.1"/>
        <n v="43.74"/>
        <n v="104.85"/>
        <n v="77.52"/>
        <n v="407.44"/>
        <n v="96.11"/>
        <n v="181.52"/>
        <n v="81.510000000000005"/>
        <n v="114.44"/>
        <n v="176.54"/>
        <n v="115.8"/>
        <n v="252.15"/>
        <n v="972.1"/>
        <n v="203.36"/>
        <n v="16.28"/>
        <n v="365.49"/>
        <n v="372.19"/>
        <n v="62.61"/>
        <n v="336.35"/>
        <n v="906.5"/>
        <n v="138.16"/>
        <n v="86.54"/>
        <n v="140.76"/>
        <n v="668.78"/>
        <n v="47.44"/>
        <n v="893.16"/>
        <n v="331.72"/>
        <n v="203.94"/>
        <n v="68.16"/>
        <n v="326.88"/>
        <n v="87.2"/>
        <n v="707.44"/>
        <n v="802.89"/>
        <n v="12.78"/>
        <n v="133.69999999999999"/>
        <n v="19.149999999999999"/>
        <n v="276.60000000000002"/>
        <n v="137.22"/>
        <n v="27.07"/>
        <n v="39.119999999999997"/>
        <n v="448.26"/>
        <n v="132.06"/>
        <n v="318.05"/>
        <n v="25"/>
        <n v="83.08"/>
        <n v="147.80000000000001"/>
        <n v="696.6"/>
        <n v="793.9"/>
        <n v="465.7"/>
        <n v="35.89"/>
        <n v="202.6"/>
        <n v="730.5"/>
        <n v="295.8"/>
        <n v="22.62"/>
        <n v="256.7"/>
        <n v="545.5"/>
        <n v="260.05"/>
        <n v="222.12"/>
        <n v="21.58"/>
        <n v="98.84"/>
        <n v="502.62"/>
        <n v="160.19999999999999"/>
        <n v="431.3"/>
        <n v="580.55999999999995"/>
        <n v="322.2"/>
        <n v="195.54"/>
        <n v="166.3"/>
        <n v="336.28"/>
        <n v="343.7"/>
        <n v="38.6"/>
        <n v="527.76"/>
        <n v="328"/>
        <n v="185.7"/>
        <n v="603.79999999999995"/>
        <n v="369.8"/>
        <n v="197.96"/>
        <n v="410.9"/>
        <n v="148.6"/>
        <n v="22.96"/>
        <n v="699.12"/>
        <n v="69.400000000000006"/>
        <n v="196.6"/>
        <n v="202.56"/>
        <n v="121.2"/>
        <n v="199.78"/>
        <n v="607.36"/>
        <n v="126.44"/>
        <n v="541.44000000000005"/>
        <n v="98.13"/>
        <n v="412.16"/>
        <n v="73.97"/>
        <n v="31.9"/>
        <n v="138.80000000000001"/>
        <n v="186.62"/>
        <n v="88.45"/>
        <n v="193.44"/>
        <n v="145.5"/>
        <n v="504.3"/>
        <n v="306.45"/>
        <n v="95.7"/>
        <n v="635.17999999999995"/>
        <n v="214.55"/>
        <n v="379.96"/>
        <n v="696.85"/>
        <n v="408.73"/>
        <n v="51.47"/>
        <n v="274.3"/>
        <n v="196.95"/>
        <n v="69.459999999999994"/>
        <n v="359.6"/>
        <n v="137.13"/>
        <n v="499.02"/>
        <n v="224.64"/>
        <n v="125.74"/>
        <n v="490.26"/>
        <n v="457.05"/>
        <n v="156.84"/>
        <n v="119.72"/>
        <n v="543.6"/>
        <n v="882.81"/>
        <n v="152.58000000000001"/>
        <n v="693.44"/>
        <n v="229.5"/>
        <n v="146.79"/>
        <n v="141.6"/>
        <n v="116.69"/>
        <n v="73.959999999999994"/>
        <n v="97.94"/>
        <n v="292.2"/>
        <n v="524.88"/>
        <n v="92.04"/>
        <n v="75.88"/>
        <n v="80.72"/>
        <n v="112.62"/>
        <n v="71.2"/>
        <n v="155.24"/>
        <n v="294.2"/>
        <n v="548.54999999999995"/>
        <n v="257.7"/>
        <n v="396.36"/>
        <n v="171.81"/>
        <n v="488.79"/>
        <n v="524.16"/>
        <n v="133.26"/>
        <n v="135.24"/>
        <n v="112.44"/>
        <n v="144.08000000000001"/>
        <n v="985.2"/>
        <n v="249.96"/>
        <n v="217.26"/>
        <n v="194.22"/>
        <n v="892"/>
        <n v="339.36"/>
        <n v="447.06"/>
        <n v="198.5"/>
        <n v="812.1"/>
        <n v="493.3"/>
        <n v="591.66"/>
        <n v="559.02"/>
        <n v="517.86"/>
        <n v="410.2"/>
        <n v="266.7"/>
        <n v="70.91"/>
        <n v="144.78"/>
        <n v="429.55"/>
        <n v="569.16999999999996"/>
        <n v="241.2"/>
        <n v="127.08"/>
        <n v="257.08"/>
        <n v="139.02000000000001"/>
        <n v="81.66"/>
        <n v="310.72000000000003"/>
        <n v="185.96"/>
        <n v="72.319999999999993"/>
        <n v="189.18"/>
        <n v="206.84"/>
        <n v="157.02000000000001"/>
        <n v="215.3"/>
        <n v="596.1"/>
        <n v="73.099999999999994"/>
        <n v="279.18"/>
        <n v="169.68"/>
        <n v="45.58"/>
        <n v="225.6"/>
        <n v="290.39999999999998"/>
        <n v="44.46"/>
        <n v="156.6"/>
        <n v="419.94"/>
        <n v="184.25"/>
        <n v="140.63999999999999"/>
        <n v="64.989999999999995"/>
        <n v="775.6"/>
        <n v="327.06"/>
        <n v="363.23"/>
        <n v="127"/>
        <n v="375.55"/>
        <n v="199.16"/>
        <n v="30.61"/>
        <n v="115.78"/>
        <n v="28.96"/>
        <n v="890.73"/>
        <n v="279.66000000000003"/>
        <n v="80.930000000000007"/>
        <n v="674.5"/>
        <n v="348.48"/>
        <n v="435.6"/>
        <n v="439.55"/>
        <n v="591.17999999999995"/>
        <n v="260.76"/>
        <n v="215.04"/>
        <n v="91.61"/>
        <n v="662.13"/>
        <n v="832.5"/>
        <n v="91.35"/>
        <n v="157.76"/>
        <n v="121.74"/>
        <n v="825.8"/>
        <n v="159.9"/>
        <n v="12.09"/>
        <n v="641.9"/>
        <n v="234.93"/>
        <n v="167.54"/>
        <n v="299.10000000000002"/>
        <n v="239.73"/>
        <n v="664.7"/>
        <n v="202.65"/>
        <n v="46.2"/>
        <n v="88.15"/>
        <n v="157.26"/>
        <n v="296.37"/>
        <n v="708.4"/>
        <n v="111.34"/>
        <n v="580.16"/>
        <n v="60.25"/>
        <n v="174.24"/>
        <n v="421.26"/>
        <n v="33.630000000000003"/>
        <n v="30.98"/>
        <n v="247.4"/>
        <n v="378.3"/>
        <n v="334.86"/>
        <n v="727.8"/>
        <n v="335.88"/>
        <n v="240.72"/>
        <n v="47.07"/>
        <n v="99.69"/>
        <n v="264.45"/>
        <n v="139.65"/>
        <n v="55.45"/>
        <n v="128.91"/>
        <n v="119.98"/>
        <n v="352.5"/>
        <n v="871"/>
        <n v="197.6"/>
        <n v="194.52"/>
        <n v="173.22"/>
        <n v="71.88"/>
        <n v="286.26"/>
        <n v="81.239999999999995"/>
        <n v="560.4"/>
        <n v="186.8"/>
        <n v="220.23"/>
        <n v="269.12"/>
        <n v="454.8"/>
        <n v="448.56"/>
        <n v="293.88"/>
        <n v="589.5"/>
        <n v="291"/>
        <n v="39.479999999999997"/>
        <n v="34.81"/>
        <n v="295.92"/>
        <n v="42.96"/>
        <n v="138.47999999999999"/>
        <n v="98.2"/>
        <n v="129.66"/>
        <n v="635.6"/>
        <n v="145.76"/>
        <n v="201.3"/>
        <n v="631.71"/>
        <n v="385.28"/>
        <n v="486.3"/>
        <n v="513.66"/>
        <n v="473.4"/>
        <n v="436.85"/>
        <n v="108.16"/>
        <n v="248.76"/>
        <n v="626.22"/>
        <n v="975"/>
        <n v="483.28"/>
        <n v="96.96"/>
        <n v="197.7"/>
        <n v="724.23"/>
        <n v="795.51"/>
        <n v="502.39"/>
        <n v="172"/>
        <n v="68.98"/>
        <n v="124.96"/>
        <n v="77.099999999999994"/>
        <n v="483.72"/>
        <n v="302.12"/>
        <n v="698.67"/>
        <n v="124.65"/>
        <n v="178.4"/>
        <n v="500.22"/>
        <n v="35.82"/>
        <n v="136.13999999999999"/>
        <n v="104.88"/>
        <n v="178.92"/>
        <n v="815.67"/>
        <n v="132.36000000000001"/>
        <n v="257.39"/>
        <n v="93.36"/>
        <n v="228"/>
        <n v="166.71"/>
        <n v="697.4"/>
        <n v="389.04"/>
        <n v="365.26"/>
        <n v="89.28"/>
        <n v="168"/>
        <n v="19.07"/>
        <n v="531.16"/>
        <n v="53.72"/>
        <n v="819.5"/>
        <n v="568.4"/>
        <n v="587.6"/>
        <n v="732.48"/>
        <n v="845.64"/>
        <n v="389.27"/>
        <n v="84.83"/>
        <n v="143.26"/>
        <n v="75.38"/>
        <n v="253.36"/>
        <n v="38.42"/>
        <n v="652.29999999999995"/>
        <n v="52.65"/>
        <n v="110.61"/>
        <n v="568.61"/>
        <n v="136.4"/>
        <n v="174.2"/>
        <n v="366.4"/>
        <n v="254.61"/>
        <n v="778.32"/>
        <n v="285.92"/>
        <n v="579.12"/>
        <n v="188.5"/>
        <n v="221.56"/>
        <n v="772"/>
        <n v="721.3"/>
        <n v="511.04"/>
        <n v="53.45"/>
        <n v="222"/>
        <n v="763.68"/>
        <n v="228.18"/>
        <n v="82.14"/>
        <n v="382.56"/>
        <n v="68.58"/>
        <n v="382.16"/>
        <n v="601.09"/>
        <n v="475.93"/>
        <n v="52.42"/>
        <n v="131.30000000000001"/>
        <n v="144.30000000000001"/>
        <n v="457.17"/>
        <n v="93.38"/>
        <n v="126.25"/>
        <n v="790.83"/>
        <n v="174.4"/>
        <n v="379.04"/>
        <n v="30.62"/>
        <n v="352.08"/>
        <n v="50.8"/>
        <n v="522.05999999999995"/>
        <n v="575.12"/>
        <n v="54.95"/>
        <n v="181.41"/>
        <n v="412.37"/>
        <n v="46.41"/>
        <n v="274.2"/>
        <n v="973.7"/>
        <n v="648.20000000000005"/>
        <n v="93.22"/>
        <n v="54.36"/>
        <n v="60.87"/>
        <n v="244.9"/>
        <n v="92.78"/>
        <n v="433.45"/>
        <n v="138.06"/>
        <n v="241.6"/>
        <n v="471.73"/>
        <n v="440.64"/>
        <n v="680.31"/>
        <n v="309.88"/>
        <n v="186.36"/>
        <n v="200.92"/>
        <n v="17.75"/>
        <n v="621.79999999999995"/>
        <n v="86"/>
        <n v="402.6"/>
        <n v="324.85000000000002"/>
        <n v="95.15"/>
        <n v="388.96"/>
        <n v="425.68"/>
        <n v="318.08"/>
        <n v="271.04000000000002"/>
        <n v="384.64"/>
        <n v="235.8"/>
        <n v="211.56"/>
        <n v="95.36"/>
        <n v="10.17"/>
        <n v="206.13"/>
        <n v="420.56"/>
        <n v="88.04"/>
        <n v="648.99"/>
        <n v="123.84"/>
        <n v="649.5"/>
        <n v="742.2"/>
        <n v="84.48"/>
        <n v="250.28"/>
        <n v="94.8"/>
        <n v="91.3"/>
        <n v="285.11"/>
        <n v="52.38"/>
        <n v="192.7"/>
        <n v="267.77999999999997"/>
        <n v="558.70000000000005"/>
        <n v="175.32"/>
        <n v="155.82"/>
        <n v="60.3"/>
        <n v="78.94"/>
        <n v="29.74"/>
        <n v="21.32"/>
        <n v="281.33999999999997"/>
        <n v="73.260000000000005"/>
        <n v="22.38"/>
        <n v="655.92"/>
        <n v="594.6"/>
        <n v="74.099999999999994"/>
        <n v="196.96"/>
        <n v="372.33"/>
        <n v="527.9"/>
        <n v="479.75"/>
        <n v="328.59"/>
        <n v="168.96"/>
        <n v="113.24"/>
        <n v="345.54"/>
        <n v="428.67"/>
        <n v="86.27"/>
        <n v="25.52"/>
        <n v="101.52"/>
        <n v="357.49"/>
        <n v="238.77"/>
        <n v="101.43"/>
        <n v="724.24"/>
        <n v="125.64"/>
        <n v="72.930000000000007"/>
        <n v="258.36"/>
        <n v="173.74"/>
        <n v="56.5"/>
        <n v="214.3"/>
        <n v="534.36"/>
        <n v="93.16"/>
        <n v="522.08000000000004"/>
        <n v="52.35"/>
        <n v="39.75"/>
        <n v="720.16"/>
        <n v="96.8"/>
        <n v="332.1"/>
        <n v="81.44"/>
        <n v="319.89999999999998"/>
        <n v="166.68"/>
        <n v="319.06"/>
        <n v="87.9"/>
        <n v="734.7"/>
        <n v="97.52"/>
        <n v="769.2"/>
        <n v="418.3"/>
        <n v="463.28"/>
        <n v="462.45"/>
        <n v="141.9"/>
        <n v="302.7"/>
        <n v="793.28"/>
        <n v="425.18"/>
        <n v="283.62"/>
        <n v="599.20000000000005"/>
        <n v="315.36"/>
        <n v="403.56"/>
        <n v="183.88"/>
        <n v="138.65"/>
        <n v="80.709999999999994"/>
        <n v="116.64"/>
        <n v="313.52"/>
        <n v="846.1"/>
        <n v="414.4"/>
        <n v="159.08000000000001"/>
        <n v="490.1"/>
        <n v="87.45"/>
        <n v="224.52"/>
        <n v="744.96"/>
        <n v="410.72"/>
        <n v="298.8"/>
        <n v="212.94"/>
        <n v="42.85"/>
        <n v="378.68"/>
        <n v="206.91"/>
        <n v="78.78"/>
        <n v="322.11"/>
        <n v="98.22"/>
        <n v="25.46"/>
        <n v="581.98"/>
        <n v="211.32"/>
        <n v="55.12"/>
        <n v="88.31"/>
        <n v="356.58"/>
        <n v="794.25"/>
        <n v="50.62"/>
        <n v="599.52"/>
        <n v="166.7"/>
        <n v="744.4"/>
        <n v="378.9"/>
        <n v="257.16000000000003"/>
        <n v="552.23"/>
        <n v="447.4"/>
        <n v="276.27"/>
        <n v="343.74"/>
        <n v="266.08"/>
        <n v="898.38"/>
        <n v="456.8"/>
        <n v="253.95"/>
        <n v="70.56"/>
        <n v="657.16"/>
        <n v="168.5"/>
        <n v="53.78"/>
        <n v="179.05"/>
        <n v="211.44"/>
        <n v="119.73"/>
        <n v="65.7"/>
        <n v="84.16"/>
        <n v="395.46"/>
        <n v="297.99"/>
        <n v="454.41"/>
        <n v="276.12"/>
        <n v="158"/>
        <n v="887.94"/>
        <n v="91.98"/>
        <n v="41.78"/>
        <n v="15.05"/>
        <n v="290.45999999999998"/>
        <n v="66.66"/>
        <n v="76.540000000000006"/>
        <n v="299.7"/>
        <n v="243.03"/>
        <n v="47.4"/>
        <n v="172.45"/>
        <n v="846.3"/>
        <n v="258.37"/>
        <n v="609.55999999999995"/>
        <n v="240.24"/>
        <n v="172.26"/>
        <n v="99.84"/>
        <n v="298.64"/>
        <n v="159.6"/>
        <n v="25.45"/>
        <n v="67.77"/>
        <n v="238.36"/>
        <n v="232.6"/>
        <n v="877.32"/>
        <n v="699.72"/>
        <n v="674.59"/>
        <n v="318.55"/>
        <n v="29.52"/>
        <n v="496"/>
        <n v="823.4"/>
        <n v="602.96"/>
        <n v="282.8"/>
        <n v="766"/>
        <n v="116.06"/>
        <n v="174.9"/>
        <n v="60.95"/>
        <n v="40.35"/>
        <n v="973.8"/>
        <n v="31.84"/>
        <n v="65.819999999999993"/>
        <n v="618.38"/>
      </sharedItems>
    </cacheField>
    <cacheField name="Gross margin percentage" numFmtId="2">
      <sharedItems containsSemiMixedTypes="0" containsString="0" containsNumber="1" minValue="4.7619047619047432" maxValue="99.96752977235721"/>
    </cacheField>
    <cacheField name="Gross income" numFmtId="2">
      <sharedItems containsSemiMixedTypes="0" containsString="0" containsNumber="1" minValue="0.62700000000000067" maxValue="31310.83"/>
    </cacheField>
    <cacheField name="Rating" numFmtId="0">
      <sharedItems containsSemiMixedTypes="0" containsString="0" containsNumber="1" minValue="4" maxValue="10"/>
    </cacheField>
    <cacheField name="Часы" numFmtId="0" databaseField="0">
      <fieldGroup base="11">
        <rangePr groupBy="hours" startDate="1899-12-30T10:00:00" endDate="1899-12-30T20:59:00"/>
        <groupItems count="26">
          <s v="&lt;00.01.19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.01.1900"/>
        </groupItems>
      </fieldGroup>
    </cacheField>
    <cacheField name="Месяцы" numFmtId="0" databaseField="0">
      <fieldGroup base="10">
        <rangePr groupBy="months" startDate="2019-01-01T00:00:00" endDate="2019-12-04T00:00:00"/>
        <groupItems count="14">
          <s v="&lt;01.01.2019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4.12.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750-67-8428"/>
    <x v="0"/>
    <x v="0"/>
    <x v="0"/>
    <x v="0"/>
    <x v="0"/>
    <n v="74.69"/>
    <x v="0"/>
    <n v="26.141500000000065"/>
    <x v="0"/>
    <x v="0"/>
    <x v="0"/>
    <x v="0"/>
    <x v="0"/>
    <n v="4.761904761904753"/>
    <n v="26.141499999999951"/>
    <n v="9.1"/>
  </r>
  <r>
    <s v="226-31-3081"/>
    <x v="1"/>
    <x v="1"/>
    <x v="1"/>
    <x v="0"/>
    <x v="1"/>
    <n v="15.28"/>
    <x v="1"/>
    <n v="3.8200000000000074"/>
    <x v="1"/>
    <x v="1"/>
    <x v="1"/>
    <x v="1"/>
    <x v="1"/>
    <n v="4.761904761904753"/>
    <n v="3.8199999999999932"/>
    <n v="9.6"/>
  </r>
  <r>
    <s v="631-41-3108"/>
    <x v="0"/>
    <x v="0"/>
    <x v="1"/>
    <x v="1"/>
    <x v="2"/>
    <n v="46.33"/>
    <x v="0"/>
    <n v="16.21550000000002"/>
    <x v="2"/>
    <x v="2"/>
    <x v="2"/>
    <x v="2"/>
    <x v="2"/>
    <n v="4.7619047619047672"/>
    <n v="16.21550000000002"/>
    <n v="7.4"/>
  </r>
  <r>
    <s v="123-19-1176"/>
    <x v="0"/>
    <x v="0"/>
    <x v="0"/>
    <x v="1"/>
    <x v="0"/>
    <n v="58.22"/>
    <x v="2"/>
    <n v="23.288000000000011"/>
    <x v="3"/>
    <x v="3"/>
    <x v="3"/>
    <x v="0"/>
    <x v="3"/>
    <n v="4.7619047619047645"/>
    <n v="23.288000000000011"/>
    <n v="8.4"/>
  </r>
  <r>
    <s v="373-73-7910"/>
    <x v="0"/>
    <x v="0"/>
    <x v="1"/>
    <x v="1"/>
    <x v="3"/>
    <n v="86.31"/>
    <x v="0"/>
    <n v="30.208499999999958"/>
    <x v="4"/>
    <x v="4"/>
    <x v="4"/>
    <x v="0"/>
    <x v="4"/>
    <n v="4.7619047619047725"/>
    <n v="30.208500000000072"/>
    <n v="5.3"/>
  </r>
  <r>
    <s v="699-14-3026"/>
    <x v="1"/>
    <x v="1"/>
    <x v="1"/>
    <x v="1"/>
    <x v="1"/>
    <n v="85.39"/>
    <x v="0"/>
    <n v="29.886499999999955"/>
    <x v="5"/>
    <x v="5"/>
    <x v="5"/>
    <x v="0"/>
    <x v="5"/>
    <n v="4.7619047619047548"/>
    <n v="29.886499999999955"/>
    <n v="4.0999999999999996"/>
  </r>
  <r>
    <s v="355-53-5943"/>
    <x v="0"/>
    <x v="0"/>
    <x v="0"/>
    <x v="0"/>
    <x v="1"/>
    <n v="68.84"/>
    <x v="3"/>
    <n v="20.651999999999987"/>
    <x v="6"/>
    <x v="6"/>
    <x v="6"/>
    <x v="0"/>
    <x v="6"/>
    <n v="4.7619047619047592"/>
    <n v="20.651999999999987"/>
    <n v="5.8"/>
  </r>
  <r>
    <s v="315-22-5665"/>
    <x v="1"/>
    <x v="1"/>
    <x v="1"/>
    <x v="0"/>
    <x v="2"/>
    <n v="73.56"/>
    <x v="4"/>
    <n v="36.779999999999973"/>
    <x v="7"/>
    <x v="7"/>
    <x v="7"/>
    <x v="0"/>
    <x v="7"/>
    <n v="4.7619047619047583"/>
    <n v="36.779999999999973"/>
    <n v="8"/>
  </r>
  <r>
    <s v="665-32-9167"/>
    <x v="0"/>
    <x v="0"/>
    <x v="0"/>
    <x v="0"/>
    <x v="0"/>
    <n v="36.26"/>
    <x v="5"/>
    <n v="3.6260000000000048"/>
    <x v="8"/>
    <x v="8"/>
    <x v="8"/>
    <x v="2"/>
    <x v="8"/>
    <n v="4.7619047619047681"/>
    <n v="3.6260000000000048"/>
    <n v="7.2"/>
  </r>
  <r>
    <s v="692-92-5582"/>
    <x v="2"/>
    <x v="2"/>
    <x v="0"/>
    <x v="0"/>
    <x v="4"/>
    <n v="54.84"/>
    <x v="6"/>
    <n v="8.2259999999999991"/>
    <x v="9"/>
    <x v="9"/>
    <x v="9"/>
    <x v="2"/>
    <x v="9"/>
    <n v="4.761904761904761"/>
    <n v="8.2259999999999991"/>
    <n v="5.9"/>
  </r>
  <r>
    <s v="351-62-0822"/>
    <x v="2"/>
    <x v="2"/>
    <x v="0"/>
    <x v="0"/>
    <x v="5"/>
    <n v="14.48"/>
    <x v="7"/>
    <n v="2.8960000000000008"/>
    <x v="10"/>
    <x v="10"/>
    <x v="10"/>
    <x v="0"/>
    <x v="10"/>
    <n v="4.7619047619047628"/>
    <n v="2.8960000000000008"/>
    <n v="4.5"/>
  </r>
  <r>
    <s v="529-56-3974"/>
    <x v="2"/>
    <x v="2"/>
    <x v="0"/>
    <x v="1"/>
    <x v="1"/>
    <n v="25.51"/>
    <x v="7"/>
    <n v="5.1019999999999897"/>
    <x v="11"/>
    <x v="11"/>
    <x v="11"/>
    <x v="1"/>
    <x v="11"/>
    <n v="4.761904761904753"/>
    <n v="5.1019999999999897"/>
    <n v="6.8"/>
  </r>
  <r>
    <s v="365-64-0515"/>
    <x v="0"/>
    <x v="0"/>
    <x v="1"/>
    <x v="0"/>
    <x v="1"/>
    <n v="46.95"/>
    <x v="1"/>
    <n v="11.737500000000011"/>
    <x v="12"/>
    <x v="12"/>
    <x v="12"/>
    <x v="0"/>
    <x v="12"/>
    <n v="4.7619047619047663"/>
    <n v="11.737500000000011"/>
    <n v="7.1"/>
  </r>
  <r>
    <s v="252-56-2699"/>
    <x v="0"/>
    <x v="0"/>
    <x v="1"/>
    <x v="1"/>
    <x v="4"/>
    <n v="43.19"/>
    <x v="4"/>
    <n v="21.595000000000027"/>
    <x v="13"/>
    <x v="13"/>
    <x v="13"/>
    <x v="0"/>
    <x v="13"/>
    <n v="4.7619047619047681"/>
    <n v="21.595000000000027"/>
    <n v="8.1999999999999993"/>
  </r>
  <r>
    <s v="829-34-3910"/>
    <x v="0"/>
    <x v="0"/>
    <x v="1"/>
    <x v="0"/>
    <x v="0"/>
    <n v="71.38"/>
    <x v="4"/>
    <n v="35.690000000000055"/>
    <x v="14"/>
    <x v="14"/>
    <x v="14"/>
    <x v="1"/>
    <x v="14"/>
    <n v="4.761904761904769"/>
    <n v="35.690000000000055"/>
    <n v="5.7"/>
  </r>
  <r>
    <s v="299-46-1805"/>
    <x v="2"/>
    <x v="2"/>
    <x v="0"/>
    <x v="0"/>
    <x v="3"/>
    <n v="93.72"/>
    <x v="3"/>
    <n v="28.116000000000099"/>
    <x v="15"/>
    <x v="15"/>
    <x v="15"/>
    <x v="1"/>
    <x v="15"/>
    <n v="4.7619047619047592"/>
    <n v="28.115999999999985"/>
    <n v="4.5"/>
  </r>
  <r>
    <s v="656-95-9349"/>
    <x v="0"/>
    <x v="0"/>
    <x v="0"/>
    <x v="0"/>
    <x v="0"/>
    <n v="68.930000000000007"/>
    <x v="0"/>
    <n v="24.125499999999931"/>
    <x v="16"/>
    <x v="16"/>
    <x v="16"/>
    <x v="2"/>
    <x v="16"/>
    <n v="4.7619047619047592"/>
    <n v="24.125499999999988"/>
    <n v="4.5999999999999996"/>
  </r>
  <r>
    <s v="765-26-6951"/>
    <x v="0"/>
    <x v="0"/>
    <x v="1"/>
    <x v="1"/>
    <x v="3"/>
    <n v="72.61"/>
    <x v="3"/>
    <n v="21.783000000000015"/>
    <x v="17"/>
    <x v="17"/>
    <x v="17"/>
    <x v="2"/>
    <x v="17"/>
    <n v="4.761904761904753"/>
    <n v="21.782999999999959"/>
    <n v="6.9"/>
  </r>
  <r>
    <s v="329-62-1586"/>
    <x v="0"/>
    <x v="0"/>
    <x v="1"/>
    <x v="1"/>
    <x v="4"/>
    <n v="54.67"/>
    <x v="6"/>
    <n v="8.2005000000000052"/>
    <x v="18"/>
    <x v="18"/>
    <x v="18"/>
    <x v="2"/>
    <x v="18"/>
    <n v="4.7619047619047654"/>
    <n v="8.2005000000000052"/>
    <n v="8.6"/>
  </r>
  <r>
    <s v="319-50-3348"/>
    <x v="2"/>
    <x v="2"/>
    <x v="1"/>
    <x v="0"/>
    <x v="2"/>
    <n v="40.299999999999997"/>
    <x v="5"/>
    <n v="4.0300000000000011"/>
    <x v="19"/>
    <x v="16"/>
    <x v="19"/>
    <x v="0"/>
    <x v="19"/>
    <n v="4.7619047619047636"/>
    <n v="4.0300000000000011"/>
    <n v="4.4000000000000004"/>
  </r>
  <r>
    <s v="300-71-4605"/>
    <x v="1"/>
    <x v="1"/>
    <x v="0"/>
    <x v="1"/>
    <x v="1"/>
    <n v="86.04"/>
    <x v="1"/>
    <n v="21.509999999999934"/>
    <x v="20"/>
    <x v="6"/>
    <x v="20"/>
    <x v="0"/>
    <x v="20"/>
    <n v="4.7619047619047601"/>
    <n v="21.509999999999991"/>
    <n v="4.8"/>
  </r>
  <r>
    <s v="371-85-5789"/>
    <x v="2"/>
    <x v="2"/>
    <x v="1"/>
    <x v="1"/>
    <x v="0"/>
    <n v="87.98"/>
    <x v="6"/>
    <n v="13.197000000000003"/>
    <x v="21"/>
    <x v="19"/>
    <x v="21"/>
    <x v="0"/>
    <x v="21"/>
    <n v="4.7619047619047628"/>
    <n v="13.197000000000003"/>
    <n v="5.0999999999999996"/>
  </r>
  <r>
    <s v="273-16-6619"/>
    <x v="2"/>
    <x v="2"/>
    <x v="1"/>
    <x v="1"/>
    <x v="2"/>
    <n v="33.200000000000003"/>
    <x v="5"/>
    <n v="3.3199999999999932"/>
    <x v="22"/>
    <x v="20"/>
    <x v="22"/>
    <x v="2"/>
    <x v="22"/>
    <n v="4.7619047619047521"/>
    <n v="3.3199999999999932"/>
    <n v="4.4000000000000004"/>
  </r>
  <r>
    <s v="636-48-8204"/>
    <x v="0"/>
    <x v="0"/>
    <x v="1"/>
    <x v="1"/>
    <x v="1"/>
    <n v="34.56"/>
    <x v="1"/>
    <n v="8.6399999999999864"/>
    <x v="23"/>
    <x v="21"/>
    <x v="23"/>
    <x v="0"/>
    <x v="23"/>
    <n v="4.7619047619047548"/>
    <n v="8.6399999999999864"/>
    <n v="9.9"/>
  </r>
  <r>
    <s v="549-59-1358"/>
    <x v="0"/>
    <x v="0"/>
    <x v="0"/>
    <x v="1"/>
    <x v="3"/>
    <n v="88.63"/>
    <x v="6"/>
    <n v="13.294500000000028"/>
    <x v="24"/>
    <x v="22"/>
    <x v="24"/>
    <x v="0"/>
    <x v="24"/>
    <n v="4.7619047619047716"/>
    <n v="13.294500000000028"/>
    <n v="6"/>
  </r>
  <r>
    <s v="227-03-5010"/>
    <x v="0"/>
    <x v="0"/>
    <x v="0"/>
    <x v="0"/>
    <x v="2"/>
    <n v="52.59"/>
    <x v="2"/>
    <n v="21.035999999999945"/>
    <x v="25"/>
    <x v="23"/>
    <x v="25"/>
    <x v="2"/>
    <x v="25"/>
    <n v="4.7619047619047494"/>
    <n v="21.035999999999945"/>
    <n v="8.5"/>
  </r>
  <r>
    <s v="649-29-6775"/>
    <x v="2"/>
    <x v="2"/>
    <x v="1"/>
    <x v="1"/>
    <x v="5"/>
    <n v="33.520000000000003"/>
    <x v="8"/>
    <n v="1.6759999999999948"/>
    <x v="26"/>
    <x v="4"/>
    <x v="26"/>
    <x v="1"/>
    <x v="26"/>
    <n v="4.7619047619047477"/>
    <n v="1.6759999999999948"/>
    <n v="6.7"/>
  </r>
  <r>
    <s v="189-17-4241"/>
    <x v="0"/>
    <x v="0"/>
    <x v="1"/>
    <x v="0"/>
    <x v="5"/>
    <n v="87.67"/>
    <x v="5"/>
    <n v="8.7669999999999959"/>
    <x v="27"/>
    <x v="24"/>
    <x v="27"/>
    <x v="2"/>
    <x v="27"/>
    <n v="4.7619047619047592"/>
    <n v="8.7669999999999959"/>
    <n v="7.7"/>
  </r>
  <r>
    <s v="145-94-9061"/>
    <x v="2"/>
    <x v="2"/>
    <x v="1"/>
    <x v="0"/>
    <x v="4"/>
    <n v="88.36"/>
    <x v="1"/>
    <n v="22.089999999999975"/>
    <x v="28"/>
    <x v="25"/>
    <x v="28"/>
    <x v="1"/>
    <x v="28"/>
    <n v="4.7619047619047565"/>
    <n v="22.089999999999975"/>
    <n v="9.6"/>
  </r>
  <r>
    <s v="848-62-7243"/>
    <x v="0"/>
    <x v="0"/>
    <x v="1"/>
    <x v="1"/>
    <x v="0"/>
    <n v="24.89"/>
    <x v="9"/>
    <n v="11.200500000000005"/>
    <x v="29"/>
    <x v="20"/>
    <x v="29"/>
    <x v="1"/>
    <x v="29"/>
    <n v="4.7619047619047645"/>
    <n v="11.200500000000005"/>
    <n v="7.4"/>
  </r>
  <r>
    <s v="871-79-8483"/>
    <x v="2"/>
    <x v="2"/>
    <x v="1"/>
    <x v="1"/>
    <x v="5"/>
    <n v="94.13"/>
    <x v="1"/>
    <n v="23.532500000000027"/>
    <x v="30"/>
    <x v="6"/>
    <x v="30"/>
    <x v="2"/>
    <x v="30"/>
    <n v="4.7619047619047672"/>
    <n v="23.532500000000027"/>
    <n v="4.8"/>
  </r>
  <r>
    <s v="149-71-6266"/>
    <x v="2"/>
    <x v="2"/>
    <x v="0"/>
    <x v="1"/>
    <x v="3"/>
    <n v="78.069999999999993"/>
    <x v="9"/>
    <n v="35.131500000000074"/>
    <x v="31"/>
    <x v="26"/>
    <x v="31"/>
    <x v="1"/>
    <x v="31"/>
    <n v="4.7619047619047565"/>
    <n v="35.13149999999996"/>
    <n v="4.5"/>
  </r>
  <r>
    <s v="640-49-2076"/>
    <x v="2"/>
    <x v="2"/>
    <x v="1"/>
    <x v="1"/>
    <x v="3"/>
    <n v="83.78"/>
    <x v="2"/>
    <n v="33.511999999999944"/>
    <x v="32"/>
    <x v="8"/>
    <x v="32"/>
    <x v="1"/>
    <x v="32"/>
    <n v="4.7619047619047539"/>
    <n v="33.511999999999944"/>
    <n v="5.0999999999999996"/>
  </r>
  <r>
    <s v="595-11-5460"/>
    <x v="0"/>
    <x v="0"/>
    <x v="1"/>
    <x v="1"/>
    <x v="0"/>
    <n v="96.58"/>
    <x v="5"/>
    <n v="9.6580000000000155"/>
    <x v="33"/>
    <x v="20"/>
    <x v="33"/>
    <x v="2"/>
    <x v="33"/>
    <n v="4.761904761904769"/>
    <n v="9.6580000000000155"/>
    <n v="5.0999999999999996"/>
  </r>
  <r>
    <s v="183-56-6882"/>
    <x v="1"/>
    <x v="1"/>
    <x v="0"/>
    <x v="0"/>
    <x v="4"/>
    <n v="99.42"/>
    <x v="7"/>
    <n v="19.884000000000015"/>
    <x v="34"/>
    <x v="10"/>
    <x v="34"/>
    <x v="0"/>
    <x v="34"/>
    <n v="4.7619047619047654"/>
    <n v="19.884000000000015"/>
    <n v="7.5"/>
  </r>
  <r>
    <s v="232-16-2483"/>
    <x v="1"/>
    <x v="1"/>
    <x v="0"/>
    <x v="0"/>
    <x v="3"/>
    <n v="68.12"/>
    <x v="8"/>
    <n v="3.4059999999999917"/>
    <x v="35"/>
    <x v="27"/>
    <x v="35"/>
    <x v="0"/>
    <x v="35"/>
    <n v="4.7619047619047503"/>
    <n v="3.4059999999999917"/>
    <n v="6.8"/>
  </r>
  <r>
    <s v="129-29-8530"/>
    <x v="0"/>
    <x v="0"/>
    <x v="0"/>
    <x v="1"/>
    <x v="3"/>
    <n v="62.62"/>
    <x v="1"/>
    <n v="15.65500000000003"/>
    <x v="36"/>
    <x v="24"/>
    <x v="36"/>
    <x v="0"/>
    <x v="36"/>
    <n v="4.7619047619047539"/>
    <n v="15.654999999999973"/>
    <n v="7"/>
  </r>
  <r>
    <s v="272-65-1806"/>
    <x v="0"/>
    <x v="0"/>
    <x v="1"/>
    <x v="0"/>
    <x v="1"/>
    <n v="60.88"/>
    <x v="9"/>
    <n v="27.395999999999958"/>
    <x v="37"/>
    <x v="15"/>
    <x v="37"/>
    <x v="0"/>
    <x v="37"/>
    <n v="4.7619047619047743"/>
    <n v="27.396000000000072"/>
    <n v="4.7"/>
  </r>
  <r>
    <s v="333-73-7901"/>
    <x v="1"/>
    <x v="1"/>
    <x v="1"/>
    <x v="0"/>
    <x v="0"/>
    <n v="54.92"/>
    <x v="2"/>
    <n v="21.967999999999961"/>
    <x v="38"/>
    <x v="28"/>
    <x v="38"/>
    <x v="0"/>
    <x v="38"/>
    <n v="4.7619047619047539"/>
    <n v="21.967999999999961"/>
    <n v="7.6"/>
  </r>
  <r>
    <s v="777-82-7220"/>
    <x v="2"/>
    <x v="2"/>
    <x v="0"/>
    <x v="1"/>
    <x v="2"/>
    <n v="30.12"/>
    <x v="2"/>
    <n v="12.048000000000002"/>
    <x v="39"/>
    <x v="2"/>
    <x v="39"/>
    <x v="1"/>
    <x v="39"/>
    <n v="4.7619047619047628"/>
    <n v="12.048000000000002"/>
    <n v="7.7"/>
  </r>
  <r>
    <s v="280-35-5823"/>
    <x v="2"/>
    <x v="2"/>
    <x v="0"/>
    <x v="0"/>
    <x v="2"/>
    <n v="86.72"/>
    <x v="8"/>
    <n v="4.3359999999999985"/>
    <x v="40"/>
    <x v="29"/>
    <x v="40"/>
    <x v="0"/>
    <x v="40"/>
    <n v="4.7619047619047601"/>
    <n v="4.3359999999999985"/>
    <n v="7.9"/>
  </r>
  <r>
    <s v="554-53-8700"/>
    <x v="1"/>
    <x v="1"/>
    <x v="0"/>
    <x v="1"/>
    <x v="2"/>
    <n v="56.11"/>
    <x v="5"/>
    <n v="5.6110000000000042"/>
    <x v="41"/>
    <x v="30"/>
    <x v="41"/>
    <x v="1"/>
    <x v="41"/>
    <n v="4.7619047619047654"/>
    <n v="5.6110000000000042"/>
    <n v="6.3"/>
  </r>
  <r>
    <s v="354-25-5821"/>
    <x v="2"/>
    <x v="2"/>
    <x v="0"/>
    <x v="0"/>
    <x v="3"/>
    <n v="69.12"/>
    <x v="3"/>
    <n v="20.73599999999999"/>
    <x v="42"/>
    <x v="4"/>
    <x v="42"/>
    <x v="1"/>
    <x v="42"/>
    <n v="4.7619047619047592"/>
    <n v="20.73599999999999"/>
    <n v="5.6"/>
  </r>
  <r>
    <s v="228-96-1411"/>
    <x v="1"/>
    <x v="1"/>
    <x v="0"/>
    <x v="0"/>
    <x v="4"/>
    <n v="98.7"/>
    <x v="2"/>
    <n v="39.480000000000018"/>
    <x v="43"/>
    <x v="31"/>
    <x v="43"/>
    <x v="1"/>
    <x v="43"/>
    <n v="4.7619047619047636"/>
    <n v="39.480000000000018"/>
    <n v="7.6"/>
  </r>
  <r>
    <s v="617-15-4209"/>
    <x v="1"/>
    <x v="1"/>
    <x v="0"/>
    <x v="1"/>
    <x v="0"/>
    <n v="15.37"/>
    <x v="5"/>
    <n v="1.5370000000000026"/>
    <x v="44"/>
    <x v="32"/>
    <x v="44"/>
    <x v="1"/>
    <x v="44"/>
    <n v="4.7619047619047699"/>
    <n v="1.5370000000000026"/>
    <n v="7.2"/>
  </r>
  <r>
    <s v="132-32-9879"/>
    <x v="2"/>
    <x v="2"/>
    <x v="0"/>
    <x v="0"/>
    <x v="1"/>
    <n v="93.96"/>
    <x v="7"/>
    <n v="18.79200000000003"/>
    <x v="45"/>
    <x v="11"/>
    <x v="18"/>
    <x v="1"/>
    <x v="45"/>
    <n v="4.761904761904769"/>
    <n v="18.79200000000003"/>
    <n v="9.5"/>
  </r>
  <r>
    <s v="370-41-7321"/>
    <x v="2"/>
    <x v="2"/>
    <x v="0"/>
    <x v="1"/>
    <x v="0"/>
    <n v="56.69"/>
    <x v="9"/>
    <n v="25.510500000000036"/>
    <x v="46"/>
    <x v="33"/>
    <x v="45"/>
    <x v="2"/>
    <x v="46"/>
    <n v="4.761904761904769"/>
    <n v="25.510500000000036"/>
    <n v="8.4"/>
  </r>
  <r>
    <s v="727-46-3608"/>
    <x v="2"/>
    <x v="2"/>
    <x v="0"/>
    <x v="0"/>
    <x v="4"/>
    <n v="20.010000000000002"/>
    <x v="9"/>
    <n v="9.0045000000000073"/>
    <x v="47"/>
    <x v="10"/>
    <x v="46"/>
    <x v="0"/>
    <x v="47"/>
    <n v="4.7619047619047654"/>
    <n v="9.0045000000000073"/>
    <n v="4.0999999999999996"/>
  </r>
  <r>
    <s v="669-54-1719"/>
    <x v="2"/>
    <x v="2"/>
    <x v="0"/>
    <x v="1"/>
    <x v="1"/>
    <n v="18.93"/>
    <x v="3"/>
    <n v="5.679000000000002"/>
    <x v="48"/>
    <x v="34"/>
    <x v="47"/>
    <x v="2"/>
    <x v="48"/>
    <n v="4.7619047619047636"/>
    <n v="5.679000000000002"/>
    <n v="8.1"/>
  </r>
  <r>
    <s v="574-22-5561"/>
    <x v="1"/>
    <x v="1"/>
    <x v="0"/>
    <x v="0"/>
    <x v="5"/>
    <n v="82.63"/>
    <x v="4"/>
    <n v="41.315000000000055"/>
    <x v="49"/>
    <x v="35"/>
    <x v="48"/>
    <x v="0"/>
    <x v="49"/>
    <n v="4.7619047619047681"/>
    <n v="41.315000000000055"/>
    <n v="7.9"/>
  </r>
  <r>
    <s v="326-78-5178"/>
    <x v="1"/>
    <x v="1"/>
    <x v="0"/>
    <x v="1"/>
    <x v="4"/>
    <n v="91.4"/>
    <x v="0"/>
    <n v="31.989999999999895"/>
    <x v="50"/>
    <x v="36"/>
    <x v="49"/>
    <x v="1"/>
    <x v="50"/>
    <n v="4.7619047619047636"/>
    <n v="31.990000000000009"/>
    <n v="9.5"/>
  </r>
  <r>
    <s v="162-48-8011"/>
    <x v="0"/>
    <x v="0"/>
    <x v="0"/>
    <x v="0"/>
    <x v="4"/>
    <n v="44.59"/>
    <x v="1"/>
    <n v="11.14749999999998"/>
    <x v="51"/>
    <x v="34"/>
    <x v="50"/>
    <x v="1"/>
    <x v="51"/>
    <n v="4.7619047619047654"/>
    <n v="11.147500000000008"/>
    <n v="8.5"/>
  </r>
  <r>
    <s v="616-24-2851"/>
    <x v="2"/>
    <x v="2"/>
    <x v="0"/>
    <x v="0"/>
    <x v="5"/>
    <n v="17.87"/>
    <x v="7"/>
    <n v="3.5739999999999981"/>
    <x v="52"/>
    <x v="23"/>
    <x v="51"/>
    <x v="0"/>
    <x v="52"/>
    <n v="4.7619047619047592"/>
    <n v="3.5739999999999981"/>
    <n v="6.5"/>
  </r>
  <r>
    <s v="778-71-5554"/>
    <x v="1"/>
    <x v="1"/>
    <x v="0"/>
    <x v="1"/>
    <x v="5"/>
    <n v="15.43"/>
    <x v="8"/>
    <n v="0.77149999999999963"/>
    <x v="53"/>
    <x v="25"/>
    <x v="52"/>
    <x v="2"/>
    <x v="53"/>
    <n v="4.7619047619047592"/>
    <n v="0.77149999999999963"/>
    <n v="6.1"/>
  </r>
  <r>
    <s v="242-55-6721"/>
    <x v="2"/>
    <x v="2"/>
    <x v="1"/>
    <x v="1"/>
    <x v="2"/>
    <n v="16.16"/>
    <x v="5"/>
    <n v="1.6159999999999997"/>
    <x v="54"/>
    <x v="37"/>
    <x v="53"/>
    <x v="0"/>
    <x v="54"/>
    <n v="4.761904761904761"/>
    <n v="1.6159999999999997"/>
    <n v="6.5"/>
  </r>
  <r>
    <s v="399-46-5918"/>
    <x v="1"/>
    <x v="1"/>
    <x v="1"/>
    <x v="0"/>
    <x v="1"/>
    <n v="85.98"/>
    <x v="2"/>
    <n v="34.391999999999939"/>
    <x v="55"/>
    <x v="38"/>
    <x v="54"/>
    <x v="1"/>
    <x v="55"/>
    <n v="4.761904761904753"/>
    <n v="34.391999999999939"/>
    <n v="8.1999999999999993"/>
  </r>
  <r>
    <s v="106-35-6779"/>
    <x v="0"/>
    <x v="0"/>
    <x v="0"/>
    <x v="1"/>
    <x v="2"/>
    <n v="44.34"/>
    <x v="5"/>
    <n v="4.4339999999999975"/>
    <x v="56"/>
    <x v="39"/>
    <x v="55"/>
    <x v="1"/>
    <x v="56"/>
    <n v="4.7619047619047592"/>
    <n v="4.4339999999999975"/>
    <n v="5.8"/>
  </r>
  <r>
    <s v="635-40-6220"/>
    <x v="0"/>
    <x v="0"/>
    <x v="1"/>
    <x v="1"/>
    <x v="0"/>
    <n v="89.6"/>
    <x v="2"/>
    <n v="35.840000000000032"/>
    <x v="57"/>
    <x v="13"/>
    <x v="56"/>
    <x v="0"/>
    <x v="57"/>
    <n v="4.7619047619047663"/>
    <n v="35.840000000000032"/>
    <n v="6.6"/>
  </r>
  <r>
    <s v="817-48-8732"/>
    <x v="0"/>
    <x v="0"/>
    <x v="0"/>
    <x v="0"/>
    <x v="2"/>
    <n v="72.349999999999994"/>
    <x v="4"/>
    <n v="36.174999999999955"/>
    <x v="58"/>
    <x v="40"/>
    <x v="57"/>
    <x v="1"/>
    <x v="58"/>
    <n v="4.7619047619047556"/>
    <n v="36.174999999999955"/>
    <n v="5.4"/>
  </r>
  <r>
    <s v="120-06-4233"/>
    <x v="1"/>
    <x v="1"/>
    <x v="1"/>
    <x v="1"/>
    <x v="1"/>
    <n v="30.61"/>
    <x v="3"/>
    <n v="9.1829999999999927"/>
    <x v="59"/>
    <x v="41"/>
    <x v="58"/>
    <x v="1"/>
    <x v="59"/>
    <n v="4.7619047619047583"/>
    <n v="9.1829999999999927"/>
    <n v="9.3000000000000007"/>
  </r>
  <r>
    <s v="285-68-5083"/>
    <x v="1"/>
    <x v="1"/>
    <x v="0"/>
    <x v="0"/>
    <x v="3"/>
    <n v="24.74"/>
    <x v="6"/>
    <n v="3.7109999999999985"/>
    <x v="60"/>
    <x v="42"/>
    <x v="59"/>
    <x v="2"/>
    <x v="60"/>
    <n v="4.7619047619047601"/>
    <n v="3.7109999999999985"/>
    <n v="10"/>
  </r>
  <r>
    <s v="803-83-5989"/>
    <x v="1"/>
    <x v="1"/>
    <x v="1"/>
    <x v="1"/>
    <x v="2"/>
    <n v="55.73"/>
    <x v="3"/>
    <n v="16.718999999999994"/>
    <x v="61"/>
    <x v="7"/>
    <x v="60"/>
    <x v="0"/>
    <x v="61"/>
    <n v="4.7619047619047601"/>
    <n v="16.718999999999994"/>
    <n v="7"/>
  </r>
  <r>
    <s v="347-34-2234"/>
    <x v="2"/>
    <x v="2"/>
    <x v="0"/>
    <x v="0"/>
    <x v="3"/>
    <n v="55.07"/>
    <x v="9"/>
    <n v="24.781500000000051"/>
    <x v="62"/>
    <x v="36"/>
    <x v="61"/>
    <x v="0"/>
    <x v="62"/>
    <n v="4.7619047619047716"/>
    <n v="24.781500000000051"/>
    <n v="10"/>
  </r>
  <r>
    <s v="199-75-8169"/>
    <x v="0"/>
    <x v="0"/>
    <x v="0"/>
    <x v="1"/>
    <x v="3"/>
    <n v="15.81"/>
    <x v="4"/>
    <n v="7.9050000000000011"/>
    <x v="63"/>
    <x v="43"/>
    <x v="62"/>
    <x v="2"/>
    <x v="63"/>
    <n v="4.7619047619047628"/>
    <n v="7.9050000000000011"/>
    <n v="8.6"/>
  </r>
  <r>
    <s v="853-23-2453"/>
    <x v="2"/>
    <x v="2"/>
    <x v="0"/>
    <x v="1"/>
    <x v="0"/>
    <n v="75.739999999999995"/>
    <x v="7"/>
    <n v="15.148000000000025"/>
    <x v="64"/>
    <x v="44"/>
    <x v="63"/>
    <x v="1"/>
    <x v="64"/>
    <n v="4.761904761904769"/>
    <n v="15.148000000000025"/>
    <n v="7.6"/>
  </r>
  <r>
    <s v="877-22-3308"/>
    <x v="0"/>
    <x v="0"/>
    <x v="0"/>
    <x v="1"/>
    <x v="0"/>
    <n v="15.87"/>
    <x v="4"/>
    <n v="7.9350000000000023"/>
    <x v="65"/>
    <x v="45"/>
    <x v="64"/>
    <x v="1"/>
    <x v="65"/>
    <n v="4.7619047619047636"/>
    <n v="7.9350000000000023"/>
    <n v="5.8"/>
  </r>
  <r>
    <s v="838-78-4295"/>
    <x v="1"/>
    <x v="1"/>
    <x v="1"/>
    <x v="0"/>
    <x v="0"/>
    <n v="33.47"/>
    <x v="5"/>
    <n v="3.3470000000000084"/>
    <x v="66"/>
    <x v="34"/>
    <x v="65"/>
    <x v="0"/>
    <x v="66"/>
    <n v="4.7619047619047734"/>
    <n v="3.3470000000000084"/>
    <n v="6.7"/>
  </r>
  <r>
    <s v="109-28-2512"/>
    <x v="2"/>
    <x v="2"/>
    <x v="0"/>
    <x v="0"/>
    <x v="5"/>
    <n v="97.61"/>
    <x v="3"/>
    <n v="29.283000000000015"/>
    <x v="67"/>
    <x v="27"/>
    <x v="66"/>
    <x v="0"/>
    <x v="67"/>
    <n v="4.7619047619047645"/>
    <n v="29.283000000000015"/>
    <n v="9.9"/>
  </r>
  <r>
    <s v="232-11-3025"/>
    <x v="0"/>
    <x v="0"/>
    <x v="1"/>
    <x v="1"/>
    <x v="3"/>
    <n v="78.77"/>
    <x v="4"/>
    <n v="39.385000000000105"/>
    <x v="68"/>
    <x v="46"/>
    <x v="67"/>
    <x v="1"/>
    <x v="68"/>
    <n v="4.7619047619047601"/>
    <n v="39.384999999999991"/>
    <n v="6.4"/>
  </r>
  <r>
    <s v="382-03-4532"/>
    <x v="0"/>
    <x v="0"/>
    <x v="0"/>
    <x v="0"/>
    <x v="0"/>
    <n v="18.329999999999998"/>
    <x v="8"/>
    <n v="0.91650000000000276"/>
    <x v="69"/>
    <x v="30"/>
    <x v="68"/>
    <x v="1"/>
    <x v="69"/>
    <n v="4.7619047619047761"/>
    <n v="0.91650000000000276"/>
    <n v="4.3"/>
  </r>
  <r>
    <s v="393-65-2792"/>
    <x v="1"/>
    <x v="1"/>
    <x v="1"/>
    <x v="1"/>
    <x v="4"/>
    <n v="89.48"/>
    <x v="4"/>
    <n v="44.739999999999895"/>
    <x v="70"/>
    <x v="47"/>
    <x v="69"/>
    <x v="2"/>
    <x v="70"/>
    <n v="4.7619047619047628"/>
    <n v="44.740000000000009"/>
    <n v="9.6"/>
  </r>
  <r>
    <s v="796-12-2025"/>
    <x v="1"/>
    <x v="1"/>
    <x v="1"/>
    <x v="1"/>
    <x v="5"/>
    <n v="62.12"/>
    <x v="4"/>
    <n v="31.060000000000059"/>
    <x v="71"/>
    <x v="48"/>
    <x v="15"/>
    <x v="1"/>
    <x v="71"/>
    <n v="4.761904761904753"/>
    <n v="31.059999999999945"/>
    <n v="5.9"/>
  </r>
  <r>
    <s v="510-95-6347"/>
    <x v="2"/>
    <x v="2"/>
    <x v="0"/>
    <x v="0"/>
    <x v="4"/>
    <n v="48.52"/>
    <x v="6"/>
    <n v="7.2779999999999916"/>
    <x v="72"/>
    <x v="19"/>
    <x v="70"/>
    <x v="0"/>
    <x v="72"/>
    <n v="4.7619047619047565"/>
    <n v="7.2779999999999916"/>
    <n v="4"/>
  </r>
  <r>
    <s v="841-35-6630"/>
    <x v="1"/>
    <x v="1"/>
    <x v="1"/>
    <x v="0"/>
    <x v="1"/>
    <n v="75.91"/>
    <x v="3"/>
    <n v="22.773000000000025"/>
    <x v="73"/>
    <x v="11"/>
    <x v="71"/>
    <x v="1"/>
    <x v="73"/>
    <n v="4.7619047619047672"/>
    <n v="22.773000000000025"/>
    <n v="8.6999999999999993"/>
  </r>
  <r>
    <s v="287-21-9091"/>
    <x v="0"/>
    <x v="0"/>
    <x v="1"/>
    <x v="1"/>
    <x v="2"/>
    <n v="74.67"/>
    <x v="9"/>
    <n v="33.601499999999987"/>
    <x v="74"/>
    <x v="49"/>
    <x v="60"/>
    <x v="0"/>
    <x v="74"/>
    <n v="4.7619047619047601"/>
    <n v="33.601499999999987"/>
    <n v="9.4"/>
  </r>
  <r>
    <s v="732-94-0499"/>
    <x v="1"/>
    <x v="1"/>
    <x v="1"/>
    <x v="0"/>
    <x v="1"/>
    <n v="41.65"/>
    <x v="4"/>
    <n v="20.824999999999989"/>
    <x v="75"/>
    <x v="50"/>
    <x v="72"/>
    <x v="2"/>
    <x v="75"/>
    <n v="4.7619047619047592"/>
    <n v="20.824999999999989"/>
    <n v="5.4"/>
  </r>
  <r>
    <s v="263-10-3913"/>
    <x v="1"/>
    <x v="1"/>
    <x v="0"/>
    <x v="1"/>
    <x v="5"/>
    <n v="49.04"/>
    <x v="9"/>
    <n v="22.067999999999984"/>
    <x v="76"/>
    <x v="51"/>
    <x v="73"/>
    <x v="2"/>
    <x v="76"/>
    <n v="4.7619047619047583"/>
    <n v="22.067999999999984"/>
    <n v="8.6"/>
  </r>
  <r>
    <s v="381-20-0914"/>
    <x v="0"/>
    <x v="0"/>
    <x v="0"/>
    <x v="0"/>
    <x v="5"/>
    <n v="20.010000000000002"/>
    <x v="9"/>
    <n v="9.0045000000000073"/>
    <x v="47"/>
    <x v="52"/>
    <x v="74"/>
    <x v="2"/>
    <x v="47"/>
    <n v="4.7619047619047654"/>
    <n v="9.0045000000000073"/>
    <n v="5.7"/>
  </r>
  <r>
    <s v="829-49-1914"/>
    <x v="1"/>
    <x v="1"/>
    <x v="0"/>
    <x v="0"/>
    <x v="4"/>
    <n v="78.31"/>
    <x v="4"/>
    <n v="39.154999999999973"/>
    <x v="77"/>
    <x v="19"/>
    <x v="75"/>
    <x v="0"/>
    <x v="77"/>
    <n v="4.7619047619047592"/>
    <n v="39.154999999999973"/>
    <n v="6.6"/>
  </r>
  <r>
    <s v="756-01-7507"/>
    <x v="1"/>
    <x v="1"/>
    <x v="1"/>
    <x v="0"/>
    <x v="0"/>
    <n v="20.38"/>
    <x v="1"/>
    <n v="5.0950000000000131"/>
    <x v="78"/>
    <x v="49"/>
    <x v="76"/>
    <x v="1"/>
    <x v="78"/>
    <n v="4.761904761904761"/>
    <n v="5.0949999999999989"/>
    <n v="6"/>
  </r>
  <r>
    <s v="870-72-4431"/>
    <x v="1"/>
    <x v="1"/>
    <x v="1"/>
    <x v="0"/>
    <x v="0"/>
    <n v="99.19"/>
    <x v="3"/>
    <n v="29.757000000000062"/>
    <x v="79"/>
    <x v="18"/>
    <x v="51"/>
    <x v="2"/>
    <x v="79"/>
    <n v="4.7619047619047716"/>
    <n v="29.757000000000062"/>
    <n v="5.5"/>
  </r>
  <r>
    <s v="847-38-7188"/>
    <x v="2"/>
    <x v="2"/>
    <x v="1"/>
    <x v="0"/>
    <x v="4"/>
    <n v="96.68"/>
    <x v="6"/>
    <n v="14.501999999999953"/>
    <x v="80"/>
    <x v="53"/>
    <x v="77"/>
    <x v="0"/>
    <x v="80"/>
    <n v="4.7619047619047468"/>
    <n v="14.501999999999953"/>
    <n v="6.4"/>
  </r>
  <r>
    <s v="480-63-2856"/>
    <x v="1"/>
    <x v="1"/>
    <x v="1"/>
    <x v="1"/>
    <x v="4"/>
    <n v="19.25"/>
    <x v="2"/>
    <n v="7.6999999999999886"/>
    <x v="81"/>
    <x v="54"/>
    <x v="78"/>
    <x v="0"/>
    <x v="81"/>
    <n v="4.7619047619047556"/>
    <n v="7.6999999999999886"/>
    <n v="6.6"/>
  </r>
  <r>
    <s v="787-56-0757"/>
    <x v="1"/>
    <x v="1"/>
    <x v="0"/>
    <x v="0"/>
    <x v="4"/>
    <n v="80.36"/>
    <x v="7"/>
    <n v="16.072000000000003"/>
    <x v="82"/>
    <x v="55"/>
    <x v="40"/>
    <x v="2"/>
    <x v="82"/>
    <n v="4.7619047619047628"/>
    <n v="16.072000000000003"/>
    <n v="8.3000000000000007"/>
  </r>
  <r>
    <s v="360-39-5055"/>
    <x v="1"/>
    <x v="1"/>
    <x v="0"/>
    <x v="1"/>
    <x v="3"/>
    <n v="48.91"/>
    <x v="1"/>
    <n v="12.227499999999992"/>
    <x v="83"/>
    <x v="11"/>
    <x v="79"/>
    <x v="1"/>
    <x v="83"/>
    <n v="4.7619047619047485"/>
    <n v="12.227499999999964"/>
    <n v="6.6"/>
  </r>
  <r>
    <s v="730-50-9884"/>
    <x v="1"/>
    <x v="1"/>
    <x v="1"/>
    <x v="0"/>
    <x v="3"/>
    <n v="83.06"/>
    <x v="0"/>
    <n v="29.070999999999913"/>
    <x v="84"/>
    <x v="19"/>
    <x v="80"/>
    <x v="0"/>
    <x v="84"/>
    <n v="4.7619047619047663"/>
    <n v="29.071000000000026"/>
    <n v="4"/>
  </r>
  <r>
    <s v="362-58-8315"/>
    <x v="1"/>
    <x v="1"/>
    <x v="1"/>
    <x v="1"/>
    <x v="5"/>
    <n v="76.52"/>
    <x v="1"/>
    <n v="19.130000000000052"/>
    <x v="85"/>
    <x v="5"/>
    <x v="81"/>
    <x v="1"/>
    <x v="85"/>
    <n v="4.7619047619047601"/>
    <n v="19.129999999999995"/>
    <n v="9.9"/>
  </r>
  <r>
    <s v="633-44-8566"/>
    <x v="0"/>
    <x v="0"/>
    <x v="0"/>
    <x v="1"/>
    <x v="4"/>
    <n v="49.38"/>
    <x v="0"/>
    <n v="17.282999999999959"/>
    <x v="86"/>
    <x v="39"/>
    <x v="82"/>
    <x v="2"/>
    <x v="86"/>
    <n v="4.7619047619047503"/>
    <n v="17.282999999999959"/>
    <n v="7.3"/>
  </r>
  <r>
    <s v="504-35-8843"/>
    <x v="0"/>
    <x v="0"/>
    <x v="1"/>
    <x v="1"/>
    <x v="3"/>
    <n v="42.47"/>
    <x v="8"/>
    <n v="2.1234999999999999"/>
    <x v="87"/>
    <x v="56"/>
    <x v="83"/>
    <x v="1"/>
    <x v="87"/>
    <n v="4.7619047619047619"/>
    <n v="2.1234999999999999"/>
    <n v="5.7"/>
  </r>
  <r>
    <s v="318-68-5053"/>
    <x v="2"/>
    <x v="2"/>
    <x v="1"/>
    <x v="0"/>
    <x v="0"/>
    <n v="76.989999999999995"/>
    <x v="3"/>
    <n v="23.097000000000037"/>
    <x v="88"/>
    <x v="33"/>
    <x v="84"/>
    <x v="1"/>
    <x v="88"/>
    <n v="4.7619047619047583"/>
    <n v="23.09699999999998"/>
    <n v="6.1"/>
  </r>
  <r>
    <s v="565-80-5980"/>
    <x v="1"/>
    <x v="1"/>
    <x v="0"/>
    <x v="0"/>
    <x v="2"/>
    <n v="47.38"/>
    <x v="7"/>
    <n v="9.4759999999999991"/>
    <x v="89"/>
    <x v="54"/>
    <x v="12"/>
    <x v="1"/>
    <x v="89"/>
    <n v="4.761904761904761"/>
    <n v="9.4759999999999991"/>
    <n v="7.1"/>
  </r>
  <r>
    <s v="225-32-0908"/>
    <x v="1"/>
    <x v="1"/>
    <x v="1"/>
    <x v="0"/>
    <x v="3"/>
    <n v="44.86"/>
    <x v="4"/>
    <n v="22.42999999999995"/>
    <x v="90"/>
    <x v="53"/>
    <x v="85"/>
    <x v="0"/>
    <x v="90"/>
    <n v="4.7619047619047512"/>
    <n v="22.42999999999995"/>
    <n v="8.1999999999999993"/>
  </r>
  <r>
    <s v="873-51-0671"/>
    <x v="0"/>
    <x v="0"/>
    <x v="0"/>
    <x v="0"/>
    <x v="3"/>
    <n v="21.98"/>
    <x v="0"/>
    <n v="7.6929999999999836"/>
    <x v="91"/>
    <x v="8"/>
    <x v="86"/>
    <x v="0"/>
    <x v="91"/>
    <n v="4.7619047619047521"/>
    <n v="7.6929999999999836"/>
    <n v="5.0999999999999996"/>
  </r>
  <r>
    <s v="152-08-9985"/>
    <x v="2"/>
    <x v="2"/>
    <x v="0"/>
    <x v="1"/>
    <x v="0"/>
    <n v="64.36"/>
    <x v="9"/>
    <n v="28.961999999999989"/>
    <x v="92"/>
    <x v="41"/>
    <x v="87"/>
    <x v="2"/>
    <x v="92"/>
    <n v="4.7619047619047601"/>
    <n v="28.961999999999989"/>
    <n v="8.6"/>
  </r>
  <r>
    <s v="512-91-0811"/>
    <x v="1"/>
    <x v="1"/>
    <x v="1"/>
    <x v="1"/>
    <x v="0"/>
    <n v="89.75"/>
    <x v="8"/>
    <n v="4.4874999999999972"/>
    <x v="93"/>
    <x v="10"/>
    <x v="88"/>
    <x v="2"/>
    <x v="93"/>
    <n v="4.7619047619047592"/>
    <n v="4.4874999999999972"/>
    <n v="6.6"/>
  </r>
  <r>
    <s v="594-34-4444"/>
    <x v="0"/>
    <x v="0"/>
    <x v="1"/>
    <x v="1"/>
    <x v="1"/>
    <n v="97.16"/>
    <x v="8"/>
    <n v="4.8580000000000041"/>
    <x v="94"/>
    <x v="1"/>
    <x v="89"/>
    <x v="0"/>
    <x v="94"/>
    <n v="4.7619047619047654"/>
    <n v="4.8580000000000041"/>
    <n v="7.2"/>
  </r>
  <r>
    <s v="766-85-7061"/>
    <x v="2"/>
    <x v="2"/>
    <x v="1"/>
    <x v="1"/>
    <x v="0"/>
    <n v="87.87"/>
    <x v="4"/>
    <n v="43.934999999999945"/>
    <x v="95"/>
    <x v="14"/>
    <x v="12"/>
    <x v="0"/>
    <x v="95"/>
    <n v="4.7619047619047556"/>
    <n v="43.934999999999945"/>
    <n v="5.0999999999999996"/>
  </r>
  <r>
    <s v="871-39-9221"/>
    <x v="1"/>
    <x v="1"/>
    <x v="1"/>
    <x v="0"/>
    <x v="1"/>
    <n v="12.45"/>
    <x v="3"/>
    <n v="3.7350000000000136"/>
    <x v="96"/>
    <x v="57"/>
    <x v="90"/>
    <x v="1"/>
    <x v="96"/>
    <n v="4.761904761904761"/>
    <n v="3.7349999999999994"/>
    <n v="4.0999999999999996"/>
  </r>
  <r>
    <s v="865-92-6136"/>
    <x v="0"/>
    <x v="0"/>
    <x v="1"/>
    <x v="1"/>
    <x v="4"/>
    <n v="52.75"/>
    <x v="6"/>
    <n v="7.9124999999999943"/>
    <x v="97"/>
    <x v="28"/>
    <x v="91"/>
    <x v="0"/>
    <x v="97"/>
    <n v="4.7619047619047592"/>
    <n v="7.9124999999999943"/>
    <n v="9.3000000000000007"/>
  </r>
  <r>
    <s v="733-01-9107"/>
    <x v="2"/>
    <x v="2"/>
    <x v="1"/>
    <x v="1"/>
    <x v="2"/>
    <n v="82.7"/>
    <x v="3"/>
    <n v="24.809999999999945"/>
    <x v="98"/>
    <x v="19"/>
    <x v="92"/>
    <x v="1"/>
    <x v="98"/>
    <n v="4.7619047619047628"/>
    <n v="24.810000000000002"/>
    <n v="7.4"/>
  </r>
  <r>
    <s v="163-56-7055"/>
    <x v="1"/>
    <x v="1"/>
    <x v="0"/>
    <x v="1"/>
    <x v="5"/>
    <n v="48.71"/>
    <x v="8"/>
    <n v="2.4354999999999976"/>
    <x v="99"/>
    <x v="58"/>
    <x v="25"/>
    <x v="1"/>
    <x v="99"/>
    <n v="4.7619047619047574"/>
    <n v="2.4354999999999976"/>
    <n v="4.0999999999999996"/>
  </r>
  <r>
    <s v="189-98-2939"/>
    <x v="1"/>
    <x v="1"/>
    <x v="1"/>
    <x v="1"/>
    <x v="5"/>
    <n v="78.55"/>
    <x v="9"/>
    <n v="35.347500000000082"/>
    <x v="100"/>
    <x v="59"/>
    <x v="93"/>
    <x v="1"/>
    <x v="100"/>
    <n v="4.7619047619047574"/>
    <n v="35.347499999999968"/>
    <n v="7.2"/>
  </r>
  <r>
    <s v="551-21-3069"/>
    <x v="1"/>
    <x v="1"/>
    <x v="1"/>
    <x v="0"/>
    <x v="1"/>
    <n v="23.07"/>
    <x v="9"/>
    <n v="10.381500000000017"/>
    <x v="101"/>
    <x v="60"/>
    <x v="94"/>
    <x v="1"/>
    <x v="101"/>
    <n v="4.761904761904769"/>
    <n v="10.381500000000017"/>
    <n v="4.9000000000000004"/>
  </r>
  <r>
    <s v="212-62-1842"/>
    <x v="0"/>
    <x v="0"/>
    <x v="1"/>
    <x v="1"/>
    <x v="4"/>
    <n v="58.26"/>
    <x v="3"/>
    <n v="17.478000000000009"/>
    <x v="102"/>
    <x v="61"/>
    <x v="95"/>
    <x v="1"/>
    <x v="102"/>
    <n v="4.7619047619047645"/>
    <n v="17.478000000000009"/>
    <n v="9.9"/>
  </r>
  <r>
    <s v="716-39-1409"/>
    <x v="2"/>
    <x v="2"/>
    <x v="1"/>
    <x v="1"/>
    <x v="0"/>
    <n v="30.35"/>
    <x v="0"/>
    <n v="10.622499999999974"/>
    <x v="103"/>
    <x v="35"/>
    <x v="96"/>
    <x v="1"/>
    <x v="103"/>
    <n v="4.7619047619047628"/>
    <n v="10.622500000000002"/>
    <n v="8"/>
  </r>
  <r>
    <s v="704-48-3927"/>
    <x v="0"/>
    <x v="0"/>
    <x v="0"/>
    <x v="1"/>
    <x v="1"/>
    <n v="88.67"/>
    <x v="4"/>
    <n v="44.334999999999923"/>
    <x v="104"/>
    <x v="52"/>
    <x v="97"/>
    <x v="0"/>
    <x v="104"/>
    <n v="4.7619047619047539"/>
    <n v="44.334999999999923"/>
    <n v="7.3"/>
  </r>
  <r>
    <s v="628-34-3388"/>
    <x v="1"/>
    <x v="1"/>
    <x v="1"/>
    <x v="1"/>
    <x v="5"/>
    <n v="27.38"/>
    <x v="3"/>
    <n v="8.2139999999999986"/>
    <x v="105"/>
    <x v="0"/>
    <x v="98"/>
    <x v="2"/>
    <x v="105"/>
    <n v="4.761904761904761"/>
    <n v="8.2139999999999986"/>
    <n v="7.9"/>
  </r>
  <r>
    <s v="630-74-5166"/>
    <x v="0"/>
    <x v="0"/>
    <x v="1"/>
    <x v="1"/>
    <x v="3"/>
    <n v="62.13"/>
    <x v="3"/>
    <n v="18.638999999999953"/>
    <x v="106"/>
    <x v="23"/>
    <x v="99"/>
    <x v="1"/>
    <x v="106"/>
    <n v="4.7619047619047645"/>
    <n v="18.63900000000001"/>
    <n v="7.4"/>
  </r>
  <r>
    <s v="588-01-7461"/>
    <x v="1"/>
    <x v="1"/>
    <x v="1"/>
    <x v="0"/>
    <x v="4"/>
    <n v="33.979999999999997"/>
    <x v="9"/>
    <n v="15.290999999999997"/>
    <x v="107"/>
    <x v="62"/>
    <x v="100"/>
    <x v="1"/>
    <x v="107"/>
    <n v="4.761904761904761"/>
    <n v="15.290999999999997"/>
    <n v="4.2"/>
  </r>
  <r>
    <s v="861-77-0145"/>
    <x v="1"/>
    <x v="1"/>
    <x v="0"/>
    <x v="1"/>
    <x v="1"/>
    <n v="81.97"/>
    <x v="4"/>
    <n v="40.9849999999999"/>
    <x v="108"/>
    <x v="2"/>
    <x v="101"/>
    <x v="1"/>
    <x v="108"/>
    <n v="4.7619047619047503"/>
    <n v="40.9849999999999"/>
    <n v="9.1999999999999993"/>
  </r>
  <r>
    <s v="479-26-8945"/>
    <x v="2"/>
    <x v="2"/>
    <x v="0"/>
    <x v="0"/>
    <x v="3"/>
    <n v="16.489999999999998"/>
    <x v="5"/>
    <n v="1.6490000000000009"/>
    <x v="109"/>
    <x v="63"/>
    <x v="102"/>
    <x v="0"/>
    <x v="109"/>
    <n v="4.7619047619047654"/>
    <n v="1.6490000000000009"/>
    <n v="4.5999999999999996"/>
  </r>
  <r>
    <s v="210-67-5886"/>
    <x v="1"/>
    <x v="1"/>
    <x v="0"/>
    <x v="0"/>
    <x v="0"/>
    <n v="98.21"/>
    <x v="6"/>
    <n v="14.731499999999983"/>
    <x v="110"/>
    <x v="63"/>
    <x v="103"/>
    <x v="2"/>
    <x v="110"/>
    <n v="4.7619047619047565"/>
    <n v="14.731499999999983"/>
    <n v="7.8"/>
  </r>
  <r>
    <s v="227-78-1148"/>
    <x v="2"/>
    <x v="2"/>
    <x v="1"/>
    <x v="0"/>
    <x v="5"/>
    <n v="72.84"/>
    <x v="0"/>
    <n v="25.494000000000028"/>
    <x v="111"/>
    <x v="42"/>
    <x v="104"/>
    <x v="1"/>
    <x v="111"/>
    <n v="4.7619047619047672"/>
    <n v="25.494000000000028"/>
    <n v="8.4"/>
  </r>
  <r>
    <s v="645-44-1170"/>
    <x v="0"/>
    <x v="0"/>
    <x v="0"/>
    <x v="1"/>
    <x v="2"/>
    <n v="58.07"/>
    <x v="9"/>
    <n v="26.13149999999996"/>
    <x v="112"/>
    <x v="64"/>
    <x v="105"/>
    <x v="0"/>
    <x v="112"/>
    <n v="4.7619047619047548"/>
    <n v="26.13149999999996"/>
    <n v="4.3"/>
  </r>
  <r>
    <s v="237-01-6122"/>
    <x v="1"/>
    <x v="1"/>
    <x v="0"/>
    <x v="0"/>
    <x v="2"/>
    <n v="80.790000000000006"/>
    <x v="9"/>
    <n v="36.355500000000006"/>
    <x v="113"/>
    <x v="60"/>
    <x v="106"/>
    <x v="2"/>
    <x v="113"/>
    <n v="4.7619047619047628"/>
    <n v="36.355500000000006"/>
    <n v="9.5"/>
  </r>
  <r>
    <s v="225-98-1496"/>
    <x v="1"/>
    <x v="1"/>
    <x v="1"/>
    <x v="0"/>
    <x v="5"/>
    <n v="27.02"/>
    <x v="6"/>
    <n v="4.0529999999999973"/>
    <x v="114"/>
    <x v="22"/>
    <x v="39"/>
    <x v="2"/>
    <x v="114"/>
    <n v="4.7619047619047592"/>
    <n v="4.0529999999999973"/>
    <n v="7.1"/>
  </r>
  <r>
    <s v="291-32-1427"/>
    <x v="2"/>
    <x v="2"/>
    <x v="0"/>
    <x v="1"/>
    <x v="5"/>
    <n v="21.94"/>
    <x v="1"/>
    <n v="5.4849999999999994"/>
    <x v="115"/>
    <x v="19"/>
    <x v="107"/>
    <x v="0"/>
    <x v="115"/>
    <n v="4.7619047619047619"/>
    <n v="5.4849999999999994"/>
    <n v="5.3"/>
  </r>
  <r>
    <s v="659-65-8956"/>
    <x v="2"/>
    <x v="2"/>
    <x v="0"/>
    <x v="1"/>
    <x v="5"/>
    <n v="51.36"/>
    <x v="8"/>
    <n v="2.5679999999999978"/>
    <x v="116"/>
    <x v="65"/>
    <x v="108"/>
    <x v="0"/>
    <x v="116"/>
    <n v="4.7619047619047583"/>
    <n v="2.5679999999999978"/>
    <n v="5.2"/>
  </r>
  <r>
    <s v="642-32-2990"/>
    <x v="0"/>
    <x v="0"/>
    <x v="1"/>
    <x v="0"/>
    <x v="4"/>
    <n v="10.96"/>
    <x v="4"/>
    <n v="5.4799999999999898"/>
    <x v="117"/>
    <x v="30"/>
    <x v="109"/>
    <x v="0"/>
    <x v="117"/>
    <n v="4.7619047619047654"/>
    <n v="5.480000000000004"/>
    <n v="6"/>
  </r>
  <r>
    <s v="378-24-2715"/>
    <x v="2"/>
    <x v="2"/>
    <x v="1"/>
    <x v="1"/>
    <x v="2"/>
    <n v="53.44"/>
    <x v="5"/>
    <n v="5.3440000000000083"/>
    <x v="118"/>
    <x v="40"/>
    <x v="89"/>
    <x v="0"/>
    <x v="118"/>
    <n v="4.761904761904769"/>
    <n v="5.3440000000000083"/>
    <n v="4.0999999999999996"/>
  </r>
  <r>
    <s v="638-60-7125"/>
    <x v="0"/>
    <x v="0"/>
    <x v="1"/>
    <x v="0"/>
    <x v="1"/>
    <n v="99.56"/>
    <x v="2"/>
    <n v="39.823999999999955"/>
    <x v="119"/>
    <x v="44"/>
    <x v="11"/>
    <x v="2"/>
    <x v="119"/>
    <n v="4.7619047619047565"/>
    <n v="39.823999999999955"/>
    <n v="5.2"/>
  </r>
  <r>
    <s v="659-36-1684"/>
    <x v="1"/>
    <x v="1"/>
    <x v="0"/>
    <x v="1"/>
    <x v="3"/>
    <n v="57.12"/>
    <x v="0"/>
    <n v="19.992000000000019"/>
    <x v="120"/>
    <x v="52"/>
    <x v="110"/>
    <x v="2"/>
    <x v="120"/>
    <n v="4.7619047619047663"/>
    <n v="19.992000000000019"/>
    <n v="6.5"/>
  </r>
  <r>
    <s v="219-22-9386"/>
    <x v="2"/>
    <x v="2"/>
    <x v="0"/>
    <x v="1"/>
    <x v="3"/>
    <n v="99.96"/>
    <x v="9"/>
    <n v="44.981999999999971"/>
    <x v="121"/>
    <x v="11"/>
    <x v="111"/>
    <x v="2"/>
    <x v="121"/>
    <n v="4.7619047619047592"/>
    <n v="44.981999999999971"/>
    <n v="4.2"/>
  </r>
  <r>
    <s v="336-78-2147"/>
    <x v="1"/>
    <x v="1"/>
    <x v="0"/>
    <x v="1"/>
    <x v="2"/>
    <n v="63.91"/>
    <x v="2"/>
    <n v="25.564000000000078"/>
    <x v="122"/>
    <x v="45"/>
    <x v="112"/>
    <x v="2"/>
    <x v="122"/>
    <n v="4.7619047619047761"/>
    <n v="25.564000000000078"/>
    <n v="4.5999999999999996"/>
  </r>
  <r>
    <s v="268-27-6179"/>
    <x v="2"/>
    <x v="2"/>
    <x v="0"/>
    <x v="0"/>
    <x v="5"/>
    <n v="56.47"/>
    <x v="2"/>
    <n v="22.588000000000022"/>
    <x v="123"/>
    <x v="11"/>
    <x v="113"/>
    <x v="0"/>
    <x v="123"/>
    <n v="4.7619047619047663"/>
    <n v="22.588000000000022"/>
    <n v="7.3"/>
  </r>
  <r>
    <s v="668-90-8900"/>
    <x v="0"/>
    <x v="0"/>
    <x v="1"/>
    <x v="0"/>
    <x v="2"/>
    <n v="93.69"/>
    <x v="0"/>
    <n v="32.791500000000042"/>
    <x v="124"/>
    <x v="24"/>
    <x v="114"/>
    <x v="2"/>
    <x v="124"/>
    <n v="4.7619047619047521"/>
    <n v="32.791499999999928"/>
    <n v="4.5"/>
  </r>
  <r>
    <s v="870-54-3162"/>
    <x v="0"/>
    <x v="0"/>
    <x v="1"/>
    <x v="0"/>
    <x v="3"/>
    <n v="32.25"/>
    <x v="1"/>
    <n v="8.0625"/>
    <x v="125"/>
    <x v="3"/>
    <x v="115"/>
    <x v="1"/>
    <x v="125"/>
    <n v="4.7619047619047619"/>
    <n v="8.0625"/>
    <n v="9"/>
  </r>
  <r>
    <s v="189-08-9157"/>
    <x v="1"/>
    <x v="1"/>
    <x v="1"/>
    <x v="0"/>
    <x v="5"/>
    <n v="31.73"/>
    <x v="9"/>
    <n v="14.278500000000008"/>
    <x v="126"/>
    <x v="66"/>
    <x v="116"/>
    <x v="2"/>
    <x v="126"/>
    <n v="4.7619047619047645"/>
    <n v="14.278500000000008"/>
    <n v="5.9"/>
  </r>
  <r>
    <s v="663-86-9076"/>
    <x v="1"/>
    <x v="1"/>
    <x v="0"/>
    <x v="0"/>
    <x v="4"/>
    <n v="68.540000000000006"/>
    <x v="2"/>
    <n v="27.41599999999994"/>
    <x v="127"/>
    <x v="66"/>
    <x v="117"/>
    <x v="0"/>
    <x v="127"/>
    <n v="4.7619047619047512"/>
    <n v="27.41599999999994"/>
    <n v="8.5"/>
  </r>
  <r>
    <s v="549-84-7482"/>
    <x v="2"/>
    <x v="2"/>
    <x v="1"/>
    <x v="0"/>
    <x v="3"/>
    <n v="90.28"/>
    <x v="9"/>
    <n v="40.625999999999976"/>
    <x v="128"/>
    <x v="4"/>
    <x v="23"/>
    <x v="0"/>
    <x v="128"/>
    <n v="4.7619047619047592"/>
    <n v="40.625999999999976"/>
    <n v="7.2"/>
  </r>
  <r>
    <s v="191-10-6171"/>
    <x v="2"/>
    <x v="2"/>
    <x v="1"/>
    <x v="0"/>
    <x v="5"/>
    <n v="39.619999999999997"/>
    <x v="0"/>
    <n v="13.867000000000019"/>
    <x v="129"/>
    <x v="25"/>
    <x v="118"/>
    <x v="1"/>
    <x v="129"/>
    <n v="4.761904761904769"/>
    <n v="13.867000000000019"/>
    <n v="7.5"/>
  </r>
  <r>
    <s v="802-70-5316"/>
    <x v="0"/>
    <x v="0"/>
    <x v="0"/>
    <x v="0"/>
    <x v="3"/>
    <n v="92.13"/>
    <x v="3"/>
    <n v="27.63900000000001"/>
    <x v="130"/>
    <x v="43"/>
    <x v="119"/>
    <x v="1"/>
    <x v="130"/>
    <n v="4.7619047619047636"/>
    <n v="27.63900000000001"/>
    <n v="8.3000000000000007"/>
  </r>
  <r>
    <s v="695-51-0018"/>
    <x v="2"/>
    <x v="2"/>
    <x v="1"/>
    <x v="0"/>
    <x v="3"/>
    <n v="34.840000000000003"/>
    <x v="7"/>
    <n v="6.9679999999999893"/>
    <x v="131"/>
    <x v="34"/>
    <x v="120"/>
    <x v="1"/>
    <x v="131"/>
    <n v="4.7619047619047548"/>
    <n v="6.9679999999999893"/>
    <n v="7.4"/>
  </r>
  <r>
    <s v="590-83-4591"/>
    <x v="2"/>
    <x v="2"/>
    <x v="0"/>
    <x v="1"/>
    <x v="1"/>
    <n v="87.45"/>
    <x v="3"/>
    <n v="26.2349999999999"/>
    <x v="132"/>
    <x v="21"/>
    <x v="121"/>
    <x v="2"/>
    <x v="132"/>
    <n v="4.7619047619047441"/>
    <n v="26.2349999999999"/>
    <n v="8.8000000000000007"/>
  </r>
  <r>
    <s v="483-71-1164"/>
    <x v="1"/>
    <x v="1"/>
    <x v="1"/>
    <x v="0"/>
    <x v="0"/>
    <n v="81.3"/>
    <x v="3"/>
    <n v="24.3900000000001"/>
    <x v="133"/>
    <x v="1"/>
    <x v="122"/>
    <x v="0"/>
    <x v="133"/>
    <n v="4.7619047619047699"/>
    <n v="24.390000000000043"/>
    <n v="5.3"/>
  </r>
  <r>
    <s v="597-78-7908"/>
    <x v="1"/>
    <x v="1"/>
    <x v="1"/>
    <x v="1"/>
    <x v="5"/>
    <n v="90.22"/>
    <x v="6"/>
    <n v="13.533000000000015"/>
    <x v="134"/>
    <x v="67"/>
    <x v="30"/>
    <x v="1"/>
    <x v="134"/>
    <n v="4.7619047619047477"/>
    <n v="13.532999999999959"/>
    <n v="6.2"/>
  </r>
  <r>
    <s v="700-81-1757"/>
    <x v="0"/>
    <x v="0"/>
    <x v="1"/>
    <x v="0"/>
    <x v="1"/>
    <n v="26.31"/>
    <x v="1"/>
    <n v="6.5775000000000148"/>
    <x v="135"/>
    <x v="68"/>
    <x v="123"/>
    <x v="2"/>
    <x v="135"/>
    <n v="4.7619047619047521"/>
    <n v="6.5774999999999864"/>
    <n v="8.8000000000000007"/>
  </r>
  <r>
    <s v="354-39-5160"/>
    <x v="0"/>
    <x v="0"/>
    <x v="0"/>
    <x v="0"/>
    <x v="2"/>
    <n v="34.42"/>
    <x v="3"/>
    <n v="10.325999999999993"/>
    <x v="136"/>
    <x v="67"/>
    <x v="124"/>
    <x v="1"/>
    <x v="136"/>
    <n v="4.7619047619047592"/>
    <n v="10.325999999999993"/>
    <n v="9.8000000000000007"/>
  </r>
  <r>
    <s v="241-72-9525"/>
    <x v="2"/>
    <x v="2"/>
    <x v="1"/>
    <x v="1"/>
    <x v="3"/>
    <n v="51.91"/>
    <x v="4"/>
    <n v="25.955000000000041"/>
    <x v="137"/>
    <x v="69"/>
    <x v="125"/>
    <x v="1"/>
    <x v="137"/>
    <n v="4.7619047619047494"/>
    <n v="25.954999999999927"/>
    <n v="8.1999999999999993"/>
  </r>
  <r>
    <s v="575-30-8091"/>
    <x v="0"/>
    <x v="0"/>
    <x v="1"/>
    <x v="1"/>
    <x v="3"/>
    <n v="72.5"/>
    <x v="2"/>
    <n v="29"/>
    <x v="138"/>
    <x v="32"/>
    <x v="126"/>
    <x v="0"/>
    <x v="138"/>
    <n v="4.7619047619047619"/>
    <n v="29"/>
    <n v="9.1999999999999993"/>
  </r>
  <r>
    <s v="731-81-9469"/>
    <x v="1"/>
    <x v="1"/>
    <x v="0"/>
    <x v="0"/>
    <x v="3"/>
    <n v="89.8"/>
    <x v="4"/>
    <n v="44.899999999999977"/>
    <x v="139"/>
    <x v="54"/>
    <x v="127"/>
    <x v="2"/>
    <x v="139"/>
    <n v="4.7619047619047592"/>
    <n v="44.899999999999977"/>
    <n v="5.4"/>
  </r>
  <r>
    <s v="280-17-4359"/>
    <x v="1"/>
    <x v="1"/>
    <x v="0"/>
    <x v="1"/>
    <x v="0"/>
    <n v="90.5"/>
    <x v="4"/>
    <n v="45.25"/>
    <x v="140"/>
    <x v="25"/>
    <x v="128"/>
    <x v="1"/>
    <x v="140"/>
    <n v="4.7619047619047619"/>
    <n v="45.25"/>
    <n v="8.1"/>
  </r>
  <r>
    <s v="338-65-2210"/>
    <x v="1"/>
    <x v="1"/>
    <x v="0"/>
    <x v="0"/>
    <x v="0"/>
    <n v="68.599999999999994"/>
    <x v="4"/>
    <n v="34.299999999999955"/>
    <x v="141"/>
    <x v="63"/>
    <x v="129"/>
    <x v="1"/>
    <x v="141"/>
    <n v="4.7619047619047556"/>
    <n v="34.299999999999955"/>
    <n v="9.1"/>
  </r>
  <r>
    <s v="488-25-4221"/>
    <x v="1"/>
    <x v="1"/>
    <x v="0"/>
    <x v="0"/>
    <x v="4"/>
    <n v="30.41"/>
    <x v="8"/>
    <n v="1.5204999999999984"/>
    <x v="142"/>
    <x v="70"/>
    <x v="130"/>
    <x v="2"/>
    <x v="142"/>
    <n v="4.7619047619047574"/>
    <n v="1.5204999999999984"/>
    <n v="8.4"/>
  </r>
  <r>
    <s v="239-10-7476"/>
    <x v="0"/>
    <x v="0"/>
    <x v="1"/>
    <x v="0"/>
    <x v="2"/>
    <n v="77.95"/>
    <x v="3"/>
    <n v="23.384999999999934"/>
    <x v="143"/>
    <x v="18"/>
    <x v="131"/>
    <x v="0"/>
    <x v="143"/>
    <n v="4.7619047619047601"/>
    <n v="23.384999999999991"/>
    <n v="8"/>
  </r>
  <r>
    <s v="458-41-1477"/>
    <x v="1"/>
    <x v="1"/>
    <x v="1"/>
    <x v="0"/>
    <x v="0"/>
    <n v="46.26"/>
    <x v="3"/>
    <n v="13.877999999999986"/>
    <x v="144"/>
    <x v="1"/>
    <x v="132"/>
    <x v="2"/>
    <x v="144"/>
    <n v="4.7619047619047574"/>
    <n v="13.877999999999986"/>
    <n v="9.5"/>
  </r>
  <r>
    <s v="685-64-1609"/>
    <x v="0"/>
    <x v="0"/>
    <x v="0"/>
    <x v="0"/>
    <x v="5"/>
    <n v="30.14"/>
    <x v="4"/>
    <n v="15.07000000000005"/>
    <x v="145"/>
    <x v="34"/>
    <x v="35"/>
    <x v="0"/>
    <x v="145"/>
    <n v="4.7619047619047778"/>
    <n v="15.07000000000005"/>
    <n v="9.1999999999999993"/>
  </r>
  <r>
    <s v="568-90-5112"/>
    <x v="1"/>
    <x v="1"/>
    <x v="1"/>
    <x v="1"/>
    <x v="0"/>
    <n v="66.14"/>
    <x v="7"/>
    <n v="13.228000000000009"/>
    <x v="146"/>
    <x v="35"/>
    <x v="69"/>
    <x v="2"/>
    <x v="146"/>
    <n v="4.7619047619047654"/>
    <n v="13.228000000000009"/>
    <n v="5.6"/>
  </r>
  <r>
    <s v="262-47-2794"/>
    <x v="2"/>
    <x v="2"/>
    <x v="0"/>
    <x v="1"/>
    <x v="2"/>
    <n v="71.86"/>
    <x v="2"/>
    <n v="28.744000000000028"/>
    <x v="147"/>
    <x v="43"/>
    <x v="133"/>
    <x v="2"/>
    <x v="147"/>
    <n v="4.7619047619047663"/>
    <n v="28.744000000000028"/>
    <n v="6.2"/>
  </r>
  <r>
    <s v="238-49-0436"/>
    <x v="0"/>
    <x v="0"/>
    <x v="1"/>
    <x v="1"/>
    <x v="0"/>
    <n v="32.46"/>
    <x v="2"/>
    <n v="12.98399999999998"/>
    <x v="148"/>
    <x v="39"/>
    <x v="128"/>
    <x v="2"/>
    <x v="148"/>
    <n v="4.7619047619047548"/>
    <n v="12.98399999999998"/>
    <n v="4.9000000000000004"/>
  </r>
  <r>
    <s v="608-96-3517"/>
    <x v="2"/>
    <x v="2"/>
    <x v="0"/>
    <x v="0"/>
    <x v="5"/>
    <n v="91.54"/>
    <x v="7"/>
    <n v="18.307999999999993"/>
    <x v="149"/>
    <x v="28"/>
    <x v="25"/>
    <x v="2"/>
    <x v="149"/>
    <n v="4.7619047619047592"/>
    <n v="18.307999999999993"/>
    <n v="4.8"/>
  </r>
  <r>
    <s v="584-86-7256"/>
    <x v="1"/>
    <x v="1"/>
    <x v="0"/>
    <x v="1"/>
    <x v="3"/>
    <n v="34.56"/>
    <x v="0"/>
    <n v="12.095999999999975"/>
    <x v="150"/>
    <x v="16"/>
    <x v="134"/>
    <x v="2"/>
    <x v="150"/>
    <n v="4.7619047619047636"/>
    <n v="12.096000000000004"/>
    <n v="7.3"/>
  </r>
  <r>
    <s v="746-94-0204"/>
    <x v="0"/>
    <x v="0"/>
    <x v="1"/>
    <x v="1"/>
    <x v="5"/>
    <n v="83.24"/>
    <x v="9"/>
    <n v="37.458000000000084"/>
    <x v="151"/>
    <x v="71"/>
    <x v="135"/>
    <x v="2"/>
    <x v="151"/>
    <n v="4.7619047619047716"/>
    <n v="37.458000000000084"/>
    <n v="7.4"/>
  </r>
  <r>
    <s v="214-17-6927"/>
    <x v="1"/>
    <x v="1"/>
    <x v="1"/>
    <x v="0"/>
    <x v="4"/>
    <n v="16.48"/>
    <x v="3"/>
    <n v="4.9440000000000026"/>
    <x v="152"/>
    <x v="13"/>
    <x v="136"/>
    <x v="0"/>
    <x v="152"/>
    <n v="4.7619047619047645"/>
    <n v="4.9440000000000026"/>
    <n v="9.9"/>
  </r>
  <r>
    <s v="400-89-4171"/>
    <x v="1"/>
    <x v="1"/>
    <x v="1"/>
    <x v="0"/>
    <x v="3"/>
    <n v="80.97"/>
    <x v="2"/>
    <n v="32.388000000000034"/>
    <x v="153"/>
    <x v="26"/>
    <x v="137"/>
    <x v="1"/>
    <x v="153"/>
    <n v="4.7619047619047663"/>
    <n v="32.388000000000034"/>
    <n v="9.3000000000000007"/>
  </r>
  <r>
    <s v="782-95-9291"/>
    <x v="0"/>
    <x v="0"/>
    <x v="0"/>
    <x v="1"/>
    <x v="4"/>
    <n v="92.29"/>
    <x v="1"/>
    <n v="23.072499999999934"/>
    <x v="154"/>
    <x v="9"/>
    <x v="57"/>
    <x v="2"/>
    <x v="154"/>
    <n v="4.7619047619047601"/>
    <n v="23.072499999999991"/>
    <n v="9"/>
  </r>
  <r>
    <s v="279-74-2924"/>
    <x v="2"/>
    <x v="2"/>
    <x v="0"/>
    <x v="1"/>
    <x v="1"/>
    <n v="72.17"/>
    <x v="8"/>
    <n v="3.6084999999999923"/>
    <x v="155"/>
    <x v="72"/>
    <x v="138"/>
    <x v="1"/>
    <x v="155"/>
    <n v="4.7619047619047521"/>
    <n v="3.6084999999999923"/>
    <n v="6.1"/>
  </r>
  <r>
    <s v="307-85-2293"/>
    <x v="2"/>
    <x v="2"/>
    <x v="1"/>
    <x v="1"/>
    <x v="2"/>
    <n v="50.28"/>
    <x v="1"/>
    <n v="12.570000000000022"/>
    <x v="156"/>
    <x v="37"/>
    <x v="139"/>
    <x v="0"/>
    <x v="156"/>
    <n v="4.761904761904769"/>
    <n v="12.570000000000022"/>
    <n v="9.6999999999999993"/>
  </r>
  <r>
    <s v="743-04-1105"/>
    <x v="2"/>
    <x v="2"/>
    <x v="0"/>
    <x v="1"/>
    <x v="0"/>
    <n v="97.22"/>
    <x v="9"/>
    <n v="43.749000000000024"/>
    <x v="157"/>
    <x v="73"/>
    <x v="140"/>
    <x v="0"/>
    <x v="157"/>
    <n v="4.7619047619047645"/>
    <n v="43.749000000000024"/>
    <n v="6"/>
  </r>
  <r>
    <s v="423-57-2993"/>
    <x v="2"/>
    <x v="2"/>
    <x v="1"/>
    <x v="1"/>
    <x v="3"/>
    <n v="93.39"/>
    <x v="3"/>
    <n v="28.016999999999939"/>
    <x v="158"/>
    <x v="39"/>
    <x v="141"/>
    <x v="0"/>
    <x v="158"/>
    <n v="4.7619047619047521"/>
    <n v="28.016999999999939"/>
    <n v="10"/>
  </r>
  <r>
    <s v="894-41-5205"/>
    <x v="1"/>
    <x v="1"/>
    <x v="1"/>
    <x v="0"/>
    <x v="4"/>
    <n v="43.18"/>
    <x v="2"/>
    <n v="17.271999999999991"/>
    <x v="159"/>
    <x v="64"/>
    <x v="30"/>
    <x v="2"/>
    <x v="159"/>
    <n v="4.7619047619047592"/>
    <n v="17.271999999999991"/>
    <n v="8.3000000000000007"/>
  </r>
  <r>
    <s v="275-28-0149"/>
    <x v="0"/>
    <x v="0"/>
    <x v="1"/>
    <x v="1"/>
    <x v="3"/>
    <n v="63.69"/>
    <x v="8"/>
    <n v="3.1844999999999999"/>
    <x v="160"/>
    <x v="6"/>
    <x v="142"/>
    <x v="1"/>
    <x v="160"/>
    <n v="4.7619047619047619"/>
    <n v="3.1844999999999999"/>
    <n v="6"/>
  </r>
  <r>
    <s v="101-17-6199"/>
    <x v="0"/>
    <x v="0"/>
    <x v="1"/>
    <x v="1"/>
    <x v="4"/>
    <n v="45.79"/>
    <x v="0"/>
    <n v="16.026500000000055"/>
    <x v="161"/>
    <x v="45"/>
    <x v="143"/>
    <x v="2"/>
    <x v="161"/>
    <n v="4.7619047619047787"/>
    <n v="16.026500000000055"/>
    <n v="7"/>
  </r>
  <r>
    <s v="423-80-0988"/>
    <x v="1"/>
    <x v="1"/>
    <x v="1"/>
    <x v="1"/>
    <x v="3"/>
    <n v="76.400000000000006"/>
    <x v="5"/>
    <n v="7.6399999999999864"/>
    <x v="162"/>
    <x v="74"/>
    <x v="144"/>
    <x v="0"/>
    <x v="162"/>
    <n v="4.761904761904753"/>
    <n v="7.6399999999999864"/>
    <n v="6.5"/>
  </r>
  <r>
    <s v="548-46-9322"/>
    <x v="2"/>
    <x v="2"/>
    <x v="1"/>
    <x v="1"/>
    <x v="4"/>
    <n v="39.9"/>
    <x v="4"/>
    <n v="19.949999999999989"/>
    <x v="163"/>
    <x v="9"/>
    <x v="145"/>
    <x v="2"/>
    <x v="163"/>
    <n v="4.7619047619047592"/>
    <n v="19.949999999999989"/>
    <n v="5.9"/>
  </r>
  <r>
    <s v="505-02-0892"/>
    <x v="2"/>
    <x v="2"/>
    <x v="0"/>
    <x v="1"/>
    <x v="0"/>
    <n v="42.57"/>
    <x v="2"/>
    <n v="17.02800000000002"/>
    <x v="164"/>
    <x v="6"/>
    <x v="146"/>
    <x v="0"/>
    <x v="164"/>
    <n v="4.7619047619047672"/>
    <n v="17.02800000000002"/>
    <n v="5.6"/>
  </r>
  <r>
    <s v="234-65-2137"/>
    <x v="1"/>
    <x v="1"/>
    <x v="1"/>
    <x v="1"/>
    <x v="2"/>
    <n v="95.58"/>
    <x v="4"/>
    <n v="47.790000000000077"/>
    <x v="165"/>
    <x v="65"/>
    <x v="147"/>
    <x v="1"/>
    <x v="165"/>
    <n v="4.761904761904769"/>
    <n v="47.790000000000077"/>
    <n v="4.8"/>
  </r>
  <r>
    <s v="687-47-8271"/>
    <x v="0"/>
    <x v="0"/>
    <x v="1"/>
    <x v="1"/>
    <x v="5"/>
    <n v="98.98"/>
    <x v="4"/>
    <n v="49.489999999999895"/>
    <x v="166"/>
    <x v="4"/>
    <x v="148"/>
    <x v="2"/>
    <x v="166"/>
    <n v="4.7619047619047628"/>
    <n v="49.490000000000009"/>
    <n v="8.6999999999999993"/>
  </r>
  <r>
    <s v="796-32-9050"/>
    <x v="0"/>
    <x v="0"/>
    <x v="1"/>
    <x v="1"/>
    <x v="4"/>
    <n v="51.28"/>
    <x v="3"/>
    <n v="15.384000000000015"/>
    <x v="167"/>
    <x v="64"/>
    <x v="149"/>
    <x v="1"/>
    <x v="167"/>
    <n v="4.7619047619047654"/>
    <n v="15.384000000000015"/>
    <n v="6.5"/>
  </r>
  <r>
    <s v="105-31-1824"/>
    <x v="0"/>
    <x v="0"/>
    <x v="0"/>
    <x v="1"/>
    <x v="3"/>
    <n v="69.52"/>
    <x v="0"/>
    <n v="24.331999999999994"/>
    <x v="168"/>
    <x v="60"/>
    <x v="50"/>
    <x v="2"/>
    <x v="168"/>
    <n v="4.761904761904761"/>
    <n v="24.331999999999994"/>
    <n v="8.5"/>
  </r>
  <r>
    <s v="249-42-3782"/>
    <x v="0"/>
    <x v="0"/>
    <x v="1"/>
    <x v="1"/>
    <x v="0"/>
    <n v="70.010000000000005"/>
    <x v="1"/>
    <n v="17.502499999999998"/>
    <x v="169"/>
    <x v="75"/>
    <x v="150"/>
    <x v="0"/>
    <x v="169"/>
    <n v="4.761904761904761"/>
    <n v="17.502499999999998"/>
    <n v="5.5"/>
  </r>
  <r>
    <s v="316-55-4634"/>
    <x v="2"/>
    <x v="2"/>
    <x v="0"/>
    <x v="1"/>
    <x v="4"/>
    <n v="80.05"/>
    <x v="1"/>
    <n v="20.012499999999989"/>
    <x v="170"/>
    <x v="53"/>
    <x v="47"/>
    <x v="2"/>
    <x v="170"/>
    <n v="4.7619047619047592"/>
    <n v="20.012499999999989"/>
    <n v="9.4"/>
  </r>
  <r>
    <s v="733-33-4967"/>
    <x v="1"/>
    <x v="1"/>
    <x v="1"/>
    <x v="1"/>
    <x v="1"/>
    <n v="20.85"/>
    <x v="2"/>
    <n v="8.339999999999975"/>
    <x v="171"/>
    <x v="2"/>
    <x v="151"/>
    <x v="1"/>
    <x v="171"/>
    <n v="4.7619047619047477"/>
    <n v="8.339999999999975"/>
    <n v="6.3"/>
  </r>
  <r>
    <s v="608-27-6295"/>
    <x v="2"/>
    <x v="2"/>
    <x v="0"/>
    <x v="1"/>
    <x v="1"/>
    <n v="52.89"/>
    <x v="3"/>
    <n v="15.866999999999962"/>
    <x v="172"/>
    <x v="64"/>
    <x v="152"/>
    <x v="2"/>
    <x v="172"/>
    <n v="4.7619047619047681"/>
    <n v="15.867000000000019"/>
    <n v="9.8000000000000007"/>
  </r>
  <r>
    <s v="414-12-7047"/>
    <x v="2"/>
    <x v="2"/>
    <x v="1"/>
    <x v="1"/>
    <x v="4"/>
    <n v="19.79"/>
    <x v="2"/>
    <n v="7.9159999999999968"/>
    <x v="173"/>
    <x v="68"/>
    <x v="153"/>
    <x v="0"/>
    <x v="173"/>
    <n v="4.7619047619047601"/>
    <n v="7.9159999999999968"/>
    <n v="8.6999999999999993"/>
  </r>
  <r>
    <s v="827-26-2100"/>
    <x v="0"/>
    <x v="0"/>
    <x v="0"/>
    <x v="1"/>
    <x v="2"/>
    <n v="33.840000000000003"/>
    <x v="9"/>
    <n v="15.227999999999952"/>
    <x v="174"/>
    <x v="76"/>
    <x v="142"/>
    <x v="0"/>
    <x v="174"/>
    <n v="4.7619047619047645"/>
    <n v="15.228000000000009"/>
    <n v="8.8000000000000007"/>
  </r>
  <r>
    <s v="175-54-2529"/>
    <x v="0"/>
    <x v="0"/>
    <x v="0"/>
    <x v="1"/>
    <x v="4"/>
    <n v="22.17"/>
    <x v="2"/>
    <n v="8.867999999999995"/>
    <x v="175"/>
    <x v="2"/>
    <x v="154"/>
    <x v="2"/>
    <x v="175"/>
    <n v="4.7619047619047592"/>
    <n v="8.867999999999995"/>
    <n v="9.6"/>
  </r>
  <r>
    <s v="139-52-2867"/>
    <x v="1"/>
    <x v="1"/>
    <x v="1"/>
    <x v="0"/>
    <x v="5"/>
    <n v="22.51"/>
    <x v="0"/>
    <n v="7.8784999999999741"/>
    <x v="176"/>
    <x v="77"/>
    <x v="155"/>
    <x v="2"/>
    <x v="176"/>
    <n v="4.7619047619047636"/>
    <n v="7.8785000000000025"/>
    <n v="4.8"/>
  </r>
  <r>
    <s v="407-63-8975"/>
    <x v="0"/>
    <x v="0"/>
    <x v="1"/>
    <x v="1"/>
    <x v="4"/>
    <n v="73.88"/>
    <x v="3"/>
    <n v="22.164000000000044"/>
    <x v="177"/>
    <x v="28"/>
    <x v="156"/>
    <x v="0"/>
    <x v="177"/>
    <n v="4.7619047619047716"/>
    <n v="22.164000000000044"/>
    <n v="4.4000000000000004"/>
  </r>
  <r>
    <s v="342-65-4817"/>
    <x v="1"/>
    <x v="1"/>
    <x v="0"/>
    <x v="1"/>
    <x v="0"/>
    <n v="86.8"/>
    <x v="6"/>
    <n v="13.020000000000039"/>
    <x v="178"/>
    <x v="26"/>
    <x v="157"/>
    <x v="0"/>
    <x v="178"/>
    <n v="4.7619047619047752"/>
    <n v="13.020000000000039"/>
    <n v="9.9"/>
  </r>
  <r>
    <s v="130-98-8941"/>
    <x v="1"/>
    <x v="1"/>
    <x v="1"/>
    <x v="1"/>
    <x v="5"/>
    <n v="64.260000000000005"/>
    <x v="0"/>
    <n v="22.490999999999929"/>
    <x v="179"/>
    <x v="57"/>
    <x v="158"/>
    <x v="1"/>
    <x v="179"/>
    <n v="4.7619047619047592"/>
    <n v="22.490999999999985"/>
    <n v="5.7"/>
  </r>
  <r>
    <s v="434-83-9547"/>
    <x v="1"/>
    <x v="1"/>
    <x v="0"/>
    <x v="1"/>
    <x v="4"/>
    <n v="38.47"/>
    <x v="2"/>
    <n v="15.388000000000034"/>
    <x v="180"/>
    <x v="54"/>
    <x v="159"/>
    <x v="1"/>
    <x v="180"/>
    <n v="4.7619047619047716"/>
    <n v="15.388000000000034"/>
    <n v="7.7"/>
  </r>
  <r>
    <s v="851-28-6367"/>
    <x v="0"/>
    <x v="0"/>
    <x v="0"/>
    <x v="1"/>
    <x v="3"/>
    <n v="15.05"/>
    <x v="4"/>
    <n v="12.25"/>
    <x v="181"/>
    <x v="28"/>
    <x v="60"/>
    <x v="0"/>
    <x v="181"/>
    <n v="4.7619047619047619"/>
    <n v="7.75"/>
    <n v="8"/>
  </r>
  <r>
    <s v="824-88-3614"/>
    <x v="1"/>
    <x v="1"/>
    <x v="1"/>
    <x v="1"/>
    <x v="0"/>
    <n v="34.31"/>
    <x v="2"/>
    <n v="13.72399999999999"/>
    <x v="182"/>
    <x v="25"/>
    <x v="160"/>
    <x v="0"/>
    <x v="182"/>
    <n v="4.7619047619047583"/>
    <n v="13.72399999999999"/>
    <n v="5.7"/>
  </r>
  <r>
    <s v="586-25-0848"/>
    <x v="0"/>
    <x v="0"/>
    <x v="1"/>
    <x v="0"/>
    <x v="3"/>
    <n v="12.34"/>
    <x v="0"/>
    <n v="4.3190000000000026"/>
    <x v="183"/>
    <x v="31"/>
    <x v="161"/>
    <x v="2"/>
    <x v="183"/>
    <n v="4.7619047619047654"/>
    <n v="4.3190000000000026"/>
    <n v="6.7"/>
  </r>
  <r>
    <s v="895-66-0685"/>
    <x v="2"/>
    <x v="2"/>
    <x v="0"/>
    <x v="1"/>
    <x v="4"/>
    <n v="18.079999999999998"/>
    <x v="6"/>
    <n v="2.7120000000000033"/>
    <x v="184"/>
    <x v="19"/>
    <x v="162"/>
    <x v="0"/>
    <x v="184"/>
    <n v="4.7619047619047556"/>
    <n v="2.7119999999999962"/>
    <n v="8"/>
  </r>
  <r>
    <s v="305-14-0245"/>
    <x v="2"/>
    <x v="2"/>
    <x v="0"/>
    <x v="0"/>
    <x v="2"/>
    <n v="94.49"/>
    <x v="2"/>
    <n v="37.796000000000049"/>
    <x v="185"/>
    <x v="2"/>
    <x v="163"/>
    <x v="0"/>
    <x v="185"/>
    <n v="4.7619047619047681"/>
    <n v="37.796000000000049"/>
    <n v="7.5"/>
  </r>
  <r>
    <s v="732-04-5373"/>
    <x v="2"/>
    <x v="2"/>
    <x v="0"/>
    <x v="1"/>
    <x v="2"/>
    <n v="46.47"/>
    <x v="7"/>
    <n v="9.2940000000000111"/>
    <x v="186"/>
    <x v="4"/>
    <x v="164"/>
    <x v="1"/>
    <x v="186"/>
    <n v="4.7619047619047672"/>
    <n v="9.2940000000000111"/>
    <n v="7"/>
  </r>
  <r>
    <s v="400-60-7251"/>
    <x v="0"/>
    <x v="0"/>
    <x v="1"/>
    <x v="1"/>
    <x v="2"/>
    <n v="74.069999999999993"/>
    <x v="8"/>
    <n v="3.7035000000000053"/>
    <x v="187"/>
    <x v="34"/>
    <x v="165"/>
    <x v="0"/>
    <x v="187"/>
    <n v="4.761904761904769"/>
    <n v="3.7035000000000053"/>
    <n v="9.9"/>
  </r>
  <r>
    <s v="593-65-1552"/>
    <x v="1"/>
    <x v="1"/>
    <x v="1"/>
    <x v="0"/>
    <x v="2"/>
    <n v="69.81"/>
    <x v="7"/>
    <n v="13.961999999999989"/>
    <x v="188"/>
    <x v="26"/>
    <x v="166"/>
    <x v="2"/>
    <x v="188"/>
    <n v="4.7619047619047583"/>
    <n v="13.961999999999989"/>
    <n v="5.9"/>
  </r>
  <r>
    <s v="284-34-9626"/>
    <x v="2"/>
    <x v="2"/>
    <x v="1"/>
    <x v="0"/>
    <x v="2"/>
    <n v="77.040000000000006"/>
    <x v="6"/>
    <n v="11.555999999999983"/>
    <x v="189"/>
    <x v="48"/>
    <x v="17"/>
    <x v="2"/>
    <x v="189"/>
    <n v="4.7619047619047556"/>
    <n v="11.555999999999983"/>
    <n v="7.2"/>
  </r>
  <r>
    <s v="437-58-8131"/>
    <x v="2"/>
    <x v="2"/>
    <x v="1"/>
    <x v="0"/>
    <x v="5"/>
    <n v="73.52"/>
    <x v="5"/>
    <n v="7.3520000000000039"/>
    <x v="190"/>
    <x v="15"/>
    <x v="167"/>
    <x v="0"/>
    <x v="190"/>
    <n v="4.7619047619047645"/>
    <n v="7.3520000000000039"/>
    <n v="4.5999999999999996"/>
  </r>
  <r>
    <s v="286-43-6208"/>
    <x v="1"/>
    <x v="1"/>
    <x v="1"/>
    <x v="0"/>
    <x v="4"/>
    <n v="87.8"/>
    <x v="9"/>
    <n v="39.510000000000105"/>
    <x v="191"/>
    <x v="32"/>
    <x v="168"/>
    <x v="1"/>
    <x v="191"/>
    <n v="4.761904761904761"/>
    <n v="39.509999999999991"/>
    <n v="9.1999999999999993"/>
  </r>
  <r>
    <s v="641-43-2399"/>
    <x v="2"/>
    <x v="2"/>
    <x v="1"/>
    <x v="1"/>
    <x v="2"/>
    <n v="25.55"/>
    <x v="7"/>
    <n v="5.1099999999999994"/>
    <x v="192"/>
    <x v="53"/>
    <x v="169"/>
    <x v="0"/>
    <x v="192"/>
    <n v="4.761904761904761"/>
    <n v="5.1099999999999994"/>
    <n v="5.7"/>
  </r>
  <r>
    <s v="831-07-6050"/>
    <x v="0"/>
    <x v="0"/>
    <x v="1"/>
    <x v="1"/>
    <x v="1"/>
    <n v="32.71"/>
    <x v="1"/>
    <n v="8.1774999999999807"/>
    <x v="193"/>
    <x v="35"/>
    <x v="170"/>
    <x v="2"/>
    <x v="193"/>
    <n v="4.7619047619047503"/>
    <n v="8.1774999999999807"/>
    <n v="9.9"/>
  </r>
  <r>
    <s v="556-86-3144"/>
    <x v="1"/>
    <x v="1"/>
    <x v="0"/>
    <x v="0"/>
    <x v="5"/>
    <n v="74.290000000000006"/>
    <x v="8"/>
    <n v="3.7144999999999868"/>
    <x v="194"/>
    <x v="50"/>
    <x v="171"/>
    <x v="1"/>
    <x v="194"/>
    <n v="4.7619047619047459"/>
    <n v="3.7144999999999868"/>
    <n v="5"/>
  </r>
  <r>
    <s v="848-24-9445"/>
    <x v="1"/>
    <x v="1"/>
    <x v="0"/>
    <x v="1"/>
    <x v="0"/>
    <n v="43.7"/>
    <x v="5"/>
    <n v="4.3699999999999903"/>
    <x v="195"/>
    <x v="58"/>
    <x v="172"/>
    <x v="1"/>
    <x v="195"/>
    <n v="4.7619047619047521"/>
    <n v="4.3699999999999903"/>
    <n v="4.9000000000000004"/>
  </r>
  <r>
    <s v="856-22-8149"/>
    <x v="0"/>
    <x v="0"/>
    <x v="1"/>
    <x v="0"/>
    <x v="2"/>
    <n v="25.29"/>
    <x v="8"/>
    <n v="1.2645000000000017"/>
    <x v="196"/>
    <x v="28"/>
    <x v="173"/>
    <x v="0"/>
    <x v="196"/>
    <n v="4.761904761904769"/>
    <n v="1.2645000000000017"/>
    <n v="6.1"/>
  </r>
  <r>
    <s v="699-01-4164"/>
    <x v="1"/>
    <x v="1"/>
    <x v="1"/>
    <x v="1"/>
    <x v="0"/>
    <n v="41.5"/>
    <x v="7"/>
    <n v="8.3000000000000114"/>
    <x v="197"/>
    <x v="41"/>
    <x v="174"/>
    <x v="2"/>
    <x v="197"/>
    <n v="4.7619047619047681"/>
    <n v="8.3000000000000114"/>
    <n v="8.1999999999999993"/>
  </r>
  <r>
    <s v="420-11-4919"/>
    <x v="1"/>
    <x v="1"/>
    <x v="0"/>
    <x v="0"/>
    <x v="4"/>
    <n v="71.39"/>
    <x v="1"/>
    <n v="17.847500000000025"/>
    <x v="198"/>
    <x v="21"/>
    <x v="129"/>
    <x v="2"/>
    <x v="198"/>
    <n v="4.761904761904769"/>
    <n v="17.847500000000025"/>
    <n v="5.5"/>
  </r>
  <r>
    <s v="606-80-4905"/>
    <x v="1"/>
    <x v="1"/>
    <x v="0"/>
    <x v="0"/>
    <x v="3"/>
    <n v="19.149999999999999"/>
    <x v="3"/>
    <n v="5.7450000000000045"/>
    <x v="199"/>
    <x v="71"/>
    <x v="175"/>
    <x v="2"/>
    <x v="199"/>
    <n v="4.7619047619047539"/>
    <n v="5.7449999999999903"/>
    <n v="6.8"/>
  </r>
  <r>
    <s v="542-41-0513"/>
    <x v="2"/>
    <x v="2"/>
    <x v="0"/>
    <x v="0"/>
    <x v="1"/>
    <n v="57.49"/>
    <x v="7"/>
    <n v="11.49799999999999"/>
    <x v="200"/>
    <x v="20"/>
    <x v="176"/>
    <x v="1"/>
    <x v="200"/>
    <n v="4.7619047619047583"/>
    <n v="11.49799999999999"/>
    <n v="6.6"/>
  </r>
  <r>
    <s v="426-39-2418"/>
    <x v="1"/>
    <x v="1"/>
    <x v="1"/>
    <x v="1"/>
    <x v="1"/>
    <n v="61.41"/>
    <x v="0"/>
    <n v="21.493499999999983"/>
    <x v="201"/>
    <x v="78"/>
    <x v="177"/>
    <x v="1"/>
    <x v="201"/>
    <n v="4.7619047619047583"/>
    <n v="21.493499999999983"/>
    <n v="9.8000000000000007"/>
  </r>
  <r>
    <s v="875-46-5808"/>
    <x v="2"/>
    <x v="2"/>
    <x v="0"/>
    <x v="1"/>
    <x v="0"/>
    <n v="25.09"/>
    <x v="4"/>
    <n v="21.049999999999983"/>
    <x v="202"/>
    <x v="10"/>
    <x v="178"/>
    <x v="0"/>
    <x v="202"/>
    <n v="4.7619047619047583"/>
    <n v="12.949999999999989"/>
    <n v="8.6999999999999993"/>
  </r>
  <r>
    <s v="394-43-4238"/>
    <x v="2"/>
    <x v="2"/>
    <x v="0"/>
    <x v="1"/>
    <x v="2"/>
    <n v="17.77"/>
    <x v="1"/>
    <n v="4.4425000000000097"/>
    <x v="203"/>
    <x v="42"/>
    <x v="179"/>
    <x v="2"/>
    <x v="203"/>
    <n v="4.7619047619047716"/>
    <n v="4.4425000000000097"/>
    <n v="5.4"/>
  </r>
  <r>
    <s v="749-24-1565"/>
    <x v="0"/>
    <x v="0"/>
    <x v="1"/>
    <x v="0"/>
    <x v="0"/>
    <n v="23.03"/>
    <x v="9"/>
    <n v="10.363499999999988"/>
    <x v="204"/>
    <x v="75"/>
    <x v="110"/>
    <x v="0"/>
    <x v="204"/>
    <n v="4.7619047619047556"/>
    <n v="10.363499999999988"/>
    <n v="7.9"/>
  </r>
  <r>
    <s v="672-51-8681"/>
    <x v="1"/>
    <x v="1"/>
    <x v="0"/>
    <x v="0"/>
    <x v="1"/>
    <n v="66.650000000000006"/>
    <x v="9"/>
    <n v="29.99249999999995"/>
    <x v="205"/>
    <x v="72"/>
    <x v="96"/>
    <x v="2"/>
    <x v="205"/>
    <n v="4.7619047619047539"/>
    <n v="29.99249999999995"/>
    <n v="9.6999999999999993"/>
  </r>
  <r>
    <s v="263-87-5680"/>
    <x v="1"/>
    <x v="1"/>
    <x v="0"/>
    <x v="0"/>
    <x v="2"/>
    <n v="28.53"/>
    <x v="4"/>
    <n v="14.264999999999986"/>
    <x v="206"/>
    <x v="79"/>
    <x v="180"/>
    <x v="0"/>
    <x v="206"/>
    <n v="4.7619047619047574"/>
    <n v="14.264999999999986"/>
    <n v="7.8"/>
  </r>
  <r>
    <s v="573-58-9734"/>
    <x v="2"/>
    <x v="2"/>
    <x v="1"/>
    <x v="0"/>
    <x v="5"/>
    <n v="30.37"/>
    <x v="6"/>
    <n v="4.555499999999995"/>
    <x v="207"/>
    <x v="61"/>
    <x v="167"/>
    <x v="0"/>
    <x v="207"/>
    <n v="4.7619047619047565"/>
    <n v="4.555499999999995"/>
    <n v="5.0999999999999996"/>
  </r>
  <r>
    <s v="817-69-8206"/>
    <x v="2"/>
    <x v="2"/>
    <x v="1"/>
    <x v="0"/>
    <x v="1"/>
    <n v="99.73"/>
    <x v="9"/>
    <n v="44.878499999999917"/>
    <x v="208"/>
    <x v="22"/>
    <x v="144"/>
    <x v="2"/>
    <x v="208"/>
    <n v="4.761904761904753"/>
    <n v="44.878499999999917"/>
    <n v="6.5"/>
  </r>
  <r>
    <s v="888-02-0338"/>
    <x v="0"/>
    <x v="0"/>
    <x v="1"/>
    <x v="1"/>
    <x v="1"/>
    <n v="26.23"/>
    <x v="9"/>
    <n v="11.803500000000014"/>
    <x v="209"/>
    <x v="25"/>
    <x v="181"/>
    <x v="0"/>
    <x v="209"/>
    <n v="4.7619047619047672"/>
    <n v="11.803500000000014"/>
    <n v="5.9"/>
  </r>
  <r>
    <s v="677-11-0152"/>
    <x v="1"/>
    <x v="1"/>
    <x v="1"/>
    <x v="0"/>
    <x v="4"/>
    <n v="93.26"/>
    <x v="9"/>
    <n v="41.966999999999985"/>
    <x v="210"/>
    <x v="65"/>
    <x v="182"/>
    <x v="1"/>
    <x v="210"/>
    <n v="4.7619047619047601"/>
    <n v="41.966999999999985"/>
    <n v="8.8000000000000007"/>
  </r>
  <r>
    <s v="142-63-6033"/>
    <x v="2"/>
    <x v="2"/>
    <x v="1"/>
    <x v="1"/>
    <x v="2"/>
    <n v="92.36"/>
    <x v="1"/>
    <n v="23.089999999999975"/>
    <x v="211"/>
    <x v="80"/>
    <x v="151"/>
    <x v="0"/>
    <x v="211"/>
    <n v="4.7619047619047565"/>
    <n v="23.089999999999975"/>
    <n v="4.9000000000000004"/>
  </r>
  <r>
    <s v="656-16-1063"/>
    <x v="2"/>
    <x v="2"/>
    <x v="1"/>
    <x v="1"/>
    <x v="3"/>
    <n v="46.42"/>
    <x v="6"/>
    <n v="6.9630000000000223"/>
    <x v="212"/>
    <x v="72"/>
    <x v="38"/>
    <x v="2"/>
    <x v="212"/>
    <n v="4.761904761904777"/>
    <n v="6.9630000000000223"/>
    <n v="4.4000000000000004"/>
  </r>
  <r>
    <s v="891-58-8335"/>
    <x v="2"/>
    <x v="2"/>
    <x v="0"/>
    <x v="0"/>
    <x v="3"/>
    <n v="29.61"/>
    <x v="0"/>
    <n v="10.363500000000016"/>
    <x v="204"/>
    <x v="16"/>
    <x v="183"/>
    <x v="1"/>
    <x v="204"/>
    <n v="4.7619047619047556"/>
    <n v="10.363499999999988"/>
    <n v="6.5"/>
  </r>
  <r>
    <s v="802-43-8934"/>
    <x v="0"/>
    <x v="0"/>
    <x v="1"/>
    <x v="1"/>
    <x v="2"/>
    <n v="18.28"/>
    <x v="8"/>
    <n v="0.91399999999999793"/>
    <x v="213"/>
    <x v="23"/>
    <x v="184"/>
    <x v="2"/>
    <x v="213"/>
    <n v="4.7619047619047512"/>
    <n v="0.91399999999999793"/>
    <n v="8.3000000000000007"/>
  </r>
  <r>
    <s v="560-30-5617"/>
    <x v="2"/>
    <x v="2"/>
    <x v="1"/>
    <x v="0"/>
    <x v="3"/>
    <n v="24.77"/>
    <x v="1"/>
    <n v="6.1924999999999955"/>
    <x v="214"/>
    <x v="62"/>
    <x v="185"/>
    <x v="1"/>
    <x v="214"/>
    <n v="4.7619047619047592"/>
    <n v="6.1924999999999955"/>
    <n v="8.5"/>
  </r>
  <r>
    <s v="319-74-2561"/>
    <x v="0"/>
    <x v="0"/>
    <x v="0"/>
    <x v="0"/>
    <x v="1"/>
    <n v="94.64"/>
    <x v="6"/>
    <n v="14.19599999999997"/>
    <x v="215"/>
    <x v="81"/>
    <x v="186"/>
    <x v="1"/>
    <x v="215"/>
    <n v="4.7619047619047521"/>
    <n v="14.19599999999997"/>
    <n v="5.5"/>
  </r>
  <r>
    <s v="549-03-9315"/>
    <x v="2"/>
    <x v="2"/>
    <x v="1"/>
    <x v="1"/>
    <x v="5"/>
    <n v="94.87"/>
    <x v="2"/>
    <n v="37.947999999999979"/>
    <x v="216"/>
    <x v="12"/>
    <x v="187"/>
    <x v="0"/>
    <x v="216"/>
    <n v="4.7619047619047592"/>
    <n v="37.947999999999979"/>
    <n v="8.6999999999999993"/>
  </r>
  <r>
    <s v="790-29-1172"/>
    <x v="2"/>
    <x v="2"/>
    <x v="1"/>
    <x v="0"/>
    <x v="4"/>
    <n v="57.34"/>
    <x v="6"/>
    <n v="8.6009999999999991"/>
    <x v="217"/>
    <x v="24"/>
    <x v="188"/>
    <x v="2"/>
    <x v="217"/>
    <n v="4.761904761904761"/>
    <n v="8.6009999999999991"/>
    <n v="7.9"/>
  </r>
  <r>
    <s v="239-36-3640"/>
    <x v="2"/>
    <x v="2"/>
    <x v="1"/>
    <x v="1"/>
    <x v="1"/>
    <n v="45.35"/>
    <x v="3"/>
    <n v="13.604999999999961"/>
    <x v="218"/>
    <x v="82"/>
    <x v="189"/>
    <x v="0"/>
    <x v="218"/>
    <n v="4.7619047619047485"/>
    <n v="13.604999999999961"/>
    <n v="6.1"/>
  </r>
  <r>
    <s v="468-01-2051"/>
    <x v="2"/>
    <x v="2"/>
    <x v="1"/>
    <x v="1"/>
    <x v="4"/>
    <n v="62.08"/>
    <x v="0"/>
    <n v="21.728000000000009"/>
    <x v="219"/>
    <x v="43"/>
    <x v="190"/>
    <x v="0"/>
    <x v="219"/>
    <n v="4.7619047619047636"/>
    <n v="21.728000000000009"/>
    <n v="5.4"/>
  </r>
  <r>
    <s v="389-25-3394"/>
    <x v="1"/>
    <x v="1"/>
    <x v="1"/>
    <x v="1"/>
    <x v="1"/>
    <n v="11.81"/>
    <x v="1"/>
    <n v="2.9524999999999935"/>
    <x v="220"/>
    <x v="21"/>
    <x v="191"/>
    <x v="1"/>
    <x v="220"/>
    <n v="4.7619047619047628"/>
    <n v="2.9525000000000006"/>
    <n v="9.4"/>
  </r>
  <r>
    <s v="279-62-1445"/>
    <x v="1"/>
    <x v="1"/>
    <x v="0"/>
    <x v="0"/>
    <x v="5"/>
    <n v="12.54"/>
    <x v="8"/>
    <n v="0.62700000000000067"/>
    <x v="221"/>
    <x v="81"/>
    <x v="192"/>
    <x v="1"/>
    <x v="221"/>
    <n v="4.7619047619047672"/>
    <n v="0.62700000000000067"/>
    <n v="8.1999999999999993"/>
  </r>
  <r>
    <s v="213-72-6612"/>
    <x v="0"/>
    <x v="0"/>
    <x v="1"/>
    <x v="1"/>
    <x v="4"/>
    <n v="43.25"/>
    <x v="5"/>
    <n v="4.3250000000000028"/>
    <x v="222"/>
    <x v="80"/>
    <x v="193"/>
    <x v="1"/>
    <x v="222"/>
    <n v="4.7619047619047654"/>
    <n v="4.3250000000000028"/>
    <n v="6.2"/>
  </r>
  <r>
    <s v="746-68-6593"/>
    <x v="1"/>
    <x v="1"/>
    <x v="0"/>
    <x v="0"/>
    <x v="3"/>
    <n v="87.16"/>
    <x v="5"/>
    <n v="8.7160000000000082"/>
    <x v="223"/>
    <x v="83"/>
    <x v="194"/>
    <x v="2"/>
    <x v="223"/>
    <n v="4.7619047619047663"/>
    <n v="8.7160000000000082"/>
    <n v="9.6999999999999993"/>
  </r>
  <r>
    <s v="836-82-5858"/>
    <x v="2"/>
    <x v="2"/>
    <x v="0"/>
    <x v="1"/>
    <x v="0"/>
    <n v="69.37"/>
    <x v="9"/>
    <n v="31.216499999999996"/>
    <x v="224"/>
    <x v="53"/>
    <x v="195"/>
    <x v="0"/>
    <x v="224"/>
    <n v="4.761904761904761"/>
    <n v="31.216499999999996"/>
    <n v="4"/>
  </r>
  <r>
    <s v="583-72-1480"/>
    <x v="1"/>
    <x v="1"/>
    <x v="0"/>
    <x v="1"/>
    <x v="1"/>
    <n v="37.06"/>
    <x v="7"/>
    <n v="7.4119999999999777"/>
    <x v="225"/>
    <x v="82"/>
    <x v="75"/>
    <x v="0"/>
    <x v="225"/>
    <n v="4.7619047619047477"/>
    <n v="7.4119999999999777"/>
    <n v="9.6999999999999993"/>
  </r>
  <r>
    <s v="466-61-5506"/>
    <x v="2"/>
    <x v="2"/>
    <x v="0"/>
    <x v="0"/>
    <x v="1"/>
    <n v="90.7"/>
    <x v="3"/>
    <n v="27.209999999999923"/>
    <x v="226"/>
    <x v="84"/>
    <x v="196"/>
    <x v="1"/>
    <x v="226"/>
    <n v="4.7619047619047485"/>
    <n v="27.209999999999923"/>
    <n v="5.3"/>
  </r>
  <r>
    <s v="721-86-6247"/>
    <x v="0"/>
    <x v="0"/>
    <x v="1"/>
    <x v="0"/>
    <x v="2"/>
    <n v="63.42"/>
    <x v="2"/>
    <n v="25.367999999999938"/>
    <x v="227"/>
    <x v="16"/>
    <x v="197"/>
    <x v="0"/>
    <x v="227"/>
    <n v="4.7619047619047503"/>
    <n v="25.367999999999938"/>
    <n v="7.4"/>
  </r>
  <r>
    <s v="289-65-5721"/>
    <x v="2"/>
    <x v="2"/>
    <x v="1"/>
    <x v="0"/>
    <x v="5"/>
    <n v="81.37"/>
    <x v="5"/>
    <n v="8.1370000000000005"/>
    <x v="228"/>
    <x v="53"/>
    <x v="198"/>
    <x v="1"/>
    <x v="228"/>
    <n v="4.7619047619047619"/>
    <n v="8.1370000000000005"/>
    <n v="6.5"/>
  </r>
  <r>
    <s v="545-46-3100"/>
    <x v="2"/>
    <x v="2"/>
    <x v="0"/>
    <x v="0"/>
    <x v="1"/>
    <n v="10.59"/>
    <x v="6"/>
    <n v="1.5884999999999998"/>
    <x v="229"/>
    <x v="41"/>
    <x v="199"/>
    <x v="2"/>
    <x v="229"/>
    <n v="4.7619047619047619"/>
    <n v="1.5884999999999998"/>
    <n v="8.6999999999999993"/>
  </r>
  <r>
    <s v="418-02-5978"/>
    <x v="2"/>
    <x v="2"/>
    <x v="1"/>
    <x v="0"/>
    <x v="0"/>
    <n v="84.09"/>
    <x v="9"/>
    <n v="37.840499999999906"/>
    <x v="230"/>
    <x v="48"/>
    <x v="200"/>
    <x v="1"/>
    <x v="230"/>
    <n v="4.7619047619047645"/>
    <n v="37.84050000000002"/>
    <n v="8"/>
  </r>
  <r>
    <s v="269-04-5750"/>
    <x v="2"/>
    <x v="2"/>
    <x v="0"/>
    <x v="1"/>
    <x v="5"/>
    <n v="73.819999999999993"/>
    <x v="7"/>
    <n v="14.76400000000001"/>
    <x v="231"/>
    <x v="81"/>
    <x v="201"/>
    <x v="1"/>
    <x v="231"/>
    <n v="4.7619047619047654"/>
    <n v="14.76400000000001"/>
    <n v="6.7"/>
  </r>
  <r>
    <s v="157-13-5295"/>
    <x v="0"/>
    <x v="0"/>
    <x v="0"/>
    <x v="1"/>
    <x v="0"/>
    <n v="51.94"/>
    <x v="4"/>
    <n v="25.970000000000027"/>
    <x v="232"/>
    <x v="11"/>
    <x v="202"/>
    <x v="0"/>
    <x v="232"/>
    <n v="4.7619047619047672"/>
    <n v="25.970000000000027"/>
    <n v="6.5"/>
  </r>
  <r>
    <s v="645-78-8093"/>
    <x v="0"/>
    <x v="0"/>
    <x v="1"/>
    <x v="0"/>
    <x v="3"/>
    <n v="93.14"/>
    <x v="5"/>
    <n v="9.313999999999993"/>
    <x v="233"/>
    <x v="40"/>
    <x v="203"/>
    <x v="0"/>
    <x v="233"/>
    <n v="4.7619047619047583"/>
    <n v="9.313999999999993"/>
    <n v="4.0999999999999996"/>
  </r>
  <r>
    <s v="211-30-9270"/>
    <x v="1"/>
    <x v="1"/>
    <x v="1"/>
    <x v="1"/>
    <x v="0"/>
    <n v="17.41"/>
    <x v="1"/>
    <n v="4.3525000000000063"/>
    <x v="234"/>
    <x v="26"/>
    <x v="204"/>
    <x v="2"/>
    <x v="234"/>
    <n v="4.761904761904769"/>
    <n v="4.3525000000000063"/>
    <n v="4.9000000000000004"/>
  </r>
  <r>
    <s v="755-12-3214"/>
    <x v="1"/>
    <x v="1"/>
    <x v="0"/>
    <x v="0"/>
    <x v="5"/>
    <n v="44.22"/>
    <x v="1"/>
    <n v="11.055000000000007"/>
    <x v="235"/>
    <x v="19"/>
    <x v="205"/>
    <x v="2"/>
    <x v="235"/>
    <n v="4.7619047619047654"/>
    <n v="11.055000000000007"/>
    <n v="8.6"/>
  </r>
  <r>
    <s v="346-84-3103"/>
    <x v="2"/>
    <x v="2"/>
    <x v="0"/>
    <x v="0"/>
    <x v="1"/>
    <n v="13.22"/>
    <x v="1"/>
    <n v="3.3049999999999926"/>
    <x v="236"/>
    <x v="22"/>
    <x v="206"/>
    <x v="1"/>
    <x v="236"/>
    <n v="4.7619047619047716"/>
    <n v="3.3050000000000068"/>
    <n v="4.3"/>
  </r>
  <r>
    <s v="478-06-7835"/>
    <x v="0"/>
    <x v="0"/>
    <x v="1"/>
    <x v="1"/>
    <x v="5"/>
    <n v="89.69"/>
    <x v="8"/>
    <n v="4.484499999999997"/>
    <x v="237"/>
    <x v="83"/>
    <x v="207"/>
    <x v="0"/>
    <x v="237"/>
    <n v="4.7619047619047592"/>
    <n v="4.484499999999997"/>
    <n v="4.9000000000000004"/>
  </r>
  <r>
    <s v="540-11-4336"/>
    <x v="0"/>
    <x v="0"/>
    <x v="1"/>
    <x v="1"/>
    <x v="4"/>
    <n v="24.94"/>
    <x v="9"/>
    <n v="11.222999999999985"/>
    <x v="238"/>
    <x v="83"/>
    <x v="208"/>
    <x v="2"/>
    <x v="238"/>
    <n v="4.7619047619047556"/>
    <n v="11.222999999999985"/>
    <n v="5.6"/>
  </r>
  <r>
    <s v="448-81-5016"/>
    <x v="0"/>
    <x v="0"/>
    <x v="1"/>
    <x v="1"/>
    <x v="0"/>
    <n v="59.77"/>
    <x v="5"/>
    <n v="5.9769999999999897"/>
    <x v="239"/>
    <x v="16"/>
    <x v="209"/>
    <x v="2"/>
    <x v="239"/>
    <n v="4.7619047619047539"/>
    <n v="5.9769999999999897"/>
    <n v="5.8"/>
  </r>
  <r>
    <s v="142-72-4741"/>
    <x v="1"/>
    <x v="1"/>
    <x v="0"/>
    <x v="1"/>
    <x v="5"/>
    <n v="93.2"/>
    <x v="5"/>
    <n v="9.3199999999999932"/>
    <x v="240"/>
    <x v="38"/>
    <x v="78"/>
    <x v="2"/>
    <x v="240"/>
    <n v="4.7619047619047583"/>
    <n v="9.3199999999999932"/>
    <n v="6"/>
  </r>
  <r>
    <s v="217-58-1179"/>
    <x v="0"/>
    <x v="0"/>
    <x v="0"/>
    <x v="1"/>
    <x v="2"/>
    <n v="62.65"/>
    <x v="7"/>
    <n v="12.530000000000001"/>
    <x v="241"/>
    <x v="0"/>
    <x v="210"/>
    <x v="1"/>
    <x v="241"/>
    <n v="4.7619047619047628"/>
    <n v="12.530000000000001"/>
    <n v="4.2"/>
  </r>
  <r>
    <s v="376-02-8238"/>
    <x v="2"/>
    <x v="2"/>
    <x v="1"/>
    <x v="1"/>
    <x v="2"/>
    <n v="93.87"/>
    <x v="2"/>
    <n v="37.548000000000002"/>
    <x v="242"/>
    <x v="30"/>
    <x v="211"/>
    <x v="2"/>
    <x v="242"/>
    <n v="4.7619047619047619"/>
    <n v="37.548000000000002"/>
    <n v="8.3000000000000007"/>
  </r>
  <r>
    <s v="530-90-9855"/>
    <x v="0"/>
    <x v="0"/>
    <x v="0"/>
    <x v="1"/>
    <x v="2"/>
    <n v="47.59"/>
    <x v="2"/>
    <n v="19.035999999999945"/>
    <x v="243"/>
    <x v="17"/>
    <x v="212"/>
    <x v="1"/>
    <x v="243"/>
    <n v="4.7619047619047485"/>
    <n v="19.035999999999945"/>
    <n v="5.7"/>
  </r>
  <r>
    <s v="866-05-7563"/>
    <x v="2"/>
    <x v="2"/>
    <x v="0"/>
    <x v="0"/>
    <x v="1"/>
    <n v="81.400000000000006"/>
    <x v="6"/>
    <n v="12.210000000000008"/>
    <x v="244"/>
    <x v="57"/>
    <x v="213"/>
    <x v="1"/>
    <x v="244"/>
    <n v="4.7619047619047752"/>
    <n v="12.210000000000036"/>
    <n v="4.8"/>
  </r>
  <r>
    <s v="604-70-6476"/>
    <x v="0"/>
    <x v="0"/>
    <x v="0"/>
    <x v="1"/>
    <x v="5"/>
    <n v="17.940000000000001"/>
    <x v="1"/>
    <n v="4.4849999999999994"/>
    <x v="245"/>
    <x v="54"/>
    <x v="214"/>
    <x v="0"/>
    <x v="245"/>
    <n v="4.761904761904761"/>
    <n v="4.4849999999999994"/>
    <n v="6.8"/>
  </r>
  <r>
    <s v="799-71-1548"/>
    <x v="0"/>
    <x v="0"/>
    <x v="0"/>
    <x v="1"/>
    <x v="1"/>
    <n v="77.72"/>
    <x v="7"/>
    <n v="15.543999999999983"/>
    <x v="246"/>
    <x v="27"/>
    <x v="215"/>
    <x v="2"/>
    <x v="246"/>
    <n v="4.7619047619047565"/>
    <n v="15.543999999999983"/>
    <n v="8.8000000000000007"/>
  </r>
  <r>
    <s v="785-13-7708"/>
    <x v="2"/>
    <x v="2"/>
    <x v="1"/>
    <x v="1"/>
    <x v="4"/>
    <n v="73.06"/>
    <x v="0"/>
    <n v="25.57099999999997"/>
    <x v="247"/>
    <x v="78"/>
    <x v="216"/>
    <x v="2"/>
    <x v="247"/>
    <n v="4.7619047619047556"/>
    <n v="25.57099999999997"/>
    <n v="4.2"/>
  </r>
  <r>
    <s v="845-51-0542"/>
    <x v="2"/>
    <x v="2"/>
    <x v="0"/>
    <x v="1"/>
    <x v="4"/>
    <n v="46.55"/>
    <x v="9"/>
    <n v="20.947499999999991"/>
    <x v="248"/>
    <x v="30"/>
    <x v="217"/>
    <x v="0"/>
    <x v="248"/>
    <n v="4.7619047619047601"/>
    <n v="20.947499999999991"/>
    <n v="6.4"/>
  </r>
  <r>
    <s v="662-47-5456"/>
    <x v="1"/>
    <x v="1"/>
    <x v="0"/>
    <x v="1"/>
    <x v="5"/>
    <n v="35.19"/>
    <x v="4"/>
    <n v="17.595000000000027"/>
    <x v="249"/>
    <x v="85"/>
    <x v="216"/>
    <x v="2"/>
    <x v="249"/>
    <n v="4.761904761904769"/>
    <n v="17.595000000000027"/>
    <n v="8.4"/>
  </r>
  <r>
    <s v="883-17-4236"/>
    <x v="1"/>
    <x v="1"/>
    <x v="1"/>
    <x v="0"/>
    <x v="3"/>
    <n v="14.39"/>
    <x v="5"/>
    <n v="1.4390000000000001"/>
    <x v="250"/>
    <x v="22"/>
    <x v="143"/>
    <x v="2"/>
    <x v="250"/>
    <n v="4.7619047619047619"/>
    <n v="1.4390000000000001"/>
    <n v="7.2"/>
  </r>
  <r>
    <s v="290-68-2984"/>
    <x v="0"/>
    <x v="0"/>
    <x v="1"/>
    <x v="1"/>
    <x v="2"/>
    <n v="23.75"/>
    <x v="7"/>
    <n v="4.75"/>
    <x v="251"/>
    <x v="32"/>
    <x v="218"/>
    <x v="1"/>
    <x v="251"/>
    <n v="4.7619047619047619"/>
    <n v="4.75"/>
    <n v="5.2"/>
  </r>
  <r>
    <s v="704-11-6354"/>
    <x v="0"/>
    <x v="0"/>
    <x v="0"/>
    <x v="1"/>
    <x v="2"/>
    <n v="58.9"/>
    <x v="2"/>
    <n v="23.560000000000002"/>
    <x v="252"/>
    <x v="47"/>
    <x v="219"/>
    <x v="1"/>
    <x v="252"/>
    <n v="4.7619047619047628"/>
    <n v="23.560000000000002"/>
    <n v="8.9"/>
  </r>
  <r>
    <s v="110-48-7033"/>
    <x v="2"/>
    <x v="2"/>
    <x v="0"/>
    <x v="1"/>
    <x v="5"/>
    <n v="32.619999999999997"/>
    <x v="7"/>
    <n v="6.5240000000000009"/>
    <x v="253"/>
    <x v="71"/>
    <x v="146"/>
    <x v="1"/>
    <x v="253"/>
    <n v="4.7619047619047628"/>
    <n v="6.5240000000000009"/>
    <n v="9"/>
  </r>
  <r>
    <s v="366-93-0948"/>
    <x v="0"/>
    <x v="0"/>
    <x v="0"/>
    <x v="1"/>
    <x v="1"/>
    <n v="66.349999999999994"/>
    <x v="8"/>
    <n v="3.3175000000000097"/>
    <x v="254"/>
    <x v="82"/>
    <x v="220"/>
    <x v="2"/>
    <x v="254"/>
    <n v="4.7619047619047752"/>
    <n v="3.3175000000000097"/>
    <n v="9.6999999999999993"/>
  </r>
  <r>
    <s v="729-09-9681"/>
    <x v="0"/>
    <x v="0"/>
    <x v="0"/>
    <x v="1"/>
    <x v="2"/>
    <n v="25.91"/>
    <x v="3"/>
    <n v="7.7729999999999961"/>
    <x v="255"/>
    <x v="63"/>
    <x v="91"/>
    <x v="0"/>
    <x v="255"/>
    <n v="4.7619047619047592"/>
    <n v="7.7729999999999961"/>
    <n v="8.6999999999999993"/>
  </r>
  <r>
    <s v="151-16-1484"/>
    <x v="0"/>
    <x v="0"/>
    <x v="0"/>
    <x v="1"/>
    <x v="1"/>
    <n v="32.25"/>
    <x v="7"/>
    <n v="6.4499999999999886"/>
    <x v="256"/>
    <x v="77"/>
    <x v="192"/>
    <x v="0"/>
    <x v="256"/>
    <n v="4.7619047619047539"/>
    <n v="6.4499999999999886"/>
    <n v="6.5"/>
  </r>
  <r>
    <s v="380-94-4661"/>
    <x v="1"/>
    <x v="1"/>
    <x v="0"/>
    <x v="1"/>
    <x v="1"/>
    <n v="65.94"/>
    <x v="7"/>
    <n v="13.187999999999988"/>
    <x v="257"/>
    <x v="13"/>
    <x v="137"/>
    <x v="2"/>
    <x v="257"/>
    <n v="4.7619047619047583"/>
    <n v="13.187999999999988"/>
    <n v="6.9"/>
  </r>
  <r>
    <s v="850-41-9669"/>
    <x v="0"/>
    <x v="0"/>
    <x v="1"/>
    <x v="0"/>
    <x v="1"/>
    <n v="75.06"/>
    <x v="9"/>
    <n v="33.777000000000044"/>
    <x v="258"/>
    <x v="35"/>
    <x v="221"/>
    <x v="0"/>
    <x v="258"/>
    <n v="4.7619047619047681"/>
    <n v="33.777000000000044"/>
    <n v="6.2"/>
  </r>
  <r>
    <s v="821-07-3596"/>
    <x v="1"/>
    <x v="1"/>
    <x v="1"/>
    <x v="0"/>
    <x v="5"/>
    <n v="16.45"/>
    <x v="7"/>
    <n v="3.2900000000000063"/>
    <x v="259"/>
    <x v="37"/>
    <x v="222"/>
    <x v="0"/>
    <x v="259"/>
    <n v="4.7619047619047707"/>
    <n v="3.2900000000000063"/>
    <n v="5.6"/>
  </r>
  <r>
    <s v="655-85-5130"/>
    <x v="2"/>
    <x v="2"/>
    <x v="0"/>
    <x v="0"/>
    <x v="5"/>
    <n v="38.299999999999997"/>
    <x v="7"/>
    <n v="7.660000000000025"/>
    <x v="260"/>
    <x v="45"/>
    <x v="223"/>
    <x v="1"/>
    <x v="260"/>
    <n v="4.761904761904777"/>
    <n v="7.660000000000025"/>
    <n v="5.7"/>
  </r>
  <r>
    <s v="447-15-7839"/>
    <x v="0"/>
    <x v="0"/>
    <x v="0"/>
    <x v="0"/>
    <x v="3"/>
    <n v="22.24"/>
    <x v="4"/>
    <n v="11.120000000000033"/>
    <x v="261"/>
    <x v="57"/>
    <x v="224"/>
    <x v="1"/>
    <x v="261"/>
    <n v="4.7619047619047636"/>
    <n v="11.120000000000005"/>
    <n v="4.2"/>
  </r>
  <r>
    <s v="154-74-7179"/>
    <x v="2"/>
    <x v="2"/>
    <x v="1"/>
    <x v="1"/>
    <x v="3"/>
    <n v="54.45"/>
    <x v="8"/>
    <n v="2.7224999999999966"/>
    <x v="262"/>
    <x v="84"/>
    <x v="225"/>
    <x v="0"/>
    <x v="262"/>
    <n v="4.7619047619047556"/>
    <n v="2.7224999999999966"/>
    <n v="7.9"/>
  </r>
  <r>
    <s v="253-12-6086"/>
    <x v="0"/>
    <x v="0"/>
    <x v="0"/>
    <x v="0"/>
    <x v="3"/>
    <n v="98.4"/>
    <x v="0"/>
    <n v="34.439999999999941"/>
    <x v="263"/>
    <x v="41"/>
    <x v="31"/>
    <x v="2"/>
    <x v="263"/>
    <n v="4.761904761904769"/>
    <n v="34.440000000000055"/>
    <n v="8.6999999999999993"/>
  </r>
  <r>
    <s v="808-65-0703"/>
    <x v="1"/>
    <x v="1"/>
    <x v="1"/>
    <x v="1"/>
    <x v="2"/>
    <n v="35.47"/>
    <x v="7"/>
    <n v="7.0939999999999941"/>
    <x v="264"/>
    <x v="86"/>
    <x v="226"/>
    <x v="2"/>
    <x v="264"/>
    <n v="4.7619047619047583"/>
    <n v="7.0939999999999941"/>
    <n v="6.9"/>
  </r>
  <r>
    <s v="571-94-0759"/>
    <x v="2"/>
    <x v="2"/>
    <x v="0"/>
    <x v="0"/>
    <x v="4"/>
    <n v="74.599999999999994"/>
    <x v="4"/>
    <n v="37.299999999999955"/>
    <x v="265"/>
    <x v="66"/>
    <x v="227"/>
    <x v="1"/>
    <x v="265"/>
    <n v="4.7619047619047556"/>
    <n v="37.299999999999955"/>
    <n v="9.5"/>
  </r>
  <r>
    <s v="144-51-6085"/>
    <x v="0"/>
    <x v="0"/>
    <x v="0"/>
    <x v="1"/>
    <x v="2"/>
    <n v="70.739999999999995"/>
    <x v="7"/>
    <n v="14.148000000000025"/>
    <x v="266"/>
    <x v="0"/>
    <x v="228"/>
    <x v="2"/>
    <x v="266"/>
    <n v="4.7619047619047699"/>
    <n v="14.148000000000025"/>
    <n v="4.4000000000000004"/>
  </r>
  <r>
    <s v="731-14-2199"/>
    <x v="0"/>
    <x v="0"/>
    <x v="0"/>
    <x v="0"/>
    <x v="2"/>
    <n v="35.54"/>
    <x v="4"/>
    <n v="17.770000000000039"/>
    <x v="267"/>
    <x v="72"/>
    <x v="229"/>
    <x v="0"/>
    <x v="267"/>
    <n v="4.7619047619047716"/>
    <n v="17.770000000000039"/>
    <n v="7"/>
  </r>
  <r>
    <s v="783-09-1637"/>
    <x v="2"/>
    <x v="2"/>
    <x v="1"/>
    <x v="0"/>
    <x v="3"/>
    <n v="67.430000000000007"/>
    <x v="1"/>
    <n v="16.857499999999959"/>
    <x v="268"/>
    <x v="43"/>
    <x v="230"/>
    <x v="0"/>
    <x v="268"/>
    <n v="4.7619047619047663"/>
    <n v="16.857500000000016"/>
    <n v="6.3"/>
  </r>
  <r>
    <s v="687-15-1097"/>
    <x v="1"/>
    <x v="1"/>
    <x v="0"/>
    <x v="0"/>
    <x v="0"/>
    <n v="21.12"/>
    <x v="5"/>
    <n v="2.1119999999999948"/>
    <x v="269"/>
    <x v="75"/>
    <x v="151"/>
    <x v="1"/>
    <x v="269"/>
    <n v="4.7619047619047503"/>
    <n v="2.1119999999999948"/>
    <n v="9.6999999999999993"/>
  </r>
  <r>
    <s v="126-54-1082"/>
    <x v="0"/>
    <x v="0"/>
    <x v="0"/>
    <x v="0"/>
    <x v="2"/>
    <n v="21.54"/>
    <x v="9"/>
    <n v="9.6930000000000121"/>
    <x v="270"/>
    <x v="27"/>
    <x v="231"/>
    <x v="2"/>
    <x v="270"/>
    <n v="4.7619047619047539"/>
    <n v="9.6929999999999836"/>
    <n v="8.8000000000000007"/>
  </r>
  <r>
    <s v="633-91-1052"/>
    <x v="0"/>
    <x v="0"/>
    <x v="1"/>
    <x v="0"/>
    <x v="2"/>
    <n v="12.03"/>
    <x v="5"/>
    <n v="1.203000000000003"/>
    <x v="271"/>
    <x v="3"/>
    <x v="232"/>
    <x v="1"/>
    <x v="271"/>
    <n v="4.7619047619047734"/>
    <n v="1.203000000000003"/>
    <n v="5.0999999999999996"/>
  </r>
  <r>
    <s v="477-24-6490"/>
    <x v="2"/>
    <x v="2"/>
    <x v="1"/>
    <x v="0"/>
    <x v="0"/>
    <n v="99.71"/>
    <x v="3"/>
    <n v="29.913000000000011"/>
    <x v="272"/>
    <x v="84"/>
    <x v="233"/>
    <x v="0"/>
    <x v="272"/>
    <n v="4.7619047619047636"/>
    <n v="29.913000000000011"/>
    <n v="7.9"/>
  </r>
  <r>
    <s v="566-19-5475"/>
    <x v="2"/>
    <x v="2"/>
    <x v="1"/>
    <x v="1"/>
    <x v="5"/>
    <n v="47.97"/>
    <x v="0"/>
    <n v="16.789500000000032"/>
    <x v="273"/>
    <x v="27"/>
    <x v="234"/>
    <x v="1"/>
    <x v="273"/>
    <n v="4.7619047619047548"/>
    <n v="16.789499999999975"/>
    <n v="6.2"/>
  </r>
  <r>
    <s v="526-86-8552"/>
    <x v="1"/>
    <x v="1"/>
    <x v="0"/>
    <x v="0"/>
    <x v="2"/>
    <n v="21.82"/>
    <x v="4"/>
    <n v="10.910000000000025"/>
    <x v="274"/>
    <x v="27"/>
    <x v="24"/>
    <x v="1"/>
    <x v="274"/>
    <n v="4.7619047619047725"/>
    <n v="10.910000000000025"/>
    <n v="7.1"/>
  </r>
  <r>
    <s v="376-56-3573"/>
    <x v="1"/>
    <x v="1"/>
    <x v="1"/>
    <x v="0"/>
    <x v="5"/>
    <n v="95.42"/>
    <x v="7"/>
    <n v="19.084000000000003"/>
    <x v="275"/>
    <x v="30"/>
    <x v="2"/>
    <x v="0"/>
    <x v="275"/>
    <n v="4.7619047619047628"/>
    <n v="19.084000000000003"/>
    <n v="6.4"/>
  </r>
  <r>
    <s v="537-72-0426"/>
    <x v="1"/>
    <x v="1"/>
    <x v="0"/>
    <x v="1"/>
    <x v="5"/>
    <n v="70.989999999999995"/>
    <x v="4"/>
    <n v="35.495000000000005"/>
    <x v="276"/>
    <x v="80"/>
    <x v="235"/>
    <x v="1"/>
    <x v="276"/>
    <n v="4.7619047619047628"/>
    <n v="35.495000000000005"/>
    <n v="5.7"/>
  </r>
  <r>
    <s v="828-61-5674"/>
    <x v="0"/>
    <x v="0"/>
    <x v="0"/>
    <x v="1"/>
    <x v="3"/>
    <n v="44.02"/>
    <x v="4"/>
    <n v="22.009999999999934"/>
    <x v="277"/>
    <x v="80"/>
    <x v="129"/>
    <x v="2"/>
    <x v="277"/>
    <n v="4.7619047619047601"/>
    <n v="22.009999999999991"/>
    <n v="9.6"/>
  </r>
  <r>
    <s v="136-08-6195"/>
    <x v="0"/>
    <x v="0"/>
    <x v="1"/>
    <x v="0"/>
    <x v="2"/>
    <n v="69.959999999999994"/>
    <x v="2"/>
    <n v="27.984000000000037"/>
    <x v="278"/>
    <x v="42"/>
    <x v="154"/>
    <x v="2"/>
    <x v="278"/>
    <n v="4.761904761904769"/>
    <n v="27.984000000000037"/>
    <n v="6.4"/>
  </r>
  <r>
    <s v="523-38-0215"/>
    <x v="1"/>
    <x v="1"/>
    <x v="1"/>
    <x v="1"/>
    <x v="2"/>
    <n v="37"/>
    <x v="8"/>
    <n v="1.8500000000000014"/>
    <x v="279"/>
    <x v="43"/>
    <x v="236"/>
    <x v="2"/>
    <x v="279"/>
    <n v="4.7619047619047654"/>
    <n v="1.8500000000000014"/>
    <n v="7.9"/>
  </r>
  <r>
    <s v="490-29-1201"/>
    <x v="0"/>
    <x v="0"/>
    <x v="1"/>
    <x v="0"/>
    <x v="3"/>
    <n v="15.34"/>
    <x v="8"/>
    <n v="0.76699999999999946"/>
    <x v="280"/>
    <x v="47"/>
    <x v="237"/>
    <x v="1"/>
    <x v="280"/>
    <n v="4.7619047619047592"/>
    <n v="0.76699999999999946"/>
    <n v="6.5"/>
  </r>
  <r>
    <s v="667-92-0055"/>
    <x v="0"/>
    <x v="0"/>
    <x v="0"/>
    <x v="1"/>
    <x v="0"/>
    <n v="99.83"/>
    <x v="3"/>
    <n v="29.948999999999955"/>
    <x v="281"/>
    <x v="31"/>
    <x v="238"/>
    <x v="0"/>
    <x v="281"/>
    <n v="4.7619047619047548"/>
    <n v="29.948999999999955"/>
    <n v="8.5"/>
  </r>
  <r>
    <s v="565-17-3836"/>
    <x v="0"/>
    <x v="0"/>
    <x v="0"/>
    <x v="0"/>
    <x v="0"/>
    <n v="47.67"/>
    <x v="7"/>
    <n v="9.5339999999999918"/>
    <x v="282"/>
    <x v="41"/>
    <x v="239"/>
    <x v="1"/>
    <x v="282"/>
    <n v="4.7619047619047583"/>
    <n v="9.5339999999999918"/>
    <n v="9.1"/>
  </r>
  <r>
    <s v="498-41-1961"/>
    <x v="2"/>
    <x v="2"/>
    <x v="1"/>
    <x v="1"/>
    <x v="0"/>
    <n v="66.680000000000007"/>
    <x v="1"/>
    <n v="16.669999999999959"/>
    <x v="283"/>
    <x v="9"/>
    <x v="240"/>
    <x v="1"/>
    <x v="283"/>
    <n v="4.7619047619047663"/>
    <n v="16.670000000000016"/>
    <n v="7.6"/>
  </r>
  <r>
    <s v="593-95-4461"/>
    <x v="1"/>
    <x v="1"/>
    <x v="0"/>
    <x v="1"/>
    <x v="2"/>
    <n v="74.86"/>
    <x v="8"/>
    <n v="3.742999999999995"/>
    <x v="284"/>
    <x v="62"/>
    <x v="32"/>
    <x v="1"/>
    <x v="284"/>
    <n v="4.7619047619047556"/>
    <n v="3.742999999999995"/>
    <n v="6.9"/>
  </r>
  <r>
    <s v="226-71-3580"/>
    <x v="1"/>
    <x v="1"/>
    <x v="1"/>
    <x v="0"/>
    <x v="3"/>
    <n v="23.75"/>
    <x v="9"/>
    <n v="10.6875"/>
    <x v="285"/>
    <x v="82"/>
    <x v="110"/>
    <x v="1"/>
    <x v="285"/>
    <n v="4.7619047619047619"/>
    <n v="10.6875"/>
    <n v="9.5"/>
  </r>
  <r>
    <s v="283-79-9594"/>
    <x v="2"/>
    <x v="2"/>
    <x v="1"/>
    <x v="0"/>
    <x v="4"/>
    <n v="48.51"/>
    <x v="0"/>
    <n v="16.978499999999997"/>
    <x v="286"/>
    <x v="25"/>
    <x v="241"/>
    <x v="2"/>
    <x v="286"/>
    <n v="4.761904761904761"/>
    <n v="16.978499999999997"/>
    <n v="5.2"/>
  </r>
  <r>
    <s v="430-60-3493"/>
    <x v="0"/>
    <x v="0"/>
    <x v="0"/>
    <x v="0"/>
    <x v="2"/>
    <n v="94.88"/>
    <x v="0"/>
    <n v="33.208000000000084"/>
    <x v="287"/>
    <x v="36"/>
    <x v="242"/>
    <x v="1"/>
    <x v="287"/>
    <n v="4.7619047619047734"/>
    <n v="33.208000000000084"/>
    <n v="4.2"/>
  </r>
  <r>
    <s v="139-20-0155"/>
    <x v="2"/>
    <x v="2"/>
    <x v="0"/>
    <x v="1"/>
    <x v="1"/>
    <n v="40.299999999999997"/>
    <x v="4"/>
    <n v="20.149999999999977"/>
    <x v="288"/>
    <x v="46"/>
    <x v="243"/>
    <x v="2"/>
    <x v="288"/>
    <n v="4.7619047619047565"/>
    <n v="20.149999999999977"/>
    <n v="7"/>
  </r>
  <r>
    <s v="558-80-4082"/>
    <x v="1"/>
    <x v="1"/>
    <x v="1"/>
    <x v="1"/>
    <x v="1"/>
    <n v="27.85"/>
    <x v="0"/>
    <n v="9.7474999999999739"/>
    <x v="289"/>
    <x v="86"/>
    <x v="244"/>
    <x v="0"/>
    <x v="289"/>
    <n v="4.7619047619047628"/>
    <n v="9.7475000000000023"/>
    <n v="6"/>
  </r>
  <r>
    <s v="278-97-7759"/>
    <x v="0"/>
    <x v="0"/>
    <x v="0"/>
    <x v="0"/>
    <x v="1"/>
    <n v="62.48"/>
    <x v="8"/>
    <n v="3.1240000000000023"/>
    <x v="290"/>
    <x v="67"/>
    <x v="245"/>
    <x v="1"/>
    <x v="290"/>
    <n v="4.7619047619047654"/>
    <n v="3.1240000000000023"/>
    <n v="4.7"/>
  </r>
  <r>
    <s v="316-68-6352"/>
    <x v="0"/>
    <x v="0"/>
    <x v="0"/>
    <x v="0"/>
    <x v="4"/>
    <n v="36.36"/>
    <x v="5"/>
    <n v="3.6359999999999957"/>
    <x v="291"/>
    <x v="18"/>
    <x v="158"/>
    <x v="1"/>
    <x v="291"/>
    <n v="4.7619047619047565"/>
    <n v="3.6359999999999957"/>
    <n v="7.1"/>
  </r>
  <r>
    <s v="585-03-5943"/>
    <x v="2"/>
    <x v="2"/>
    <x v="1"/>
    <x v="1"/>
    <x v="0"/>
    <n v="18.11"/>
    <x v="4"/>
    <n v="9.0550000000000068"/>
    <x v="292"/>
    <x v="45"/>
    <x v="246"/>
    <x v="0"/>
    <x v="292"/>
    <n v="4.7619047619047654"/>
    <n v="9.0550000000000068"/>
    <n v="5.9"/>
  </r>
  <r>
    <s v="211-05-0490"/>
    <x v="1"/>
    <x v="1"/>
    <x v="0"/>
    <x v="0"/>
    <x v="1"/>
    <n v="51.92"/>
    <x v="1"/>
    <n v="12.979999999999961"/>
    <x v="293"/>
    <x v="2"/>
    <x v="247"/>
    <x v="1"/>
    <x v="293"/>
    <n v="4.7619047619047477"/>
    <n v="12.979999999999961"/>
    <n v="7.5"/>
  </r>
  <r>
    <s v="727-75-6477"/>
    <x v="1"/>
    <x v="1"/>
    <x v="1"/>
    <x v="1"/>
    <x v="1"/>
    <n v="28.84"/>
    <x v="7"/>
    <n v="5.7680000000000007"/>
    <x v="294"/>
    <x v="14"/>
    <x v="248"/>
    <x v="1"/>
    <x v="294"/>
    <n v="4.7619047619047628"/>
    <n v="5.7680000000000007"/>
    <n v="6.4"/>
  </r>
  <r>
    <s v="744-02-5987"/>
    <x v="0"/>
    <x v="0"/>
    <x v="0"/>
    <x v="1"/>
    <x v="2"/>
    <n v="78.38"/>
    <x v="3"/>
    <n v="23.51400000000001"/>
    <x v="295"/>
    <x v="8"/>
    <x v="249"/>
    <x v="0"/>
    <x v="295"/>
    <n v="4.7619047619047645"/>
    <n v="23.51400000000001"/>
    <n v="5.8"/>
  </r>
  <r>
    <s v="307-83-9164"/>
    <x v="0"/>
    <x v="0"/>
    <x v="0"/>
    <x v="1"/>
    <x v="2"/>
    <n v="60.01"/>
    <x v="7"/>
    <n v="12.00200000000001"/>
    <x v="296"/>
    <x v="25"/>
    <x v="250"/>
    <x v="1"/>
    <x v="296"/>
    <n v="4.7619047619047654"/>
    <n v="12.00200000000001"/>
    <n v="4.5"/>
  </r>
  <r>
    <s v="779-06-0012"/>
    <x v="1"/>
    <x v="1"/>
    <x v="0"/>
    <x v="0"/>
    <x v="2"/>
    <n v="88.61"/>
    <x v="8"/>
    <n v="4.430499999999995"/>
    <x v="297"/>
    <x v="64"/>
    <x v="251"/>
    <x v="1"/>
    <x v="297"/>
    <n v="4.7619047619047565"/>
    <n v="4.430499999999995"/>
    <n v="7.7"/>
  </r>
  <r>
    <s v="446-47-6729"/>
    <x v="1"/>
    <x v="1"/>
    <x v="1"/>
    <x v="1"/>
    <x v="5"/>
    <n v="99.82"/>
    <x v="5"/>
    <n v="9.9820000000000277"/>
    <x v="298"/>
    <x v="56"/>
    <x v="203"/>
    <x v="2"/>
    <x v="298"/>
    <n v="4.7619047619047752"/>
    <n v="9.9820000000000277"/>
    <n v="6.7"/>
  </r>
  <r>
    <s v="573-10-3877"/>
    <x v="2"/>
    <x v="2"/>
    <x v="0"/>
    <x v="1"/>
    <x v="0"/>
    <n v="39.01"/>
    <x v="8"/>
    <n v="1.9505000000000052"/>
    <x v="299"/>
    <x v="41"/>
    <x v="252"/>
    <x v="2"/>
    <x v="299"/>
    <n v="4.7619047619047743"/>
    <n v="1.9505000000000052"/>
    <n v="4.7"/>
  </r>
  <r>
    <s v="735-06-4124"/>
    <x v="1"/>
    <x v="1"/>
    <x v="1"/>
    <x v="1"/>
    <x v="4"/>
    <n v="48.61"/>
    <x v="8"/>
    <n v="2.4305000000000021"/>
    <x v="300"/>
    <x v="6"/>
    <x v="26"/>
    <x v="1"/>
    <x v="300"/>
    <n v="4.7619047619047654"/>
    <n v="2.4305000000000021"/>
    <n v="4.4000000000000004"/>
  </r>
  <r>
    <s v="439-54-7422"/>
    <x v="0"/>
    <x v="0"/>
    <x v="1"/>
    <x v="0"/>
    <x v="1"/>
    <n v="51.19"/>
    <x v="7"/>
    <n v="10.238"/>
    <x v="301"/>
    <x v="79"/>
    <x v="8"/>
    <x v="2"/>
    <x v="301"/>
    <n v="4.7619047619047619"/>
    <n v="10.238"/>
    <n v="4.7"/>
  </r>
  <r>
    <s v="396-90-2219"/>
    <x v="2"/>
    <x v="2"/>
    <x v="1"/>
    <x v="0"/>
    <x v="1"/>
    <n v="14.96"/>
    <x v="2"/>
    <n v="5.9839999999999947"/>
    <x v="302"/>
    <x v="55"/>
    <x v="107"/>
    <x v="1"/>
    <x v="302"/>
    <n v="4.7619047619047574"/>
    <n v="5.9839999999999947"/>
    <n v="8.6"/>
  </r>
  <r>
    <s v="411-77-0180"/>
    <x v="0"/>
    <x v="0"/>
    <x v="0"/>
    <x v="1"/>
    <x v="1"/>
    <n v="72.2"/>
    <x v="0"/>
    <n v="25.269999999999925"/>
    <x v="303"/>
    <x v="58"/>
    <x v="253"/>
    <x v="0"/>
    <x v="303"/>
    <n v="4.7619047619047592"/>
    <n v="25.269999999999982"/>
    <n v="4.3"/>
  </r>
  <r>
    <s v="286-01-5402"/>
    <x v="0"/>
    <x v="0"/>
    <x v="1"/>
    <x v="0"/>
    <x v="3"/>
    <n v="40.229999999999997"/>
    <x v="0"/>
    <n v="14.080500000000029"/>
    <x v="304"/>
    <x v="73"/>
    <x v="93"/>
    <x v="1"/>
    <x v="304"/>
    <n v="4.761904761904753"/>
    <n v="14.080499999999972"/>
    <n v="9.6"/>
  </r>
  <r>
    <s v="803-17-8013"/>
    <x v="0"/>
    <x v="0"/>
    <x v="0"/>
    <x v="0"/>
    <x v="2"/>
    <n v="88.79"/>
    <x v="2"/>
    <n v="35.515999999999963"/>
    <x v="305"/>
    <x v="21"/>
    <x v="254"/>
    <x v="1"/>
    <x v="305"/>
    <n v="4.7619047619047565"/>
    <n v="35.515999999999963"/>
    <n v="4.0999999999999996"/>
  </r>
  <r>
    <s v="512-98-1403"/>
    <x v="0"/>
    <x v="0"/>
    <x v="0"/>
    <x v="0"/>
    <x v="1"/>
    <n v="26.48"/>
    <x v="6"/>
    <n v="3.9720000000000084"/>
    <x v="306"/>
    <x v="76"/>
    <x v="21"/>
    <x v="0"/>
    <x v="306"/>
    <n v="4.7619047619047716"/>
    <n v="3.9720000000000084"/>
    <n v="4.7"/>
  </r>
  <r>
    <s v="848-42-2560"/>
    <x v="0"/>
    <x v="0"/>
    <x v="1"/>
    <x v="0"/>
    <x v="5"/>
    <n v="81.91"/>
    <x v="5"/>
    <n v="8.1910000000000025"/>
    <x v="307"/>
    <x v="19"/>
    <x v="255"/>
    <x v="1"/>
    <x v="307"/>
    <n v="4.7619047619047636"/>
    <n v="8.1910000000000025"/>
    <n v="7.8"/>
  </r>
  <r>
    <s v="532-59-7201"/>
    <x v="2"/>
    <x v="2"/>
    <x v="0"/>
    <x v="1"/>
    <x v="3"/>
    <n v="79.930000000000007"/>
    <x v="3"/>
    <n v="23.978999999999985"/>
    <x v="308"/>
    <x v="82"/>
    <x v="214"/>
    <x v="1"/>
    <x v="308"/>
    <n v="4.7619047619047699"/>
    <n v="23.979000000000042"/>
    <n v="5.5"/>
  </r>
  <r>
    <s v="181-94-6432"/>
    <x v="1"/>
    <x v="1"/>
    <x v="0"/>
    <x v="1"/>
    <x v="5"/>
    <n v="69.33"/>
    <x v="5"/>
    <n v="6.9329999999999927"/>
    <x v="309"/>
    <x v="63"/>
    <x v="256"/>
    <x v="0"/>
    <x v="309"/>
    <n v="4.7619047619047574"/>
    <n v="6.9329999999999927"/>
    <n v="9.6999999999999993"/>
  </r>
  <r>
    <s v="870-76-1733"/>
    <x v="0"/>
    <x v="0"/>
    <x v="0"/>
    <x v="0"/>
    <x v="4"/>
    <n v="14.23"/>
    <x v="1"/>
    <n v="3.5574999999999903"/>
    <x v="310"/>
    <x v="60"/>
    <x v="257"/>
    <x v="2"/>
    <x v="310"/>
    <n v="4.7619047619047494"/>
    <n v="3.5574999999999903"/>
    <n v="4.4000000000000004"/>
  </r>
  <r>
    <s v="423-64-4619"/>
    <x v="0"/>
    <x v="0"/>
    <x v="0"/>
    <x v="0"/>
    <x v="0"/>
    <n v="15.55"/>
    <x v="9"/>
    <n v="6.9974999999999739"/>
    <x v="311"/>
    <x v="37"/>
    <x v="258"/>
    <x v="1"/>
    <x v="311"/>
    <n v="4.7619047619047636"/>
    <n v="6.9975000000000023"/>
    <n v="5"/>
  </r>
  <r>
    <s v="227-07-4446"/>
    <x v="1"/>
    <x v="1"/>
    <x v="0"/>
    <x v="0"/>
    <x v="1"/>
    <n v="78.13"/>
    <x v="4"/>
    <n v="39.065000000000055"/>
    <x v="312"/>
    <x v="34"/>
    <x v="259"/>
    <x v="1"/>
    <x v="312"/>
    <n v="4.761904761904769"/>
    <n v="39.065000000000055"/>
    <n v="4.4000000000000004"/>
  </r>
  <r>
    <s v="174-36-3675"/>
    <x v="1"/>
    <x v="1"/>
    <x v="0"/>
    <x v="1"/>
    <x v="4"/>
    <n v="99.37"/>
    <x v="5"/>
    <n v="9.9369999999999834"/>
    <x v="313"/>
    <x v="44"/>
    <x v="260"/>
    <x v="1"/>
    <x v="313"/>
    <n v="4.7619047619047539"/>
    <n v="9.9369999999999834"/>
    <n v="5.2"/>
  </r>
  <r>
    <s v="428-83-5800"/>
    <x v="1"/>
    <x v="1"/>
    <x v="0"/>
    <x v="0"/>
    <x v="4"/>
    <n v="21.08"/>
    <x v="6"/>
    <n v="3.1620000000000061"/>
    <x v="314"/>
    <x v="57"/>
    <x v="12"/>
    <x v="1"/>
    <x v="314"/>
    <n v="4.7619047619047601"/>
    <n v="3.161999999999999"/>
    <n v="7.3"/>
  </r>
  <r>
    <s v="603-07-0961"/>
    <x v="1"/>
    <x v="1"/>
    <x v="0"/>
    <x v="1"/>
    <x v="1"/>
    <n v="74.790000000000006"/>
    <x v="1"/>
    <n v="18.697499999999934"/>
    <x v="315"/>
    <x v="8"/>
    <x v="261"/>
    <x v="1"/>
    <x v="315"/>
    <n v="4.7619047619047592"/>
    <n v="18.697499999999991"/>
    <n v="4.9000000000000004"/>
  </r>
  <r>
    <s v="704-20-4138"/>
    <x v="1"/>
    <x v="1"/>
    <x v="0"/>
    <x v="0"/>
    <x v="0"/>
    <n v="29.67"/>
    <x v="0"/>
    <n v="10.384500000000003"/>
    <x v="316"/>
    <x v="16"/>
    <x v="262"/>
    <x v="2"/>
    <x v="316"/>
    <n v="4.7619047619047628"/>
    <n v="10.384500000000003"/>
    <n v="8.1"/>
  </r>
  <r>
    <s v="787-15-1757"/>
    <x v="1"/>
    <x v="1"/>
    <x v="0"/>
    <x v="1"/>
    <x v="0"/>
    <n v="44.07"/>
    <x v="7"/>
    <n v="8.813999999999993"/>
    <x v="317"/>
    <x v="67"/>
    <x v="235"/>
    <x v="0"/>
    <x v="317"/>
    <n v="4.7619047619047583"/>
    <n v="8.813999999999993"/>
    <n v="8.4"/>
  </r>
  <r>
    <s v="649-11-3678"/>
    <x v="1"/>
    <x v="1"/>
    <x v="1"/>
    <x v="0"/>
    <x v="4"/>
    <n v="22.93"/>
    <x v="9"/>
    <n v="10.3185"/>
    <x v="318"/>
    <x v="84"/>
    <x v="263"/>
    <x v="1"/>
    <x v="318"/>
    <n v="4.7619047619047619"/>
    <n v="10.3185"/>
    <n v="5.5"/>
  </r>
  <r>
    <s v="622-20-1945"/>
    <x v="1"/>
    <x v="1"/>
    <x v="1"/>
    <x v="0"/>
    <x v="0"/>
    <n v="39.42"/>
    <x v="8"/>
    <n v="1.9709999999999965"/>
    <x v="319"/>
    <x v="68"/>
    <x v="264"/>
    <x v="1"/>
    <x v="319"/>
    <n v="4.7619047619047539"/>
    <n v="1.9709999999999965"/>
    <n v="8.4"/>
  </r>
  <r>
    <s v="372-94-8041"/>
    <x v="0"/>
    <x v="0"/>
    <x v="1"/>
    <x v="1"/>
    <x v="0"/>
    <n v="15.26"/>
    <x v="3"/>
    <n v="4.578000000000003"/>
    <x v="320"/>
    <x v="42"/>
    <x v="172"/>
    <x v="0"/>
    <x v="320"/>
    <n v="4.7619047619047645"/>
    <n v="4.578000000000003"/>
    <n v="9.8000000000000007"/>
  </r>
  <r>
    <s v="563-91-7120"/>
    <x v="0"/>
    <x v="0"/>
    <x v="1"/>
    <x v="0"/>
    <x v="5"/>
    <n v="61.77"/>
    <x v="1"/>
    <n v="15.442499999999995"/>
    <x v="321"/>
    <x v="1"/>
    <x v="265"/>
    <x v="1"/>
    <x v="321"/>
    <n v="4.7619047619047601"/>
    <n v="15.442499999999995"/>
    <n v="6.7"/>
  </r>
  <r>
    <s v="746-54-5508"/>
    <x v="0"/>
    <x v="0"/>
    <x v="1"/>
    <x v="1"/>
    <x v="2"/>
    <n v="21.52"/>
    <x v="3"/>
    <n v="6.4559999999999889"/>
    <x v="322"/>
    <x v="29"/>
    <x v="266"/>
    <x v="2"/>
    <x v="322"/>
    <n v="4.7619047619047539"/>
    <n v="6.4559999999999889"/>
    <n v="9.4"/>
  </r>
  <r>
    <s v="276-54-0879"/>
    <x v="2"/>
    <x v="2"/>
    <x v="1"/>
    <x v="1"/>
    <x v="3"/>
    <n v="97.74"/>
    <x v="7"/>
    <n v="19.548000000000002"/>
    <x v="323"/>
    <x v="41"/>
    <x v="267"/>
    <x v="0"/>
    <x v="323"/>
    <n v="4.7619047619047628"/>
    <n v="19.548000000000002"/>
    <n v="6.4"/>
  </r>
  <r>
    <s v="815-11-1168"/>
    <x v="0"/>
    <x v="0"/>
    <x v="0"/>
    <x v="1"/>
    <x v="4"/>
    <n v="99.78"/>
    <x v="1"/>
    <n v="24.94500000000005"/>
    <x v="324"/>
    <x v="11"/>
    <x v="268"/>
    <x v="1"/>
    <x v="324"/>
    <n v="4.7619047619047716"/>
    <n v="24.94500000000005"/>
    <n v="5.4"/>
  </r>
  <r>
    <s v="719-76-3868"/>
    <x v="1"/>
    <x v="1"/>
    <x v="0"/>
    <x v="1"/>
    <x v="4"/>
    <n v="94.26"/>
    <x v="7"/>
    <n v="18.851999999999975"/>
    <x v="325"/>
    <x v="41"/>
    <x v="269"/>
    <x v="1"/>
    <x v="325"/>
    <n v="4.7619047619047556"/>
    <n v="18.851999999999975"/>
    <n v="8.6"/>
  </r>
  <r>
    <s v="730-61-8757"/>
    <x v="2"/>
    <x v="2"/>
    <x v="0"/>
    <x v="1"/>
    <x v="0"/>
    <n v="51.13"/>
    <x v="7"/>
    <n v="10.225999999999999"/>
    <x v="326"/>
    <x v="25"/>
    <x v="41"/>
    <x v="2"/>
    <x v="326"/>
    <n v="4.761904761904761"/>
    <n v="10.225999999999999"/>
    <n v="4"/>
  </r>
  <r>
    <s v="340-66-0321"/>
    <x v="0"/>
    <x v="0"/>
    <x v="0"/>
    <x v="1"/>
    <x v="1"/>
    <n v="36.36"/>
    <x v="7"/>
    <n v="7.2719999999999914"/>
    <x v="327"/>
    <x v="5"/>
    <x v="270"/>
    <x v="1"/>
    <x v="327"/>
    <n v="4.7619047619047565"/>
    <n v="7.2719999999999914"/>
    <n v="7.6"/>
  </r>
  <r>
    <s v="868-81-1752"/>
    <x v="2"/>
    <x v="2"/>
    <x v="1"/>
    <x v="1"/>
    <x v="2"/>
    <n v="22.02"/>
    <x v="9"/>
    <n v="9.9089999999999918"/>
    <x v="328"/>
    <x v="13"/>
    <x v="271"/>
    <x v="1"/>
    <x v="328"/>
    <n v="4.7619047619047583"/>
    <n v="9.9089999999999918"/>
    <n v="6.8"/>
  </r>
  <r>
    <s v="634-97-8956"/>
    <x v="0"/>
    <x v="0"/>
    <x v="1"/>
    <x v="1"/>
    <x v="4"/>
    <n v="32.9"/>
    <x v="6"/>
    <n v="4.9350000000000165"/>
    <x v="329"/>
    <x v="21"/>
    <x v="272"/>
    <x v="2"/>
    <x v="329"/>
    <n v="4.7619047619047636"/>
    <n v="4.9350000000000023"/>
    <n v="9.1"/>
  </r>
  <r>
    <s v="566-71-1091"/>
    <x v="0"/>
    <x v="0"/>
    <x v="1"/>
    <x v="1"/>
    <x v="5"/>
    <n v="77.02"/>
    <x v="1"/>
    <n v="19.255000000000052"/>
    <x v="330"/>
    <x v="36"/>
    <x v="273"/>
    <x v="1"/>
    <x v="330"/>
    <n v="4.7619047619047601"/>
    <n v="19.254999999999995"/>
    <n v="5.5"/>
  </r>
  <r>
    <s v="442-48-3607"/>
    <x v="0"/>
    <x v="0"/>
    <x v="0"/>
    <x v="1"/>
    <x v="4"/>
    <n v="23.48"/>
    <x v="5"/>
    <n v="2.347999999999999"/>
    <x v="331"/>
    <x v="86"/>
    <x v="274"/>
    <x v="2"/>
    <x v="331"/>
    <n v="4.7619047619047592"/>
    <n v="2.347999999999999"/>
    <n v="7.9"/>
  </r>
  <r>
    <s v="835-16-0096"/>
    <x v="1"/>
    <x v="1"/>
    <x v="0"/>
    <x v="1"/>
    <x v="3"/>
    <n v="14.07"/>
    <x v="1"/>
    <n v="6.8250000000000028"/>
    <x v="332"/>
    <x v="62"/>
    <x v="128"/>
    <x v="0"/>
    <x v="332"/>
    <n v="4.7619047619047583"/>
    <n v="3.6749999999999972"/>
    <n v="8.5"/>
  </r>
  <r>
    <s v="527-09-6272"/>
    <x v="0"/>
    <x v="0"/>
    <x v="0"/>
    <x v="0"/>
    <x v="1"/>
    <n v="28.45"/>
    <x v="1"/>
    <n v="7.1125000000000114"/>
    <x v="333"/>
    <x v="76"/>
    <x v="79"/>
    <x v="2"/>
    <x v="333"/>
    <n v="4.761904761904769"/>
    <n v="7.1125000000000114"/>
    <n v="9.1"/>
  </r>
  <r>
    <s v="898-04-2717"/>
    <x v="0"/>
    <x v="0"/>
    <x v="1"/>
    <x v="1"/>
    <x v="5"/>
    <n v="76.400000000000006"/>
    <x v="9"/>
    <n v="34.379999999999995"/>
    <x v="334"/>
    <x v="35"/>
    <x v="275"/>
    <x v="0"/>
    <x v="334"/>
    <n v="4.761904761904761"/>
    <n v="34.379999999999995"/>
    <n v="7.5"/>
  </r>
  <r>
    <s v="692-27-8933"/>
    <x v="2"/>
    <x v="2"/>
    <x v="1"/>
    <x v="0"/>
    <x v="3"/>
    <n v="57.95"/>
    <x v="3"/>
    <n v="17.384999999999934"/>
    <x v="335"/>
    <x v="7"/>
    <x v="276"/>
    <x v="1"/>
    <x v="335"/>
    <n v="4.7619047619047592"/>
    <n v="17.384999999999991"/>
    <n v="5.2"/>
  </r>
  <r>
    <s v="633-09-3463"/>
    <x v="1"/>
    <x v="1"/>
    <x v="1"/>
    <x v="0"/>
    <x v="1"/>
    <n v="47.65"/>
    <x v="6"/>
    <n v="7.147500000000008"/>
    <x v="336"/>
    <x v="61"/>
    <x v="187"/>
    <x v="2"/>
    <x v="336"/>
    <n v="4.7619047619047672"/>
    <n v="7.147500000000008"/>
    <n v="9.5"/>
  </r>
  <r>
    <s v="374-17-3652"/>
    <x v="2"/>
    <x v="2"/>
    <x v="0"/>
    <x v="0"/>
    <x v="4"/>
    <n v="42.82"/>
    <x v="9"/>
    <n v="19.269000000000005"/>
    <x v="337"/>
    <x v="63"/>
    <x v="108"/>
    <x v="2"/>
    <x v="337"/>
    <n v="4.7619047619047628"/>
    <n v="19.269000000000005"/>
    <n v="8.9"/>
  </r>
  <r>
    <s v="378-07-7001"/>
    <x v="2"/>
    <x v="2"/>
    <x v="0"/>
    <x v="1"/>
    <x v="1"/>
    <n v="48.09"/>
    <x v="6"/>
    <n v="7.213499999999982"/>
    <x v="338"/>
    <x v="34"/>
    <x v="136"/>
    <x v="2"/>
    <x v="338"/>
    <n v="4.7619047619047503"/>
    <n v="7.213499999999982"/>
    <n v="7.8"/>
  </r>
  <r>
    <s v="433-75-6987"/>
    <x v="2"/>
    <x v="2"/>
    <x v="0"/>
    <x v="0"/>
    <x v="0"/>
    <n v="55.97"/>
    <x v="0"/>
    <n v="19.589500000000044"/>
    <x v="339"/>
    <x v="19"/>
    <x v="216"/>
    <x v="0"/>
    <x v="339"/>
    <n v="4.7619047619047592"/>
    <n v="19.589499999999987"/>
    <n v="8.9"/>
  </r>
  <r>
    <s v="873-95-4984"/>
    <x v="2"/>
    <x v="2"/>
    <x v="0"/>
    <x v="0"/>
    <x v="0"/>
    <n v="76.900000000000006"/>
    <x v="0"/>
    <n v="26.914999999999964"/>
    <x v="340"/>
    <x v="42"/>
    <x v="277"/>
    <x v="1"/>
    <x v="340"/>
    <n v="4.7619047619047752"/>
    <n v="26.915000000000077"/>
    <n v="7.7"/>
  </r>
  <r>
    <s v="416-13-5917"/>
    <x v="1"/>
    <x v="1"/>
    <x v="1"/>
    <x v="0"/>
    <x v="4"/>
    <n v="97.03"/>
    <x v="1"/>
    <n v="24.25750000000005"/>
    <x v="341"/>
    <x v="74"/>
    <x v="75"/>
    <x v="0"/>
    <x v="341"/>
    <n v="4.7619047619047716"/>
    <n v="24.25750000000005"/>
    <n v="9.3000000000000007"/>
  </r>
  <r>
    <s v="150-89-8043"/>
    <x v="0"/>
    <x v="0"/>
    <x v="1"/>
    <x v="1"/>
    <x v="3"/>
    <n v="44.65"/>
    <x v="6"/>
    <n v="6.6975000000000193"/>
    <x v="342"/>
    <x v="44"/>
    <x v="278"/>
    <x v="1"/>
    <x v="342"/>
    <n v="4.7619047619047752"/>
    <n v="6.6975000000000193"/>
    <n v="6.2"/>
  </r>
  <r>
    <s v="135-84-8019"/>
    <x v="0"/>
    <x v="0"/>
    <x v="1"/>
    <x v="0"/>
    <x v="5"/>
    <n v="77.930000000000007"/>
    <x v="9"/>
    <n v="35.068499999999858"/>
    <x v="343"/>
    <x v="33"/>
    <x v="279"/>
    <x v="0"/>
    <x v="343"/>
    <n v="4.7619047619047583"/>
    <n v="35.068499999999972"/>
    <n v="7.6"/>
  </r>
  <r>
    <s v="441-94-7118"/>
    <x v="0"/>
    <x v="0"/>
    <x v="0"/>
    <x v="1"/>
    <x v="1"/>
    <n v="71.95"/>
    <x v="8"/>
    <n v="3.5974999999999966"/>
    <x v="344"/>
    <x v="87"/>
    <x v="280"/>
    <x v="1"/>
    <x v="344"/>
    <n v="4.7619047619047574"/>
    <n v="3.5974999999999966"/>
    <n v="7.3"/>
  </r>
  <r>
    <s v="725-96-3778"/>
    <x v="1"/>
    <x v="1"/>
    <x v="0"/>
    <x v="0"/>
    <x v="2"/>
    <n v="89.25"/>
    <x v="2"/>
    <n v="35.700000000000045"/>
    <x v="345"/>
    <x v="40"/>
    <x v="173"/>
    <x v="1"/>
    <x v="345"/>
    <n v="4.7619047619047681"/>
    <n v="35.700000000000045"/>
    <n v="4.7"/>
  </r>
  <r>
    <s v="531-80-1784"/>
    <x v="0"/>
    <x v="0"/>
    <x v="1"/>
    <x v="1"/>
    <x v="1"/>
    <n v="26.02"/>
    <x v="0"/>
    <n v="9.1070000000000277"/>
    <x v="346"/>
    <x v="61"/>
    <x v="180"/>
    <x v="1"/>
    <x v="346"/>
    <n v="4.7619047619047761"/>
    <n v="9.1070000000000277"/>
    <n v="5.0999999999999996"/>
  </r>
  <r>
    <s v="400-45-1220"/>
    <x v="2"/>
    <x v="2"/>
    <x v="1"/>
    <x v="0"/>
    <x v="0"/>
    <n v="13.05"/>
    <x v="4"/>
    <n v="11.25"/>
    <x v="347"/>
    <x v="33"/>
    <x v="281"/>
    <x v="2"/>
    <x v="347"/>
    <n v="4.7619047619047619"/>
    <n v="6.75"/>
    <n v="4.8"/>
  </r>
  <r>
    <s v="860-79-0874"/>
    <x v="1"/>
    <x v="1"/>
    <x v="0"/>
    <x v="0"/>
    <x v="5"/>
    <n v="99.3"/>
    <x v="4"/>
    <n v="49.650000000000091"/>
    <x v="348"/>
    <x v="42"/>
    <x v="222"/>
    <x v="2"/>
    <x v="348"/>
    <n v="4.7619047619047699"/>
    <n v="49.650000000000091"/>
    <n v="6.6"/>
  </r>
  <r>
    <s v="834-61-8124"/>
    <x v="0"/>
    <x v="0"/>
    <x v="1"/>
    <x v="1"/>
    <x v="1"/>
    <n v="51.69"/>
    <x v="0"/>
    <n v="18.091499999999996"/>
    <x v="349"/>
    <x v="53"/>
    <x v="282"/>
    <x v="1"/>
    <x v="349"/>
    <n v="4.761904761904761"/>
    <n v="18.091499999999996"/>
    <n v="5.5"/>
  </r>
  <r>
    <s v="115-99-4379"/>
    <x v="2"/>
    <x v="2"/>
    <x v="0"/>
    <x v="0"/>
    <x v="5"/>
    <n v="54.73"/>
    <x v="0"/>
    <n v="19.155500000000018"/>
    <x v="350"/>
    <x v="86"/>
    <x v="283"/>
    <x v="2"/>
    <x v="350"/>
    <n v="4.761904761904753"/>
    <n v="19.155499999999961"/>
    <n v="8.5"/>
  </r>
  <r>
    <s v="565-67-6697"/>
    <x v="2"/>
    <x v="2"/>
    <x v="0"/>
    <x v="1"/>
    <x v="2"/>
    <n v="27"/>
    <x v="9"/>
    <n v="12.150000000000006"/>
    <x v="351"/>
    <x v="22"/>
    <x v="249"/>
    <x v="1"/>
    <x v="351"/>
    <n v="4.7619047619047636"/>
    <n v="12.150000000000006"/>
    <n v="4.8"/>
  </r>
  <r>
    <s v="320-49-6392"/>
    <x v="1"/>
    <x v="1"/>
    <x v="1"/>
    <x v="0"/>
    <x v="1"/>
    <n v="30.24"/>
    <x v="8"/>
    <n v="1.5120000000000005"/>
    <x v="352"/>
    <x v="31"/>
    <x v="284"/>
    <x v="1"/>
    <x v="352"/>
    <n v="4.7619047619047636"/>
    <n v="1.5120000000000005"/>
    <n v="8.4"/>
  </r>
  <r>
    <s v="889-04-9723"/>
    <x v="2"/>
    <x v="2"/>
    <x v="0"/>
    <x v="0"/>
    <x v="4"/>
    <n v="89.14"/>
    <x v="7"/>
    <n v="17.827999999999975"/>
    <x v="353"/>
    <x v="27"/>
    <x v="22"/>
    <x v="2"/>
    <x v="353"/>
    <n v="4.7619047619047556"/>
    <n v="17.827999999999975"/>
    <n v="7.8"/>
  </r>
  <r>
    <s v="632-90-0281"/>
    <x v="1"/>
    <x v="1"/>
    <x v="1"/>
    <x v="0"/>
    <x v="5"/>
    <n v="37.549999999999997"/>
    <x v="4"/>
    <n v="18.774999999999977"/>
    <x v="354"/>
    <x v="1"/>
    <x v="285"/>
    <x v="2"/>
    <x v="354"/>
    <n v="4.7619047619047556"/>
    <n v="18.774999999999977"/>
    <n v="9.3000000000000007"/>
  </r>
  <r>
    <s v="554-42-2417"/>
    <x v="1"/>
    <x v="1"/>
    <x v="1"/>
    <x v="0"/>
    <x v="3"/>
    <n v="95.44"/>
    <x v="4"/>
    <n v="47.720000000000027"/>
    <x v="355"/>
    <x v="51"/>
    <x v="286"/>
    <x v="1"/>
    <x v="355"/>
    <n v="4.7619047619047645"/>
    <n v="47.720000000000027"/>
    <n v="5.2"/>
  </r>
  <r>
    <s v="453-63-6187"/>
    <x v="2"/>
    <x v="2"/>
    <x v="1"/>
    <x v="1"/>
    <x v="1"/>
    <n v="27.05"/>
    <x v="6"/>
    <n v="5.4749999999999943"/>
    <x v="356"/>
    <x v="59"/>
    <x v="287"/>
    <x v="0"/>
    <x v="356"/>
    <n v="4.7619047619047619"/>
    <n v="4.125"/>
    <n v="6.5"/>
  </r>
  <r>
    <s v="578-80-7669"/>
    <x v="2"/>
    <x v="2"/>
    <x v="1"/>
    <x v="1"/>
    <x v="3"/>
    <n v="74.97"/>
    <x v="8"/>
    <n v="3.748500000000007"/>
    <x v="357"/>
    <x v="32"/>
    <x v="288"/>
    <x v="1"/>
    <x v="357"/>
    <n v="4.7619047619047707"/>
    <n v="3.748500000000007"/>
    <n v="5.6"/>
  </r>
  <r>
    <s v="612-36-5536"/>
    <x v="0"/>
    <x v="0"/>
    <x v="0"/>
    <x v="1"/>
    <x v="4"/>
    <n v="80.959999999999994"/>
    <x v="2"/>
    <n v="32.384000000000015"/>
    <x v="358"/>
    <x v="21"/>
    <x v="289"/>
    <x v="2"/>
    <x v="358"/>
    <n v="4.7619047619047645"/>
    <n v="32.384000000000015"/>
    <n v="7.4"/>
  </r>
  <r>
    <s v="605-72-4132"/>
    <x v="1"/>
    <x v="1"/>
    <x v="1"/>
    <x v="0"/>
    <x v="4"/>
    <n v="94.47"/>
    <x v="2"/>
    <n v="37.788000000000011"/>
    <x v="359"/>
    <x v="33"/>
    <x v="290"/>
    <x v="1"/>
    <x v="359"/>
    <n v="4.7619047619047628"/>
    <n v="37.788000000000011"/>
    <n v="9.1"/>
  </r>
  <r>
    <s v="471-41-2823"/>
    <x v="1"/>
    <x v="1"/>
    <x v="1"/>
    <x v="1"/>
    <x v="4"/>
    <n v="99.79"/>
    <x v="5"/>
    <n v="9.978999999999985"/>
    <x v="360"/>
    <x v="37"/>
    <x v="291"/>
    <x v="0"/>
    <x v="360"/>
    <n v="4.7619047619047548"/>
    <n v="9.978999999999985"/>
    <n v="8"/>
  </r>
  <r>
    <s v="462-67-9126"/>
    <x v="0"/>
    <x v="0"/>
    <x v="1"/>
    <x v="1"/>
    <x v="2"/>
    <n v="73.22"/>
    <x v="3"/>
    <n v="21.966000000000008"/>
    <x v="361"/>
    <x v="18"/>
    <x v="292"/>
    <x v="1"/>
    <x v="361"/>
    <n v="4.7619047619047636"/>
    <n v="21.966000000000008"/>
    <n v="7.2"/>
  </r>
  <r>
    <s v="272-27-9238"/>
    <x v="1"/>
    <x v="1"/>
    <x v="1"/>
    <x v="0"/>
    <x v="4"/>
    <n v="41.24"/>
    <x v="7"/>
    <n v="8.2479999999999905"/>
    <x v="362"/>
    <x v="88"/>
    <x v="293"/>
    <x v="1"/>
    <x v="362"/>
    <n v="4.7619047619047556"/>
    <n v="8.2479999999999905"/>
    <n v="7.1"/>
  </r>
  <r>
    <s v="834-25-9262"/>
    <x v="1"/>
    <x v="1"/>
    <x v="1"/>
    <x v="0"/>
    <x v="5"/>
    <n v="81.680000000000007"/>
    <x v="7"/>
    <n v="16.335999999999956"/>
    <x v="363"/>
    <x v="47"/>
    <x v="294"/>
    <x v="1"/>
    <x v="363"/>
    <n v="4.7619047619047494"/>
    <n v="16.335999999999956"/>
    <n v="9.1"/>
  </r>
  <r>
    <s v="122-61-9553"/>
    <x v="1"/>
    <x v="1"/>
    <x v="1"/>
    <x v="0"/>
    <x v="1"/>
    <n v="51.32"/>
    <x v="9"/>
    <n v="23.093999999999994"/>
    <x v="364"/>
    <x v="86"/>
    <x v="295"/>
    <x v="1"/>
    <x v="364"/>
    <n v="4.761904761904761"/>
    <n v="23.093999999999994"/>
    <n v="5.6"/>
  </r>
  <r>
    <s v="468-88-0009"/>
    <x v="0"/>
    <x v="0"/>
    <x v="0"/>
    <x v="1"/>
    <x v="2"/>
    <n v="65.94"/>
    <x v="7"/>
    <n v="13.187999999999988"/>
    <x v="257"/>
    <x v="62"/>
    <x v="1"/>
    <x v="1"/>
    <x v="257"/>
    <n v="4.7619047619047583"/>
    <n v="13.187999999999988"/>
    <n v="6"/>
  </r>
  <r>
    <s v="613-59-9758"/>
    <x v="1"/>
    <x v="1"/>
    <x v="1"/>
    <x v="0"/>
    <x v="3"/>
    <n v="14.36"/>
    <x v="4"/>
    <n v="7.1800000000000068"/>
    <x v="365"/>
    <x v="3"/>
    <x v="296"/>
    <x v="1"/>
    <x v="365"/>
    <n v="4.7619047619047663"/>
    <n v="7.1800000000000068"/>
    <n v="5.4"/>
  </r>
  <r>
    <s v="254-31-0042"/>
    <x v="0"/>
    <x v="0"/>
    <x v="0"/>
    <x v="1"/>
    <x v="1"/>
    <n v="21.05"/>
    <x v="9"/>
    <n v="13.724999999999994"/>
    <x v="366"/>
    <x v="43"/>
    <x v="69"/>
    <x v="2"/>
    <x v="366"/>
    <n v="4.7619047619047672"/>
    <n v="9.6750000000000114"/>
    <n v="7.8"/>
  </r>
  <r>
    <s v="201-86-2184"/>
    <x v="2"/>
    <x v="2"/>
    <x v="0"/>
    <x v="0"/>
    <x v="1"/>
    <n v="26.26"/>
    <x v="0"/>
    <n v="9.1909999999999741"/>
    <x v="367"/>
    <x v="30"/>
    <x v="138"/>
    <x v="1"/>
    <x v="367"/>
    <n v="4.7619047619047628"/>
    <n v="9.1910000000000025"/>
    <n v="9.9"/>
  </r>
  <r>
    <s v="261-12-8671"/>
    <x v="2"/>
    <x v="2"/>
    <x v="1"/>
    <x v="0"/>
    <x v="5"/>
    <n v="60.96"/>
    <x v="5"/>
    <n v="6.0959999999999894"/>
    <x v="368"/>
    <x v="25"/>
    <x v="30"/>
    <x v="2"/>
    <x v="368"/>
    <n v="4.7619047619047539"/>
    <n v="6.0959999999999894"/>
    <n v="4.9000000000000004"/>
  </r>
  <r>
    <s v="730-70-9830"/>
    <x v="1"/>
    <x v="1"/>
    <x v="1"/>
    <x v="0"/>
    <x v="2"/>
    <n v="70.11"/>
    <x v="3"/>
    <n v="21.033000000000015"/>
    <x v="369"/>
    <x v="86"/>
    <x v="297"/>
    <x v="0"/>
    <x v="369"/>
    <n v="4.761904761904753"/>
    <n v="21.032999999999959"/>
    <n v="5.2"/>
  </r>
  <r>
    <s v="382-25-8917"/>
    <x v="1"/>
    <x v="1"/>
    <x v="1"/>
    <x v="1"/>
    <x v="5"/>
    <n v="42.08"/>
    <x v="3"/>
    <n v="12.623999999999995"/>
    <x v="370"/>
    <x v="71"/>
    <x v="298"/>
    <x v="1"/>
    <x v="370"/>
    <n v="4.7619047619047601"/>
    <n v="12.623999999999995"/>
    <n v="8.9"/>
  </r>
  <r>
    <s v="422-29-8786"/>
    <x v="0"/>
    <x v="0"/>
    <x v="1"/>
    <x v="0"/>
    <x v="2"/>
    <n v="67.09"/>
    <x v="1"/>
    <n v="16.77249999999998"/>
    <x v="371"/>
    <x v="75"/>
    <x v="157"/>
    <x v="2"/>
    <x v="371"/>
    <n v="4.7619047619047716"/>
    <n v="16.772500000000036"/>
    <n v="9.1"/>
  </r>
  <r>
    <s v="667-23-5919"/>
    <x v="0"/>
    <x v="0"/>
    <x v="0"/>
    <x v="0"/>
    <x v="5"/>
    <n v="96.7"/>
    <x v="1"/>
    <n v="24.175000000000011"/>
    <x v="372"/>
    <x v="78"/>
    <x v="299"/>
    <x v="0"/>
    <x v="372"/>
    <n v="4.7619047619047636"/>
    <n v="24.175000000000011"/>
    <n v="7"/>
  </r>
  <r>
    <s v="843-01-4703"/>
    <x v="2"/>
    <x v="2"/>
    <x v="0"/>
    <x v="0"/>
    <x v="2"/>
    <n v="35.380000000000003"/>
    <x v="9"/>
    <n v="15.920999999999992"/>
    <x v="373"/>
    <x v="0"/>
    <x v="300"/>
    <x v="2"/>
    <x v="373"/>
    <n v="4.7619047619047592"/>
    <n v="15.920999999999992"/>
    <n v="9.6"/>
  </r>
  <r>
    <s v="743-88-1662"/>
    <x v="1"/>
    <x v="1"/>
    <x v="1"/>
    <x v="1"/>
    <x v="3"/>
    <n v="95.49"/>
    <x v="0"/>
    <n v="33.421500000000037"/>
    <x v="374"/>
    <x v="70"/>
    <x v="70"/>
    <x v="0"/>
    <x v="374"/>
    <n v="4.7619047619047672"/>
    <n v="33.421500000000037"/>
    <n v="8.6999999999999993"/>
  </r>
  <r>
    <s v="595-86-2894"/>
    <x v="1"/>
    <x v="1"/>
    <x v="0"/>
    <x v="1"/>
    <x v="5"/>
    <n v="96.98"/>
    <x v="7"/>
    <n v="19.395999999999958"/>
    <x v="375"/>
    <x v="10"/>
    <x v="244"/>
    <x v="0"/>
    <x v="375"/>
    <n v="4.7619047619047521"/>
    <n v="19.395999999999958"/>
    <n v="9.4"/>
  </r>
  <r>
    <s v="182-69-8360"/>
    <x v="2"/>
    <x v="2"/>
    <x v="1"/>
    <x v="0"/>
    <x v="1"/>
    <n v="23.65"/>
    <x v="7"/>
    <n v="4.730000000000004"/>
    <x v="376"/>
    <x v="74"/>
    <x v="147"/>
    <x v="2"/>
    <x v="376"/>
    <n v="4.7619047619047654"/>
    <n v="4.730000000000004"/>
    <n v="4"/>
  </r>
  <r>
    <s v="289-15-7034"/>
    <x v="0"/>
    <x v="0"/>
    <x v="0"/>
    <x v="1"/>
    <x v="3"/>
    <n v="82.33"/>
    <x v="7"/>
    <n v="16.466000000000008"/>
    <x v="377"/>
    <x v="83"/>
    <x v="4"/>
    <x v="2"/>
    <x v="377"/>
    <n v="4.7619047619047645"/>
    <n v="16.466000000000008"/>
    <n v="7.5"/>
  </r>
  <r>
    <s v="462-78-5240"/>
    <x v="1"/>
    <x v="1"/>
    <x v="1"/>
    <x v="0"/>
    <x v="1"/>
    <n v="26.61"/>
    <x v="5"/>
    <n v="2.6610000000000014"/>
    <x v="378"/>
    <x v="35"/>
    <x v="63"/>
    <x v="1"/>
    <x v="378"/>
    <n v="4.7619047619047645"/>
    <n v="2.6610000000000014"/>
    <n v="4.2"/>
  </r>
  <r>
    <s v="868-52-7573"/>
    <x v="2"/>
    <x v="2"/>
    <x v="1"/>
    <x v="0"/>
    <x v="4"/>
    <n v="99.69"/>
    <x v="1"/>
    <n v="24.922499999999957"/>
    <x v="379"/>
    <x v="78"/>
    <x v="87"/>
    <x v="1"/>
    <x v="379"/>
    <n v="4.7619047619047539"/>
    <n v="24.922499999999957"/>
    <n v="9.9"/>
  </r>
  <r>
    <s v="153-58-4872"/>
    <x v="1"/>
    <x v="1"/>
    <x v="0"/>
    <x v="0"/>
    <x v="4"/>
    <n v="74.89"/>
    <x v="7"/>
    <n v="14.978000000000009"/>
    <x v="380"/>
    <x v="59"/>
    <x v="301"/>
    <x v="0"/>
    <x v="380"/>
    <n v="4.7619047619047645"/>
    <n v="14.978000000000009"/>
    <n v="4.2"/>
  </r>
  <r>
    <s v="662-72-2873"/>
    <x v="0"/>
    <x v="0"/>
    <x v="1"/>
    <x v="0"/>
    <x v="4"/>
    <n v="40.94"/>
    <x v="1"/>
    <n v="10.235000000000014"/>
    <x v="381"/>
    <x v="47"/>
    <x v="139"/>
    <x v="0"/>
    <x v="381"/>
    <n v="4.7619047619047681"/>
    <n v="10.235000000000014"/>
    <n v="9.9"/>
  </r>
  <r>
    <s v="525-88-7307"/>
    <x v="2"/>
    <x v="2"/>
    <x v="0"/>
    <x v="1"/>
    <x v="3"/>
    <n v="75.819999999999993"/>
    <x v="8"/>
    <n v="3.791000000000011"/>
    <x v="382"/>
    <x v="82"/>
    <x v="302"/>
    <x v="1"/>
    <x v="382"/>
    <n v="4.7619047619047752"/>
    <n v="3.791000000000011"/>
    <n v="5.8"/>
  </r>
  <r>
    <s v="689-16-9784"/>
    <x v="1"/>
    <x v="1"/>
    <x v="1"/>
    <x v="1"/>
    <x v="4"/>
    <n v="46.77"/>
    <x v="3"/>
    <n v="14.031000000000006"/>
    <x v="383"/>
    <x v="16"/>
    <x v="303"/>
    <x v="1"/>
    <x v="383"/>
    <n v="4.7619047619047636"/>
    <n v="14.031000000000006"/>
    <n v="6"/>
  </r>
  <r>
    <s v="725-56-0833"/>
    <x v="0"/>
    <x v="0"/>
    <x v="1"/>
    <x v="0"/>
    <x v="0"/>
    <n v="32.32"/>
    <x v="4"/>
    <n v="16.160000000000025"/>
    <x v="384"/>
    <x v="9"/>
    <x v="208"/>
    <x v="2"/>
    <x v="384"/>
    <n v="4.761904761904769"/>
    <n v="16.160000000000025"/>
    <n v="10"/>
  </r>
  <r>
    <s v="394-41-0748"/>
    <x v="1"/>
    <x v="1"/>
    <x v="0"/>
    <x v="0"/>
    <x v="5"/>
    <n v="54.07"/>
    <x v="9"/>
    <n v="24.331500000000005"/>
    <x v="385"/>
    <x v="3"/>
    <x v="304"/>
    <x v="0"/>
    <x v="385"/>
    <n v="4.7619047619047628"/>
    <n v="24.331500000000005"/>
    <n v="9.5"/>
  </r>
  <r>
    <s v="596-42-3999"/>
    <x v="2"/>
    <x v="2"/>
    <x v="1"/>
    <x v="1"/>
    <x v="4"/>
    <n v="18.22"/>
    <x v="0"/>
    <n v="6.3770000000000095"/>
    <x v="386"/>
    <x v="24"/>
    <x v="214"/>
    <x v="2"/>
    <x v="386"/>
    <n v="4.7619047619047583"/>
    <n v="6.3769999999999953"/>
    <n v="6.6"/>
  </r>
  <r>
    <s v="541-89-9860"/>
    <x v="1"/>
    <x v="1"/>
    <x v="0"/>
    <x v="0"/>
    <x v="5"/>
    <n v="80.48"/>
    <x v="6"/>
    <n v="12.072000000000003"/>
    <x v="387"/>
    <x v="42"/>
    <x v="305"/>
    <x v="1"/>
    <x v="387"/>
    <n v="4.7619047619047628"/>
    <n v="12.072000000000003"/>
    <n v="8.1"/>
  </r>
  <r>
    <s v="173-82-9529"/>
    <x v="2"/>
    <x v="2"/>
    <x v="1"/>
    <x v="0"/>
    <x v="5"/>
    <n v="37.950000000000003"/>
    <x v="4"/>
    <n v="18.975000000000023"/>
    <x v="388"/>
    <x v="53"/>
    <x v="178"/>
    <x v="1"/>
    <x v="388"/>
    <n v="4.7619047619047672"/>
    <n v="18.975000000000023"/>
    <n v="9.6999999999999993"/>
  </r>
  <r>
    <s v="563-36-9814"/>
    <x v="0"/>
    <x v="0"/>
    <x v="0"/>
    <x v="1"/>
    <x v="1"/>
    <n v="76.819999999999993"/>
    <x v="8"/>
    <n v="3.8410000000000082"/>
    <x v="389"/>
    <x v="77"/>
    <x v="185"/>
    <x v="0"/>
    <x v="389"/>
    <n v="4.7619047619047716"/>
    <n v="3.8410000000000082"/>
    <n v="7.2"/>
  </r>
  <r>
    <s v="308-47-4913"/>
    <x v="0"/>
    <x v="0"/>
    <x v="0"/>
    <x v="0"/>
    <x v="3"/>
    <n v="52.26"/>
    <x v="4"/>
    <n v="26.129999999999995"/>
    <x v="390"/>
    <x v="11"/>
    <x v="47"/>
    <x v="2"/>
    <x v="390"/>
    <n v="4.761904761904761"/>
    <n v="26.129999999999995"/>
    <n v="6.2"/>
  </r>
  <r>
    <s v="885-17-6250"/>
    <x v="0"/>
    <x v="0"/>
    <x v="1"/>
    <x v="0"/>
    <x v="0"/>
    <n v="79.739999999999995"/>
    <x v="8"/>
    <n v="3.987000000000009"/>
    <x v="391"/>
    <x v="43"/>
    <x v="130"/>
    <x v="0"/>
    <x v="391"/>
    <n v="4.7619047619047725"/>
    <n v="3.987000000000009"/>
    <n v="7.3"/>
  </r>
  <r>
    <s v="726-27-2396"/>
    <x v="0"/>
    <x v="0"/>
    <x v="1"/>
    <x v="0"/>
    <x v="0"/>
    <n v="77.5"/>
    <x v="1"/>
    <n v="19.375"/>
    <x v="392"/>
    <x v="46"/>
    <x v="58"/>
    <x v="0"/>
    <x v="392"/>
    <n v="4.7619047619047619"/>
    <n v="19.375"/>
    <n v="4.3"/>
  </r>
  <r>
    <s v="316-01-3952"/>
    <x v="0"/>
    <x v="0"/>
    <x v="1"/>
    <x v="0"/>
    <x v="4"/>
    <n v="54.27"/>
    <x v="1"/>
    <n v="13.567499999999995"/>
    <x v="393"/>
    <x v="45"/>
    <x v="249"/>
    <x v="0"/>
    <x v="393"/>
    <n v="4.7619047619047601"/>
    <n v="13.567499999999995"/>
    <n v="4.5999999999999996"/>
  </r>
  <r>
    <s v="760-54-1821"/>
    <x v="2"/>
    <x v="2"/>
    <x v="1"/>
    <x v="1"/>
    <x v="2"/>
    <n v="13.59"/>
    <x v="9"/>
    <n v="6.1154999999999973"/>
    <x v="394"/>
    <x v="20"/>
    <x v="306"/>
    <x v="1"/>
    <x v="394"/>
    <n v="4.7619047619047592"/>
    <n v="6.1154999999999973"/>
    <n v="5.8"/>
  </r>
  <r>
    <s v="793-10-3222"/>
    <x v="2"/>
    <x v="2"/>
    <x v="0"/>
    <x v="0"/>
    <x v="0"/>
    <n v="41.06"/>
    <x v="3"/>
    <n v="12.317999999999984"/>
    <x v="395"/>
    <x v="19"/>
    <x v="241"/>
    <x v="2"/>
    <x v="395"/>
    <n v="4.7619047619047556"/>
    <n v="12.317999999999984"/>
    <n v="8.3000000000000007"/>
  </r>
  <r>
    <s v="346-12-3257"/>
    <x v="2"/>
    <x v="2"/>
    <x v="0"/>
    <x v="1"/>
    <x v="1"/>
    <n v="19.239999999999998"/>
    <x v="9"/>
    <n v="8.6580000000000155"/>
    <x v="396"/>
    <x v="31"/>
    <x v="235"/>
    <x v="1"/>
    <x v="396"/>
    <n v="4.7619047619047699"/>
    <n v="8.6580000000000155"/>
    <n v="8"/>
  </r>
  <r>
    <s v="110-05-6330"/>
    <x v="1"/>
    <x v="1"/>
    <x v="1"/>
    <x v="0"/>
    <x v="4"/>
    <n v="39.43"/>
    <x v="3"/>
    <n v="11.829000000000008"/>
    <x v="397"/>
    <x v="5"/>
    <x v="307"/>
    <x v="2"/>
    <x v="397"/>
    <n v="4.7619047619047539"/>
    <n v="11.828999999999979"/>
    <n v="9.4"/>
  </r>
  <r>
    <s v="651-61-0874"/>
    <x v="1"/>
    <x v="1"/>
    <x v="1"/>
    <x v="1"/>
    <x v="2"/>
    <n v="46.22"/>
    <x v="7"/>
    <n v="9.2439999999999998"/>
    <x v="398"/>
    <x v="41"/>
    <x v="308"/>
    <x v="2"/>
    <x v="398"/>
    <n v="4.7619047619047619"/>
    <n v="9.2439999999999998"/>
    <n v="6.2"/>
  </r>
  <r>
    <s v="236-86-3015"/>
    <x v="1"/>
    <x v="1"/>
    <x v="0"/>
    <x v="1"/>
    <x v="2"/>
    <n v="13.98"/>
    <x v="8"/>
    <n v="0.69899999999999984"/>
    <x v="399"/>
    <x v="87"/>
    <x v="309"/>
    <x v="0"/>
    <x v="399"/>
    <n v="4.761904761904761"/>
    <n v="0.69899999999999984"/>
    <n v="9.8000000000000007"/>
  </r>
  <r>
    <s v="831-64-0259"/>
    <x v="2"/>
    <x v="2"/>
    <x v="1"/>
    <x v="0"/>
    <x v="5"/>
    <n v="39.75"/>
    <x v="1"/>
    <n v="9.9375"/>
    <x v="400"/>
    <x v="70"/>
    <x v="100"/>
    <x v="0"/>
    <x v="400"/>
    <n v="4.7619047619047619"/>
    <n v="9.9375"/>
    <n v="9.6"/>
  </r>
  <r>
    <s v="587-03-7455"/>
    <x v="1"/>
    <x v="1"/>
    <x v="0"/>
    <x v="0"/>
    <x v="5"/>
    <n v="97.79"/>
    <x v="0"/>
    <n v="34.226499999999874"/>
    <x v="401"/>
    <x v="69"/>
    <x v="310"/>
    <x v="0"/>
    <x v="401"/>
    <n v="4.7619047619047601"/>
    <n v="34.226499999999987"/>
    <n v="4.9000000000000004"/>
  </r>
  <r>
    <s v="882-40-4577"/>
    <x v="0"/>
    <x v="0"/>
    <x v="0"/>
    <x v="1"/>
    <x v="3"/>
    <n v="67.260000000000005"/>
    <x v="7"/>
    <n v="13.451999999999998"/>
    <x v="402"/>
    <x v="64"/>
    <x v="311"/>
    <x v="2"/>
    <x v="402"/>
    <n v="4.761904761904761"/>
    <n v="13.451999999999998"/>
    <n v="8"/>
  </r>
  <r>
    <s v="732-67-5346"/>
    <x v="0"/>
    <x v="0"/>
    <x v="1"/>
    <x v="1"/>
    <x v="4"/>
    <n v="13.79"/>
    <x v="1"/>
    <n v="3.4475000000000051"/>
    <x v="403"/>
    <x v="83"/>
    <x v="312"/>
    <x v="2"/>
    <x v="403"/>
    <n v="4.7619047619047494"/>
    <n v="3.4474999999999909"/>
    <n v="7.8"/>
  </r>
  <r>
    <s v="725-32-9708"/>
    <x v="2"/>
    <x v="2"/>
    <x v="0"/>
    <x v="0"/>
    <x v="5"/>
    <n v="68.709999999999994"/>
    <x v="7"/>
    <n v="13.742000000000019"/>
    <x v="404"/>
    <x v="72"/>
    <x v="54"/>
    <x v="1"/>
    <x v="404"/>
    <n v="4.761904761904769"/>
    <n v="13.742000000000019"/>
    <n v="4.0999999999999996"/>
  </r>
  <r>
    <s v="256-08-8343"/>
    <x v="0"/>
    <x v="0"/>
    <x v="1"/>
    <x v="0"/>
    <x v="2"/>
    <n v="56.53"/>
    <x v="7"/>
    <n v="11.305999999999983"/>
    <x v="405"/>
    <x v="31"/>
    <x v="28"/>
    <x v="0"/>
    <x v="405"/>
    <n v="4.7619047619047556"/>
    <n v="11.305999999999983"/>
    <n v="5.5"/>
  </r>
  <r>
    <s v="372-26-1506"/>
    <x v="1"/>
    <x v="1"/>
    <x v="1"/>
    <x v="0"/>
    <x v="5"/>
    <n v="23.82"/>
    <x v="1"/>
    <n v="5.9550000000000125"/>
    <x v="406"/>
    <x v="26"/>
    <x v="225"/>
    <x v="0"/>
    <x v="406"/>
    <n v="4.7619047619047716"/>
    <n v="5.9550000000000125"/>
    <n v="5.4"/>
  </r>
  <r>
    <s v="244-08-0162"/>
    <x v="2"/>
    <x v="2"/>
    <x v="1"/>
    <x v="0"/>
    <x v="0"/>
    <n v="34.21"/>
    <x v="4"/>
    <n v="17.104999999999961"/>
    <x v="407"/>
    <x v="56"/>
    <x v="127"/>
    <x v="1"/>
    <x v="407"/>
    <n v="4.7619047619047512"/>
    <n v="17.104999999999961"/>
    <n v="5.0999999999999996"/>
  </r>
  <r>
    <s v="569-71-4390"/>
    <x v="2"/>
    <x v="2"/>
    <x v="1"/>
    <x v="1"/>
    <x v="3"/>
    <n v="21.87"/>
    <x v="5"/>
    <n v="2.1869999999999976"/>
    <x v="408"/>
    <x v="25"/>
    <x v="194"/>
    <x v="0"/>
    <x v="408"/>
    <n v="4.7619047619047565"/>
    <n v="2.1869999999999976"/>
    <n v="6.9"/>
  </r>
  <r>
    <s v="132-23-6451"/>
    <x v="0"/>
    <x v="0"/>
    <x v="0"/>
    <x v="1"/>
    <x v="0"/>
    <n v="20.97"/>
    <x v="1"/>
    <n v="5.2425000000000068"/>
    <x v="409"/>
    <x v="72"/>
    <x v="265"/>
    <x v="1"/>
    <x v="409"/>
    <n v="4.7619047619047681"/>
    <n v="5.2425000000000068"/>
    <n v="7.8"/>
  </r>
  <r>
    <s v="696-90-2548"/>
    <x v="0"/>
    <x v="0"/>
    <x v="1"/>
    <x v="1"/>
    <x v="3"/>
    <n v="25.84"/>
    <x v="6"/>
    <n v="3.8760000000000048"/>
    <x v="410"/>
    <x v="24"/>
    <x v="313"/>
    <x v="0"/>
    <x v="410"/>
    <n v="4.7619047619047681"/>
    <n v="3.8760000000000048"/>
    <n v="6.6"/>
  </r>
  <r>
    <s v="472-15-9636"/>
    <x v="0"/>
    <x v="0"/>
    <x v="1"/>
    <x v="1"/>
    <x v="2"/>
    <n v="50.93"/>
    <x v="2"/>
    <n v="20.372000000000014"/>
    <x v="411"/>
    <x v="23"/>
    <x v="314"/>
    <x v="0"/>
    <x v="411"/>
    <n v="4.7619047619047654"/>
    <n v="20.372000000000014"/>
    <n v="9.1999999999999993"/>
  </r>
  <r>
    <s v="268-03-6164"/>
    <x v="2"/>
    <x v="2"/>
    <x v="1"/>
    <x v="1"/>
    <x v="0"/>
    <n v="96.11"/>
    <x v="8"/>
    <n v="4.805499999999995"/>
    <x v="412"/>
    <x v="25"/>
    <x v="235"/>
    <x v="0"/>
    <x v="412"/>
    <n v="4.7619047619047574"/>
    <n v="4.805499999999995"/>
    <n v="7.8"/>
  </r>
  <r>
    <s v="750-57-9686"/>
    <x v="1"/>
    <x v="1"/>
    <x v="1"/>
    <x v="0"/>
    <x v="2"/>
    <n v="45.38"/>
    <x v="7"/>
    <n v="9.0759999999999934"/>
    <x v="413"/>
    <x v="66"/>
    <x v="128"/>
    <x v="2"/>
    <x v="413"/>
    <n v="4.7619047619047583"/>
    <n v="9.0759999999999934"/>
    <n v="8.6999999999999993"/>
  </r>
  <r>
    <s v="186-09-3669"/>
    <x v="1"/>
    <x v="1"/>
    <x v="0"/>
    <x v="0"/>
    <x v="0"/>
    <n v="81.510000000000005"/>
    <x v="8"/>
    <n v="4.075499999999991"/>
    <x v="414"/>
    <x v="49"/>
    <x v="315"/>
    <x v="0"/>
    <x v="414"/>
    <n v="4.7619047619047521"/>
    <n v="4.075499999999991"/>
    <n v="9.1999999999999993"/>
  </r>
  <r>
    <s v="848-07-1692"/>
    <x v="2"/>
    <x v="2"/>
    <x v="1"/>
    <x v="0"/>
    <x v="0"/>
    <n v="57.22"/>
    <x v="5"/>
    <n v="5.7220000000000084"/>
    <x v="415"/>
    <x v="52"/>
    <x v="316"/>
    <x v="0"/>
    <x v="415"/>
    <n v="4.761904761904769"/>
    <n v="5.7220000000000084"/>
    <n v="8.3000000000000007"/>
  </r>
  <r>
    <s v="745-71-3520"/>
    <x v="0"/>
    <x v="0"/>
    <x v="0"/>
    <x v="0"/>
    <x v="1"/>
    <n v="25.22"/>
    <x v="0"/>
    <n v="8.8269999999999982"/>
    <x v="416"/>
    <x v="87"/>
    <x v="81"/>
    <x v="1"/>
    <x v="416"/>
    <n v="4.761904761904761"/>
    <n v="8.8269999999999982"/>
    <n v="8.1999999999999993"/>
  </r>
  <r>
    <s v="266-76-6436"/>
    <x v="1"/>
    <x v="1"/>
    <x v="0"/>
    <x v="0"/>
    <x v="4"/>
    <n v="38.6"/>
    <x v="6"/>
    <n v="5.789999999999992"/>
    <x v="417"/>
    <x v="61"/>
    <x v="317"/>
    <x v="0"/>
    <x v="417"/>
    <n v="4.7619047619047672"/>
    <n v="5.7900000000000063"/>
    <n v="7.5"/>
  </r>
  <r>
    <s v="740-22-2500"/>
    <x v="1"/>
    <x v="1"/>
    <x v="1"/>
    <x v="0"/>
    <x v="1"/>
    <n v="84.05"/>
    <x v="6"/>
    <n v="12.607500000000016"/>
    <x v="418"/>
    <x v="54"/>
    <x v="236"/>
    <x v="1"/>
    <x v="418"/>
    <n v="4.7619047619047574"/>
    <n v="12.607499999999987"/>
    <n v="9.8000000000000007"/>
  </r>
  <r>
    <s v="271-88-8734"/>
    <x v="1"/>
    <x v="1"/>
    <x v="0"/>
    <x v="0"/>
    <x v="5"/>
    <n v="97.21"/>
    <x v="4"/>
    <n v="48.605000000000132"/>
    <x v="419"/>
    <x v="4"/>
    <x v="127"/>
    <x v="2"/>
    <x v="419"/>
    <n v="4.7619047619047636"/>
    <n v="48.605000000000018"/>
    <n v="8.6999999999999993"/>
  </r>
  <r>
    <s v="301-81-8610"/>
    <x v="2"/>
    <x v="2"/>
    <x v="0"/>
    <x v="1"/>
    <x v="5"/>
    <n v="25.42"/>
    <x v="2"/>
    <n v="10.167999999999978"/>
    <x v="420"/>
    <x v="35"/>
    <x v="144"/>
    <x v="2"/>
    <x v="420"/>
    <n v="4.7619047619047521"/>
    <n v="10.167999999999978"/>
    <n v="6.7"/>
  </r>
  <r>
    <s v="489-64-4354"/>
    <x v="1"/>
    <x v="1"/>
    <x v="1"/>
    <x v="1"/>
    <x v="5"/>
    <n v="16.28"/>
    <x v="8"/>
    <n v="0.81400000000000006"/>
    <x v="421"/>
    <x v="11"/>
    <x v="29"/>
    <x v="1"/>
    <x v="421"/>
    <n v="4.7619047619047619"/>
    <n v="0.81400000000000006"/>
    <n v="5"/>
  </r>
  <r>
    <s v="198-84-7132"/>
    <x v="2"/>
    <x v="2"/>
    <x v="0"/>
    <x v="1"/>
    <x v="5"/>
    <n v="40.61"/>
    <x v="9"/>
    <n v="18.274499999999989"/>
    <x v="422"/>
    <x v="56"/>
    <x v="61"/>
    <x v="1"/>
    <x v="422"/>
    <n v="4.7619047619047592"/>
    <n v="18.274499999999989"/>
    <n v="7"/>
  </r>
  <r>
    <s v="269-10-8440"/>
    <x v="0"/>
    <x v="0"/>
    <x v="0"/>
    <x v="1"/>
    <x v="0"/>
    <n v="53.17"/>
    <x v="0"/>
    <n v="18.609500000000025"/>
    <x v="423"/>
    <x v="18"/>
    <x v="240"/>
    <x v="1"/>
    <x v="423"/>
    <n v="4.7619047619047681"/>
    <n v="18.609500000000025"/>
    <n v="8.9"/>
  </r>
  <r>
    <s v="650-98-6268"/>
    <x v="2"/>
    <x v="2"/>
    <x v="0"/>
    <x v="0"/>
    <x v="4"/>
    <n v="20.87"/>
    <x v="6"/>
    <n v="3.1304999999999978"/>
    <x v="424"/>
    <x v="80"/>
    <x v="318"/>
    <x v="2"/>
    <x v="424"/>
    <n v="4.7619047619047592"/>
    <n v="3.1304999999999978"/>
    <n v="8"/>
  </r>
  <r>
    <s v="741-73-3559"/>
    <x v="2"/>
    <x v="2"/>
    <x v="1"/>
    <x v="1"/>
    <x v="3"/>
    <n v="67.27"/>
    <x v="1"/>
    <n v="16.817500000000052"/>
    <x v="425"/>
    <x v="33"/>
    <x v="272"/>
    <x v="1"/>
    <x v="425"/>
    <n v="4.7619047619047601"/>
    <n v="16.817499999999995"/>
    <n v="6.9"/>
  </r>
  <r>
    <s v="325-77-6186"/>
    <x v="0"/>
    <x v="0"/>
    <x v="0"/>
    <x v="0"/>
    <x v="2"/>
    <n v="90.65"/>
    <x v="4"/>
    <n v="45.325000000000045"/>
    <x v="426"/>
    <x v="1"/>
    <x v="164"/>
    <x v="0"/>
    <x v="426"/>
    <n v="4.7619047619047663"/>
    <n v="45.325000000000045"/>
    <n v="7.3"/>
  </r>
  <r>
    <s v="286-75-7818"/>
    <x v="2"/>
    <x v="2"/>
    <x v="1"/>
    <x v="1"/>
    <x v="5"/>
    <n v="69.08"/>
    <x v="5"/>
    <n v="6.9080000000000155"/>
    <x v="427"/>
    <x v="82"/>
    <x v="28"/>
    <x v="2"/>
    <x v="427"/>
    <n v="4.7619047619047716"/>
    <n v="6.9080000000000155"/>
    <n v="6.9"/>
  </r>
  <r>
    <s v="574-57-9721"/>
    <x v="1"/>
    <x v="1"/>
    <x v="1"/>
    <x v="1"/>
    <x v="4"/>
    <n v="43.27"/>
    <x v="5"/>
    <n v="4.3269999999999982"/>
    <x v="428"/>
    <x v="1"/>
    <x v="319"/>
    <x v="0"/>
    <x v="428"/>
    <n v="4.7619047619047592"/>
    <n v="4.3269999999999982"/>
    <n v="5.7"/>
  </r>
  <r>
    <s v="459-50-7686"/>
    <x v="0"/>
    <x v="0"/>
    <x v="1"/>
    <x v="0"/>
    <x v="1"/>
    <n v="23.46"/>
    <x v="3"/>
    <n v="7.0380000000000109"/>
    <x v="429"/>
    <x v="50"/>
    <x v="195"/>
    <x v="0"/>
    <x v="429"/>
    <n v="4.761904761904769"/>
    <n v="7.0380000000000109"/>
    <n v="6.4"/>
  </r>
  <r>
    <s v="616-87-0016"/>
    <x v="2"/>
    <x v="2"/>
    <x v="1"/>
    <x v="1"/>
    <x v="5"/>
    <n v="95.54"/>
    <x v="0"/>
    <n v="33.438999999999965"/>
    <x v="430"/>
    <x v="11"/>
    <x v="6"/>
    <x v="2"/>
    <x v="430"/>
    <n v="4.7619047619047725"/>
    <n v="33.439000000000078"/>
    <n v="9.6"/>
  </r>
  <r>
    <s v="837-55-7229"/>
    <x v="2"/>
    <x v="2"/>
    <x v="1"/>
    <x v="0"/>
    <x v="5"/>
    <n v="47.44"/>
    <x v="8"/>
    <n v="2.3719999999999999"/>
    <x v="431"/>
    <x v="70"/>
    <x v="96"/>
    <x v="2"/>
    <x v="431"/>
    <n v="4.7619047619047619"/>
    <n v="2.3719999999999999"/>
    <n v="6.8"/>
  </r>
  <r>
    <s v="751-69-0068"/>
    <x v="1"/>
    <x v="1"/>
    <x v="1"/>
    <x v="1"/>
    <x v="3"/>
    <n v="99.24"/>
    <x v="9"/>
    <n v="44.658000000000015"/>
    <x v="432"/>
    <x v="35"/>
    <x v="268"/>
    <x v="0"/>
    <x v="432"/>
    <n v="4.7619047619047636"/>
    <n v="44.658000000000015"/>
    <n v="9"/>
  </r>
  <r>
    <s v="257-73-1380"/>
    <x v="1"/>
    <x v="1"/>
    <x v="0"/>
    <x v="1"/>
    <x v="3"/>
    <n v="82.93"/>
    <x v="7"/>
    <n v="16.585999999999956"/>
    <x v="433"/>
    <x v="40"/>
    <x v="320"/>
    <x v="0"/>
    <x v="433"/>
    <n v="4.7619047619047494"/>
    <n v="16.585999999999956"/>
    <n v="9.6"/>
  </r>
  <r>
    <s v="345-08-4992"/>
    <x v="0"/>
    <x v="0"/>
    <x v="1"/>
    <x v="1"/>
    <x v="2"/>
    <n v="33.99"/>
    <x v="3"/>
    <n v="10.197000000000003"/>
    <x v="434"/>
    <x v="1"/>
    <x v="321"/>
    <x v="2"/>
    <x v="434"/>
    <n v="4.7619047619047628"/>
    <n v="10.197000000000003"/>
    <n v="7.7"/>
  </r>
  <r>
    <s v="549-96-4200"/>
    <x v="1"/>
    <x v="1"/>
    <x v="0"/>
    <x v="1"/>
    <x v="4"/>
    <n v="17.04"/>
    <x v="7"/>
    <n v="3.4080000000000013"/>
    <x v="435"/>
    <x v="1"/>
    <x v="322"/>
    <x v="0"/>
    <x v="435"/>
    <n v="4.7619047619047636"/>
    <n v="3.4080000000000013"/>
    <n v="7"/>
  </r>
  <r>
    <s v="810-60-6344"/>
    <x v="1"/>
    <x v="1"/>
    <x v="1"/>
    <x v="0"/>
    <x v="1"/>
    <n v="40.86"/>
    <x v="2"/>
    <n v="16.343999999999994"/>
    <x v="436"/>
    <x v="13"/>
    <x v="242"/>
    <x v="2"/>
    <x v="436"/>
    <n v="4.7619047619047601"/>
    <n v="16.343999999999994"/>
    <n v="6.5"/>
  </r>
  <r>
    <s v="450-28-2866"/>
    <x v="1"/>
    <x v="1"/>
    <x v="0"/>
    <x v="1"/>
    <x v="4"/>
    <n v="17.440000000000001"/>
    <x v="1"/>
    <n v="4.3599999999999994"/>
    <x v="437"/>
    <x v="15"/>
    <x v="126"/>
    <x v="1"/>
    <x v="437"/>
    <n v="4.761904761904761"/>
    <n v="4.3599999999999994"/>
    <n v="8.1"/>
  </r>
  <r>
    <s v="394-30-3170"/>
    <x v="2"/>
    <x v="2"/>
    <x v="0"/>
    <x v="0"/>
    <x v="3"/>
    <n v="88.43"/>
    <x v="2"/>
    <n v="35.371999999999957"/>
    <x v="438"/>
    <x v="23"/>
    <x v="323"/>
    <x v="2"/>
    <x v="438"/>
    <n v="4.7619047619047556"/>
    <n v="35.371999999999957"/>
    <n v="4.3"/>
  </r>
  <r>
    <s v="138-17-5109"/>
    <x v="0"/>
    <x v="0"/>
    <x v="0"/>
    <x v="0"/>
    <x v="2"/>
    <n v="89.21"/>
    <x v="9"/>
    <n v="40.144499999999994"/>
    <x v="439"/>
    <x v="15"/>
    <x v="324"/>
    <x v="2"/>
    <x v="439"/>
    <n v="4.761904761904761"/>
    <n v="40.144499999999994"/>
    <n v="6.5"/>
  </r>
  <r>
    <s v="192-98-7397"/>
    <x v="1"/>
    <x v="1"/>
    <x v="1"/>
    <x v="1"/>
    <x v="5"/>
    <n v="12.78"/>
    <x v="8"/>
    <n v="0.63900000000000112"/>
    <x v="440"/>
    <x v="66"/>
    <x v="325"/>
    <x v="0"/>
    <x v="440"/>
    <n v="4.7619047619047699"/>
    <n v="0.63900000000000112"/>
    <n v="9.5"/>
  </r>
  <r>
    <s v="301-11-9629"/>
    <x v="0"/>
    <x v="0"/>
    <x v="1"/>
    <x v="0"/>
    <x v="3"/>
    <n v="19.010000000000002"/>
    <x v="0"/>
    <n v="7.3149999999999693"/>
    <x v="441"/>
    <x v="15"/>
    <x v="100"/>
    <x v="1"/>
    <x v="441"/>
    <n v="4.7619047619047636"/>
    <n v="6.6850000000000023"/>
    <n v="9.6999999999999993"/>
  </r>
  <r>
    <s v="390-80-5128"/>
    <x v="2"/>
    <x v="2"/>
    <x v="0"/>
    <x v="0"/>
    <x v="0"/>
    <n v="19.149999999999999"/>
    <x v="8"/>
    <n v="0.95750000000000313"/>
    <x v="442"/>
    <x v="26"/>
    <x v="326"/>
    <x v="2"/>
    <x v="442"/>
    <n v="4.761904761904777"/>
    <n v="0.95750000000000313"/>
    <n v="9.5"/>
  </r>
  <r>
    <s v="235-46-8343"/>
    <x v="1"/>
    <x v="1"/>
    <x v="0"/>
    <x v="1"/>
    <x v="4"/>
    <n v="27.66"/>
    <x v="4"/>
    <n v="13.829999999999984"/>
    <x v="443"/>
    <x v="44"/>
    <x v="55"/>
    <x v="2"/>
    <x v="443"/>
    <n v="4.7619047619047556"/>
    <n v="13.829999999999984"/>
    <n v="8.9"/>
  </r>
  <r>
    <s v="453-12-7053"/>
    <x v="1"/>
    <x v="1"/>
    <x v="1"/>
    <x v="1"/>
    <x v="5"/>
    <n v="45.74"/>
    <x v="6"/>
    <n v="6.86099999999999"/>
    <x v="444"/>
    <x v="24"/>
    <x v="180"/>
    <x v="2"/>
    <x v="444"/>
    <n v="4.7619047619047556"/>
    <n v="6.86099999999999"/>
    <n v="6.5"/>
  </r>
  <r>
    <s v="296-11-7041"/>
    <x v="2"/>
    <x v="2"/>
    <x v="0"/>
    <x v="0"/>
    <x v="0"/>
    <n v="27.07"/>
    <x v="8"/>
    <n v="1.3535000000000004"/>
    <x v="445"/>
    <x v="52"/>
    <x v="105"/>
    <x v="2"/>
    <x v="445"/>
    <n v="4.7619047619047628"/>
    <n v="1.3535000000000004"/>
    <n v="5.3"/>
  </r>
  <r>
    <s v="449-27-2918"/>
    <x v="2"/>
    <x v="2"/>
    <x v="0"/>
    <x v="0"/>
    <x v="3"/>
    <n v="39.119999999999997"/>
    <x v="8"/>
    <n v="1.9560000000000031"/>
    <x v="446"/>
    <x v="58"/>
    <x v="327"/>
    <x v="2"/>
    <x v="446"/>
    <n v="4.761904761904769"/>
    <n v="1.9560000000000031"/>
    <n v="9.6"/>
  </r>
  <r>
    <s v="891-01-7034"/>
    <x v="2"/>
    <x v="2"/>
    <x v="1"/>
    <x v="0"/>
    <x v="1"/>
    <n v="74.709999999999994"/>
    <x v="3"/>
    <n v="22.413000000000011"/>
    <x v="447"/>
    <x v="17"/>
    <x v="312"/>
    <x v="1"/>
    <x v="447"/>
    <n v="4.7619047619047645"/>
    <n v="22.413000000000011"/>
    <n v="6.7"/>
  </r>
  <r>
    <s v="744-09-5786"/>
    <x v="2"/>
    <x v="2"/>
    <x v="1"/>
    <x v="1"/>
    <x v="1"/>
    <n v="22.01"/>
    <x v="3"/>
    <n v="6.6030000000000086"/>
    <x v="448"/>
    <x v="56"/>
    <x v="68"/>
    <x v="1"/>
    <x v="448"/>
    <n v="4.7619047619047681"/>
    <n v="6.6030000000000086"/>
    <n v="7.6"/>
  </r>
  <r>
    <s v="727-17-0390"/>
    <x v="0"/>
    <x v="0"/>
    <x v="1"/>
    <x v="0"/>
    <x v="4"/>
    <n v="63.61"/>
    <x v="1"/>
    <n v="15.902499999999975"/>
    <x v="449"/>
    <x v="32"/>
    <x v="31"/>
    <x v="0"/>
    <x v="449"/>
    <n v="4.7619047619047548"/>
    <n v="15.902499999999975"/>
    <n v="4.8"/>
  </r>
  <r>
    <s v="568-88-3448"/>
    <x v="0"/>
    <x v="0"/>
    <x v="1"/>
    <x v="1"/>
    <x v="0"/>
    <n v="25"/>
    <x v="8"/>
    <n v="1.25"/>
    <x v="450"/>
    <x v="2"/>
    <x v="328"/>
    <x v="0"/>
    <x v="450"/>
    <n v="4.7619047619047619"/>
    <n v="1.25"/>
    <n v="5.5"/>
  </r>
  <r>
    <s v="187-83-5490"/>
    <x v="0"/>
    <x v="0"/>
    <x v="0"/>
    <x v="1"/>
    <x v="1"/>
    <n v="20.77"/>
    <x v="7"/>
    <n v="4.1539999999999964"/>
    <x v="451"/>
    <x v="82"/>
    <x v="329"/>
    <x v="1"/>
    <x v="451"/>
    <n v="4.7619047619047583"/>
    <n v="4.1539999999999964"/>
    <n v="4.7"/>
  </r>
  <r>
    <s v="767-54-1907"/>
    <x v="2"/>
    <x v="2"/>
    <x v="0"/>
    <x v="0"/>
    <x v="5"/>
    <n v="29.56"/>
    <x v="1"/>
    <n v="7.3900000000000148"/>
    <x v="452"/>
    <x v="77"/>
    <x v="330"/>
    <x v="1"/>
    <x v="452"/>
    <n v="4.761904761904753"/>
    <n v="7.3899999999999864"/>
    <n v="6.9"/>
  </r>
  <r>
    <s v="710-46-4433"/>
    <x v="2"/>
    <x v="2"/>
    <x v="0"/>
    <x v="0"/>
    <x v="4"/>
    <n v="77.400000000000006"/>
    <x v="9"/>
    <n v="34.829999999999927"/>
    <x v="453"/>
    <x v="42"/>
    <x v="331"/>
    <x v="2"/>
    <x v="453"/>
    <n v="4.761904761904753"/>
    <n v="34.829999999999927"/>
    <n v="4.5"/>
  </r>
  <r>
    <s v="533-33-5337"/>
    <x v="2"/>
    <x v="2"/>
    <x v="1"/>
    <x v="1"/>
    <x v="1"/>
    <n v="79.39"/>
    <x v="4"/>
    <n v="39.69500000000005"/>
    <x v="454"/>
    <x v="13"/>
    <x v="181"/>
    <x v="1"/>
    <x v="454"/>
    <n v="4.7619047619047681"/>
    <n v="39.69500000000005"/>
    <n v="6.2"/>
  </r>
  <r>
    <s v="325-90-8763"/>
    <x v="1"/>
    <x v="1"/>
    <x v="0"/>
    <x v="0"/>
    <x v="1"/>
    <n v="46.57"/>
    <x v="4"/>
    <n v="23.285000000000025"/>
    <x v="455"/>
    <x v="3"/>
    <x v="139"/>
    <x v="1"/>
    <x v="455"/>
    <n v="4.7619047619047672"/>
    <n v="23.285000000000025"/>
    <n v="7.6"/>
  </r>
  <r>
    <s v="729-46-7422"/>
    <x v="1"/>
    <x v="1"/>
    <x v="1"/>
    <x v="1"/>
    <x v="4"/>
    <n v="35.89"/>
    <x v="8"/>
    <n v="1.7944999999999993"/>
    <x v="456"/>
    <x v="55"/>
    <x v="233"/>
    <x v="2"/>
    <x v="456"/>
    <n v="4.7619047619047601"/>
    <n v="1.7944999999999993"/>
    <n v="7.9"/>
  </r>
  <r>
    <s v="639-76-1242"/>
    <x v="1"/>
    <x v="1"/>
    <x v="1"/>
    <x v="1"/>
    <x v="4"/>
    <n v="40.520000000000003"/>
    <x v="1"/>
    <n v="10.129999999999967"/>
    <x v="457"/>
    <x v="36"/>
    <x v="332"/>
    <x v="1"/>
    <x v="457"/>
    <n v="4.7619047619047601"/>
    <n v="10.129999999999995"/>
    <n v="4.5"/>
  </r>
  <r>
    <s v="234-03-4040"/>
    <x v="2"/>
    <x v="2"/>
    <x v="0"/>
    <x v="0"/>
    <x v="4"/>
    <n v="73.05"/>
    <x v="4"/>
    <n v="36.524999999999977"/>
    <x v="458"/>
    <x v="2"/>
    <x v="298"/>
    <x v="2"/>
    <x v="458"/>
    <n v="4.7619047619047592"/>
    <n v="36.524999999999977"/>
    <n v="8.6999999999999993"/>
  </r>
  <r>
    <s v="326-71-2155"/>
    <x v="1"/>
    <x v="1"/>
    <x v="1"/>
    <x v="0"/>
    <x v="3"/>
    <n v="73.95"/>
    <x v="7"/>
    <n v="14.789999999999964"/>
    <x v="459"/>
    <x v="36"/>
    <x v="177"/>
    <x v="1"/>
    <x v="459"/>
    <n v="4.7619047619047503"/>
    <n v="14.789999999999964"/>
    <n v="6.1"/>
  </r>
  <r>
    <s v="320-32-8842"/>
    <x v="1"/>
    <x v="1"/>
    <x v="0"/>
    <x v="0"/>
    <x v="4"/>
    <n v="22.62"/>
    <x v="8"/>
    <n v="1.1310000000000002"/>
    <x v="460"/>
    <x v="85"/>
    <x v="262"/>
    <x v="1"/>
    <x v="460"/>
    <n v="4.7619047619047628"/>
    <n v="1.1310000000000002"/>
    <n v="6.4"/>
  </r>
  <r>
    <s v="470-32-9057"/>
    <x v="0"/>
    <x v="0"/>
    <x v="0"/>
    <x v="1"/>
    <x v="4"/>
    <n v="51.34"/>
    <x v="1"/>
    <n v="12.83499999999998"/>
    <x v="461"/>
    <x v="61"/>
    <x v="26"/>
    <x v="2"/>
    <x v="461"/>
    <n v="4.7619047619047752"/>
    <n v="12.835000000000036"/>
    <n v="9.1"/>
  </r>
  <r>
    <s v="878-30-2331"/>
    <x v="1"/>
    <x v="1"/>
    <x v="0"/>
    <x v="0"/>
    <x v="3"/>
    <n v="54.55"/>
    <x v="4"/>
    <n v="27.274999999999977"/>
    <x v="462"/>
    <x v="22"/>
    <x v="218"/>
    <x v="2"/>
    <x v="462"/>
    <n v="4.7619047619047583"/>
    <n v="27.274999999999977"/>
    <n v="7.1"/>
  </r>
  <r>
    <s v="440-59-5691"/>
    <x v="1"/>
    <x v="1"/>
    <x v="0"/>
    <x v="0"/>
    <x v="0"/>
    <n v="37.15"/>
    <x v="0"/>
    <n v="13.002499999999998"/>
    <x v="463"/>
    <x v="4"/>
    <x v="258"/>
    <x v="2"/>
    <x v="463"/>
    <n v="4.761904761904761"/>
    <n v="13.002499999999998"/>
    <n v="7.7"/>
  </r>
  <r>
    <s v="554-53-3790"/>
    <x v="2"/>
    <x v="2"/>
    <x v="1"/>
    <x v="1"/>
    <x v="3"/>
    <n v="37.020000000000003"/>
    <x v="3"/>
    <n v="11.105999999999995"/>
    <x v="464"/>
    <x v="23"/>
    <x v="333"/>
    <x v="1"/>
    <x v="464"/>
    <n v="4.7619047619047592"/>
    <n v="11.105999999999995"/>
    <n v="4.5"/>
  </r>
  <r>
    <s v="746-19-0921"/>
    <x v="1"/>
    <x v="1"/>
    <x v="1"/>
    <x v="1"/>
    <x v="4"/>
    <n v="21.58"/>
    <x v="8"/>
    <n v="1.0790000000000006"/>
    <x v="465"/>
    <x v="57"/>
    <x v="177"/>
    <x v="0"/>
    <x v="465"/>
    <n v="4.7619047619047654"/>
    <n v="1.0790000000000006"/>
    <n v="7.2"/>
  </r>
  <r>
    <s v="233-34-0817"/>
    <x v="1"/>
    <x v="1"/>
    <x v="0"/>
    <x v="0"/>
    <x v="1"/>
    <n v="98.84"/>
    <x v="8"/>
    <n v="4.9419999999999931"/>
    <x v="466"/>
    <x v="42"/>
    <x v="274"/>
    <x v="1"/>
    <x v="466"/>
    <n v="4.7619047619047556"/>
    <n v="4.9419999999999931"/>
    <n v="8.4"/>
  </r>
  <r>
    <s v="767-05-1286"/>
    <x v="1"/>
    <x v="1"/>
    <x v="0"/>
    <x v="0"/>
    <x v="2"/>
    <n v="83.77"/>
    <x v="3"/>
    <n v="25.130999999999972"/>
    <x v="467"/>
    <x v="54"/>
    <x v="334"/>
    <x v="0"/>
    <x v="467"/>
    <n v="4.7619047619047565"/>
    <n v="25.130999999999972"/>
    <n v="5.4"/>
  </r>
  <r>
    <s v="340-21-9136"/>
    <x v="0"/>
    <x v="0"/>
    <x v="0"/>
    <x v="0"/>
    <x v="3"/>
    <n v="40.049999999999997"/>
    <x v="7"/>
    <n v="8.0100000000000193"/>
    <x v="468"/>
    <x v="25"/>
    <x v="335"/>
    <x v="1"/>
    <x v="468"/>
    <n v="4.7619047619047734"/>
    <n v="8.0100000000000193"/>
    <n v="9.6999999999999993"/>
  </r>
  <r>
    <s v="405-31-3305"/>
    <x v="0"/>
    <x v="0"/>
    <x v="0"/>
    <x v="1"/>
    <x v="5"/>
    <n v="43.13"/>
    <x v="4"/>
    <n v="21.564999999999998"/>
    <x v="469"/>
    <x v="30"/>
    <x v="201"/>
    <x v="2"/>
    <x v="469"/>
    <n v="4.7619047619047619"/>
    <n v="21.564999999999998"/>
    <n v="5.5"/>
  </r>
  <r>
    <s v="731-59-7531"/>
    <x v="2"/>
    <x v="2"/>
    <x v="0"/>
    <x v="1"/>
    <x v="0"/>
    <n v="72.569999999999993"/>
    <x v="2"/>
    <n v="29.02800000000002"/>
    <x v="470"/>
    <x v="73"/>
    <x v="326"/>
    <x v="1"/>
    <x v="470"/>
    <n v="4.7619047619047654"/>
    <n v="29.02800000000002"/>
    <n v="4.5999999999999996"/>
  </r>
  <r>
    <s v="676-39-6028"/>
    <x v="0"/>
    <x v="0"/>
    <x v="0"/>
    <x v="0"/>
    <x v="1"/>
    <n v="64.44"/>
    <x v="1"/>
    <n v="16.110000000000014"/>
    <x v="471"/>
    <x v="73"/>
    <x v="72"/>
    <x v="1"/>
    <x v="471"/>
    <n v="4.7619047619047654"/>
    <n v="16.110000000000014"/>
    <n v="6.6"/>
  </r>
  <r>
    <s v="502-05-1910"/>
    <x v="0"/>
    <x v="0"/>
    <x v="1"/>
    <x v="1"/>
    <x v="0"/>
    <n v="65.180000000000007"/>
    <x v="6"/>
    <n v="9.7769999999999868"/>
    <x v="472"/>
    <x v="6"/>
    <x v="82"/>
    <x v="2"/>
    <x v="472"/>
    <n v="4.761904761904769"/>
    <n v="9.7770000000000152"/>
    <n v="6.3"/>
  </r>
  <r>
    <s v="485-30-8700"/>
    <x v="0"/>
    <x v="0"/>
    <x v="1"/>
    <x v="0"/>
    <x v="3"/>
    <n v="33.26"/>
    <x v="1"/>
    <n v="8.3150000000000261"/>
    <x v="473"/>
    <x v="79"/>
    <x v="279"/>
    <x v="2"/>
    <x v="473"/>
    <n v="4.7619047619047601"/>
    <n v="8.3149999999999977"/>
    <n v="4.2"/>
  </r>
  <r>
    <s v="598-47-9715"/>
    <x v="1"/>
    <x v="1"/>
    <x v="1"/>
    <x v="1"/>
    <x v="1"/>
    <n v="84.07"/>
    <x v="7"/>
    <n v="16.814000000000021"/>
    <x v="474"/>
    <x v="37"/>
    <x v="336"/>
    <x v="0"/>
    <x v="474"/>
    <n v="4.7619047619047681"/>
    <n v="16.814000000000021"/>
    <n v="4.4000000000000004"/>
  </r>
  <r>
    <s v="701-69-8742"/>
    <x v="2"/>
    <x v="2"/>
    <x v="1"/>
    <x v="1"/>
    <x v="3"/>
    <n v="34.369999999999997"/>
    <x v="4"/>
    <n v="17.185000000000002"/>
    <x v="475"/>
    <x v="32"/>
    <x v="41"/>
    <x v="0"/>
    <x v="475"/>
    <n v="4.7619047619047628"/>
    <n v="17.185000000000002"/>
    <n v="6.7"/>
  </r>
  <r>
    <s v="575-67-1508"/>
    <x v="0"/>
    <x v="0"/>
    <x v="1"/>
    <x v="1"/>
    <x v="1"/>
    <n v="38.6"/>
    <x v="8"/>
    <n v="1.9299999999999997"/>
    <x v="476"/>
    <x v="71"/>
    <x v="55"/>
    <x v="0"/>
    <x v="476"/>
    <n v="4.761904761904761"/>
    <n v="1.9299999999999997"/>
    <n v="6.7"/>
  </r>
  <r>
    <s v="541-08-3113"/>
    <x v="1"/>
    <x v="1"/>
    <x v="1"/>
    <x v="1"/>
    <x v="4"/>
    <n v="65.97"/>
    <x v="2"/>
    <n v="26.388000000000034"/>
    <x v="477"/>
    <x v="30"/>
    <x v="245"/>
    <x v="1"/>
    <x v="477"/>
    <n v="4.7619047619047681"/>
    <n v="26.388000000000034"/>
    <n v="8.4"/>
  </r>
  <r>
    <s v="246-11-3901"/>
    <x v="1"/>
    <x v="1"/>
    <x v="1"/>
    <x v="0"/>
    <x v="1"/>
    <n v="32.799999999999997"/>
    <x v="4"/>
    <n v="16.399999999999977"/>
    <x v="478"/>
    <x v="42"/>
    <x v="294"/>
    <x v="1"/>
    <x v="478"/>
    <n v="4.7619047619047556"/>
    <n v="16.399999999999977"/>
    <n v="6.2"/>
  </r>
  <r>
    <s v="674-15-9296"/>
    <x v="0"/>
    <x v="0"/>
    <x v="1"/>
    <x v="1"/>
    <x v="3"/>
    <n v="37.14"/>
    <x v="1"/>
    <n v="9.285000000000025"/>
    <x v="479"/>
    <x v="66"/>
    <x v="137"/>
    <x v="0"/>
    <x v="479"/>
    <n v="4.7619047619047743"/>
    <n v="9.285000000000025"/>
    <n v="5"/>
  </r>
  <r>
    <s v="305-18-3552"/>
    <x v="2"/>
    <x v="2"/>
    <x v="0"/>
    <x v="1"/>
    <x v="2"/>
    <n v="60.38"/>
    <x v="4"/>
    <n v="30.189999999999941"/>
    <x v="480"/>
    <x v="12"/>
    <x v="15"/>
    <x v="1"/>
    <x v="480"/>
    <n v="4.7619047619047707"/>
    <n v="30.190000000000055"/>
    <n v="6"/>
  </r>
  <r>
    <s v="493-65-6248"/>
    <x v="1"/>
    <x v="1"/>
    <x v="0"/>
    <x v="0"/>
    <x v="3"/>
    <n v="36.979999999999997"/>
    <x v="4"/>
    <n v="18.490000000000066"/>
    <x v="481"/>
    <x v="17"/>
    <x v="28"/>
    <x v="2"/>
    <x v="481"/>
    <n v="4.7619047619047636"/>
    <n v="18.490000000000009"/>
    <n v="7"/>
  </r>
  <r>
    <s v="438-01-4015"/>
    <x v="2"/>
    <x v="2"/>
    <x v="0"/>
    <x v="0"/>
    <x v="3"/>
    <n v="49.49"/>
    <x v="7"/>
    <n v="9.8979999999999961"/>
    <x v="482"/>
    <x v="76"/>
    <x v="337"/>
    <x v="0"/>
    <x v="482"/>
    <n v="4.7619047619047601"/>
    <n v="9.8979999999999961"/>
    <n v="6.6"/>
  </r>
  <r>
    <s v="709-58-4068"/>
    <x v="2"/>
    <x v="2"/>
    <x v="1"/>
    <x v="0"/>
    <x v="5"/>
    <n v="41.09"/>
    <x v="4"/>
    <n v="20.544999999999959"/>
    <x v="483"/>
    <x v="38"/>
    <x v="51"/>
    <x v="1"/>
    <x v="483"/>
    <n v="4.7619047619047654"/>
    <n v="20.545000000000016"/>
    <n v="7.3"/>
  </r>
  <r>
    <s v="795-49-7276"/>
    <x v="0"/>
    <x v="0"/>
    <x v="1"/>
    <x v="1"/>
    <x v="5"/>
    <n v="37.15"/>
    <x v="7"/>
    <n v="7.4300000000000068"/>
    <x v="484"/>
    <x v="28"/>
    <x v="188"/>
    <x v="0"/>
    <x v="484"/>
    <n v="4.7619047619047663"/>
    <n v="7.4300000000000068"/>
    <n v="8.3000000000000007"/>
  </r>
  <r>
    <s v="556-72-8512"/>
    <x v="1"/>
    <x v="1"/>
    <x v="1"/>
    <x v="1"/>
    <x v="2"/>
    <n v="22.96"/>
    <x v="8"/>
    <n v="1.1479999999999997"/>
    <x v="485"/>
    <x v="74"/>
    <x v="338"/>
    <x v="1"/>
    <x v="485"/>
    <n v="4.7619047619047601"/>
    <n v="1.1479999999999997"/>
    <n v="4.3"/>
  </r>
  <r>
    <s v="627-95-3243"/>
    <x v="2"/>
    <x v="2"/>
    <x v="0"/>
    <x v="0"/>
    <x v="2"/>
    <n v="77.680000000000007"/>
    <x v="9"/>
    <n v="34.955999999999904"/>
    <x v="486"/>
    <x v="87"/>
    <x v="265"/>
    <x v="0"/>
    <x v="486"/>
    <n v="4.7619047619047645"/>
    <n v="34.956000000000017"/>
    <n v="9.8000000000000007"/>
  </r>
  <r>
    <s v="686-41-0932"/>
    <x v="2"/>
    <x v="2"/>
    <x v="1"/>
    <x v="0"/>
    <x v="5"/>
    <n v="34.700000000000003"/>
    <x v="5"/>
    <n v="3.4699999999999989"/>
    <x v="487"/>
    <x v="45"/>
    <x v="28"/>
    <x v="0"/>
    <x v="487"/>
    <n v="4.7619047619047601"/>
    <n v="3.4699999999999989"/>
    <n v="8.1999999999999993"/>
  </r>
  <r>
    <s v="510-09-5628"/>
    <x v="0"/>
    <x v="0"/>
    <x v="0"/>
    <x v="0"/>
    <x v="5"/>
    <n v="19.66"/>
    <x v="4"/>
    <n v="9.8300000000000125"/>
    <x v="488"/>
    <x v="20"/>
    <x v="339"/>
    <x v="2"/>
    <x v="488"/>
    <n v="4.7619047619047681"/>
    <n v="9.8300000000000125"/>
    <n v="7.2"/>
  </r>
  <r>
    <s v="608-04-3797"/>
    <x v="2"/>
    <x v="2"/>
    <x v="0"/>
    <x v="0"/>
    <x v="0"/>
    <n v="25.32"/>
    <x v="2"/>
    <n v="10.127999999999986"/>
    <x v="489"/>
    <x v="19"/>
    <x v="181"/>
    <x v="0"/>
    <x v="489"/>
    <n v="4.7619047619047556"/>
    <n v="10.127999999999986"/>
    <n v="8.6999999999999993"/>
  </r>
  <r>
    <s v="148-82-2527"/>
    <x v="1"/>
    <x v="1"/>
    <x v="0"/>
    <x v="0"/>
    <x v="2"/>
    <n v="12.12"/>
    <x v="4"/>
    <n v="6.0600000000000165"/>
    <x v="490"/>
    <x v="19"/>
    <x v="189"/>
    <x v="2"/>
    <x v="490"/>
    <n v="4.7619047619047636"/>
    <n v="6.0600000000000023"/>
    <n v="8.4"/>
  </r>
  <r>
    <s v="437-53-3084"/>
    <x v="2"/>
    <x v="2"/>
    <x v="1"/>
    <x v="1"/>
    <x v="5"/>
    <n v="99.89"/>
    <x v="5"/>
    <n v="9.9890000000000043"/>
    <x v="491"/>
    <x v="84"/>
    <x v="340"/>
    <x v="0"/>
    <x v="491"/>
    <n v="4.7619047619047636"/>
    <n v="9.9890000000000043"/>
    <n v="7.1"/>
  </r>
  <r>
    <s v="632-32-4574"/>
    <x v="2"/>
    <x v="2"/>
    <x v="1"/>
    <x v="1"/>
    <x v="3"/>
    <n v="75.92"/>
    <x v="2"/>
    <n v="30.367999999999938"/>
    <x v="492"/>
    <x v="80"/>
    <x v="341"/>
    <x v="1"/>
    <x v="492"/>
    <n v="4.761904761904753"/>
    <n v="30.367999999999938"/>
    <n v="5.5"/>
  </r>
  <r>
    <s v="556-97-7101"/>
    <x v="1"/>
    <x v="1"/>
    <x v="1"/>
    <x v="0"/>
    <x v="1"/>
    <n v="63.22"/>
    <x v="5"/>
    <n v="6.3220000000000027"/>
    <x v="493"/>
    <x v="17"/>
    <x v="232"/>
    <x v="1"/>
    <x v="493"/>
    <n v="4.7619047619047636"/>
    <n v="6.3220000000000027"/>
    <n v="8.5"/>
  </r>
  <r>
    <s v="862-59-8517"/>
    <x v="1"/>
    <x v="1"/>
    <x v="1"/>
    <x v="0"/>
    <x v="4"/>
    <n v="90.24"/>
    <x v="3"/>
    <n v="27.072000000000003"/>
    <x v="494"/>
    <x v="3"/>
    <x v="342"/>
    <x v="1"/>
    <x v="494"/>
    <n v="4.7619047619047432"/>
    <n v="27.071999999999889"/>
    <n v="6.2"/>
  </r>
  <r>
    <s v="401-18-8016"/>
    <x v="2"/>
    <x v="2"/>
    <x v="0"/>
    <x v="0"/>
    <x v="3"/>
    <n v="98.13"/>
    <x v="8"/>
    <n v="4.9065000000000083"/>
    <x v="495"/>
    <x v="18"/>
    <x v="24"/>
    <x v="1"/>
    <x v="495"/>
    <n v="4.7619047619047699"/>
    <n v="4.9065000000000083"/>
    <n v="8.9"/>
  </r>
  <r>
    <s v="420-18-8989"/>
    <x v="0"/>
    <x v="0"/>
    <x v="0"/>
    <x v="0"/>
    <x v="3"/>
    <n v="51.52"/>
    <x v="2"/>
    <n v="20.607999999999947"/>
    <x v="496"/>
    <x v="30"/>
    <x v="46"/>
    <x v="1"/>
    <x v="496"/>
    <n v="4.7619047619047494"/>
    <n v="20.607999999999947"/>
    <n v="9.6"/>
  </r>
  <r>
    <s v="277-63-2961"/>
    <x v="2"/>
    <x v="2"/>
    <x v="0"/>
    <x v="1"/>
    <x v="3"/>
    <n v="73.97"/>
    <x v="8"/>
    <n v="3.6984999999999957"/>
    <x v="497"/>
    <x v="36"/>
    <x v="183"/>
    <x v="2"/>
    <x v="497"/>
    <n v="4.7619047619047565"/>
    <n v="3.6984999999999957"/>
    <n v="5.4"/>
  </r>
  <r>
    <s v="573-98-8548"/>
    <x v="1"/>
    <x v="1"/>
    <x v="0"/>
    <x v="0"/>
    <x v="5"/>
    <n v="31.9"/>
    <x v="8"/>
    <n v="1.5949999999999989"/>
    <x v="498"/>
    <x v="0"/>
    <x v="343"/>
    <x v="0"/>
    <x v="498"/>
    <n v="4.7619047619047592"/>
    <n v="1.5949999999999989"/>
    <n v="9.1"/>
  </r>
  <r>
    <s v="620-02-2046"/>
    <x v="1"/>
    <x v="1"/>
    <x v="1"/>
    <x v="1"/>
    <x v="2"/>
    <n v="69.400000000000006"/>
    <x v="5"/>
    <n v="6.9399999999999977"/>
    <x v="499"/>
    <x v="3"/>
    <x v="28"/>
    <x v="0"/>
    <x v="499"/>
    <n v="4.7619047619047601"/>
    <n v="6.9399999999999977"/>
    <n v="9"/>
  </r>
  <r>
    <s v="282-35-2475"/>
    <x v="2"/>
    <x v="2"/>
    <x v="1"/>
    <x v="0"/>
    <x v="3"/>
    <n v="93.31"/>
    <x v="5"/>
    <n v="9.3309999999999889"/>
    <x v="500"/>
    <x v="5"/>
    <x v="344"/>
    <x v="1"/>
    <x v="500"/>
    <n v="4.7619047619047556"/>
    <n v="9.3309999999999889"/>
    <n v="6.3"/>
  </r>
  <r>
    <s v="511-54-3087"/>
    <x v="2"/>
    <x v="2"/>
    <x v="1"/>
    <x v="1"/>
    <x v="3"/>
    <n v="88.45"/>
    <x v="8"/>
    <n v="4.4224999999999994"/>
    <x v="501"/>
    <x v="6"/>
    <x v="345"/>
    <x v="2"/>
    <x v="501"/>
    <n v="4.761904761904761"/>
    <n v="4.4224999999999994"/>
    <n v="9.5"/>
  </r>
  <r>
    <s v="726-29-6793"/>
    <x v="0"/>
    <x v="0"/>
    <x v="0"/>
    <x v="1"/>
    <x v="1"/>
    <n v="24.18"/>
    <x v="2"/>
    <n v="9.671999999999997"/>
    <x v="502"/>
    <x v="26"/>
    <x v="98"/>
    <x v="0"/>
    <x v="502"/>
    <n v="4.7619047619047601"/>
    <n v="9.671999999999997"/>
    <n v="9.8000000000000007"/>
  </r>
  <r>
    <s v="387-49-4215"/>
    <x v="2"/>
    <x v="2"/>
    <x v="0"/>
    <x v="0"/>
    <x v="3"/>
    <n v="48.5"/>
    <x v="6"/>
    <n v="7.2750000000000057"/>
    <x v="503"/>
    <x v="66"/>
    <x v="165"/>
    <x v="1"/>
    <x v="503"/>
    <n v="4.7619047619047654"/>
    <n v="7.2750000000000057"/>
    <n v="6.7"/>
  </r>
  <r>
    <s v="862-17-9201"/>
    <x v="2"/>
    <x v="2"/>
    <x v="1"/>
    <x v="0"/>
    <x v="4"/>
    <n v="84.05"/>
    <x v="3"/>
    <n v="25.215000000000032"/>
    <x v="504"/>
    <x v="71"/>
    <x v="346"/>
    <x v="2"/>
    <x v="504"/>
    <n v="4.7619047619047574"/>
    <n v="25.214999999999975"/>
    <n v="7.7"/>
  </r>
  <r>
    <s v="291-21-5991"/>
    <x v="2"/>
    <x v="2"/>
    <x v="0"/>
    <x v="1"/>
    <x v="0"/>
    <n v="61.29"/>
    <x v="1"/>
    <n v="15.322499999999991"/>
    <x v="505"/>
    <x v="14"/>
    <x v="296"/>
    <x v="1"/>
    <x v="505"/>
    <n v="4.7619047619047592"/>
    <n v="15.322499999999991"/>
    <n v="7"/>
  </r>
  <r>
    <s v="602-80-9671"/>
    <x v="1"/>
    <x v="1"/>
    <x v="0"/>
    <x v="0"/>
    <x v="2"/>
    <n v="15.95"/>
    <x v="3"/>
    <n v="4.7850000000000108"/>
    <x v="506"/>
    <x v="57"/>
    <x v="8"/>
    <x v="2"/>
    <x v="506"/>
    <n v="4.7619047619047592"/>
    <n v="4.7849999999999966"/>
    <n v="5.0999999999999996"/>
  </r>
  <r>
    <s v="347-72-6115"/>
    <x v="2"/>
    <x v="2"/>
    <x v="0"/>
    <x v="0"/>
    <x v="3"/>
    <n v="90.74"/>
    <x v="0"/>
    <n v="31.759000000000015"/>
    <x v="507"/>
    <x v="65"/>
    <x v="172"/>
    <x v="2"/>
    <x v="507"/>
    <n v="4.7619047619047645"/>
    <n v="31.759000000000015"/>
    <n v="6.2"/>
  </r>
  <r>
    <s v="209-61-0206"/>
    <x v="0"/>
    <x v="0"/>
    <x v="1"/>
    <x v="0"/>
    <x v="2"/>
    <n v="42.91"/>
    <x v="1"/>
    <n v="10.72750000000002"/>
    <x v="508"/>
    <x v="0"/>
    <x v="260"/>
    <x v="0"/>
    <x v="508"/>
    <n v="4.7619047619047583"/>
    <n v="10.727499999999992"/>
    <n v="6.1"/>
  </r>
  <r>
    <s v="595-27-4851"/>
    <x v="0"/>
    <x v="0"/>
    <x v="1"/>
    <x v="0"/>
    <x v="5"/>
    <n v="54.28"/>
    <x v="0"/>
    <n v="18.99799999999999"/>
    <x v="509"/>
    <x v="3"/>
    <x v="347"/>
    <x v="0"/>
    <x v="509"/>
    <n v="4.7619047619047734"/>
    <n v="18.998000000000047"/>
    <n v="9.3000000000000007"/>
  </r>
  <r>
    <s v="189-52-0236"/>
    <x v="0"/>
    <x v="0"/>
    <x v="1"/>
    <x v="1"/>
    <x v="1"/>
    <n v="99.55"/>
    <x v="0"/>
    <n v="34.842499999999973"/>
    <x v="510"/>
    <x v="86"/>
    <x v="348"/>
    <x v="1"/>
    <x v="510"/>
    <n v="4.7619047619047583"/>
    <n v="34.842499999999973"/>
    <n v="7.6"/>
  </r>
  <r>
    <s v="503-07-0930"/>
    <x v="1"/>
    <x v="1"/>
    <x v="0"/>
    <x v="1"/>
    <x v="3"/>
    <n v="58.39"/>
    <x v="0"/>
    <n v="20.436499999999967"/>
    <x v="511"/>
    <x v="55"/>
    <x v="349"/>
    <x v="2"/>
    <x v="511"/>
    <n v="4.7619047619047539"/>
    <n v="20.436499999999967"/>
    <n v="8.1999999999999993"/>
  </r>
  <r>
    <s v="413-20-6708"/>
    <x v="1"/>
    <x v="1"/>
    <x v="0"/>
    <x v="0"/>
    <x v="5"/>
    <n v="51.47"/>
    <x v="8"/>
    <n v="2.5735000000000028"/>
    <x v="512"/>
    <x v="79"/>
    <x v="350"/>
    <x v="0"/>
    <x v="512"/>
    <n v="4.7619047619047672"/>
    <n v="2.5735000000000028"/>
    <n v="8.5"/>
  </r>
  <r>
    <s v="425-85-2085"/>
    <x v="2"/>
    <x v="2"/>
    <x v="0"/>
    <x v="1"/>
    <x v="0"/>
    <n v="54.86"/>
    <x v="1"/>
    <n v="13.714999999999975"/>
    <x v="513"/>
    <x v="14"/>
    <x v="13"/>
    <x v="0"/>
    <x v="513"/>
    <n v="4.761904761904753"/>
    <n v="13.714999999999975"/>
    <n v="9.8000000000000007"/>
  </r>
  <r>
    <s v="521-18-7827"/>
    <x v="1"/>
    <x v="1"/>
    <x v="0"/>
    <x v="1"/>
    <x v="2"/>
    <n v="39.39"/>
    <x v="1"/>
    <n v="9.847500000000025"/>
    <x v="514"/>
    <x v="49"/>
    <x v="351"/>
    <x v="2"/>
    <x v="514"/>
    <n v="4.7619047619047734"/>
    <n v="9.847500000000025"/>
    <n v="8.6999999999999993"/>
  </r>
  <r>
    <s v="220-28-1851"/>
    <x v="0"/>
    <x v="0"/>
    <x v="1"/>
    <x v="1"/>
    <x v="2"/>
    <n v="34.729999999999997"/>
    <x v="5"/>
    <n v="3.4730000000000132"/>
    <x v="515"/>
    <x v="59"/>
    <x v="92"/>
    <x v="0"/>
    <x v="515"/>
    <n v="4.7619047619047796"/>
    <n v="3.4730000000000132"/>
    <n v="9.6999999999999993"/>
  </r>
  <r>
    <s v="600-38-9738"/>
    <x v="1"/>
    <x v="1"/>
    <x v="0"/>
    <x v="1"/>
    <x v="3"/>
    <n v="71.92"/>
    <x v="1"/>
    <n v="17.979999999999961"/>
    <x v="516"/>
    <x v="29"/>
    <x v="184"/>
    <x v="2"/>
    <x v="516"/>
    <n v="4.7619047619047521"/>
    <n v="17.979999999999961"/>
    <n v="4.3"/>
  </r>
  <r>
    <s v="734-91-1155"/>
    <x v="2"/>
    <x v="2"/>
    <x v="1"/>
    <x v="0"/>
    <x v="1"/>
    <n v="45.71"/>
    <x v="6"/>
    <n v="6.8565000000000111"/>
    <x v="517"/>
    <x v="58"/>
    <x v="352"/>
    <x v="2"/>
    <x v="517"/>
    <n v="4.761904761904769"/>
    <n v="6.8565000000000111"/>
    <n v="7.7"/>
  </r>
  <r>
    <s v="451-28-5717"/>
    <x v="1"/>
    <x v="1"/>
    <x v="0"/>
    <x v="0"/>
    <x v="2"/>
    <n v="83.17"/>
    <x v="3"/>
    <n v="24.951000000000022"/>
    <x v="518"/>
    <x v="80"/>
    <x v="219"/>
    <x v="1"/>
    <x v="518"/>
    <n v="4.7619047619047654"/>
    <n v="24.951000000000022"/>
    <n v="7.3"/>
  </r>
  <r>
    <s v="609-81-8548"/>
    <x v="0"/>
    <x v="0"/>
    <x v="0"/>
    <x v="0"/>
    <x v="2"/>
    <n v="37.44"/>
    <x v="3"/>
    <n v="11.232000000000028"/>
    <x v="519"/>
    <x v="10"/>
    <x v="353"/>
    <x v="2"/>
    <x v="519"/>
    <n v="4.7619047619047734"/>
    <n v="11.232000000000028"/>
    <n v="5.9"/>
  </r>
  <r>
    <s v="133-14-7229"/>
    <x v="1"/>
    <x v="1"/>
    <x v="1"/>
    <x v="1"/>
    <x v="0"/>
    <n v="62.87"/>
    <x v="5"/>
    <n v="6.2869999999999919"/>
    <x v="520"/>
    <x v="17"/>
    <x v="354"/>
    <x v="1"/>
    <x v="520"/>
    <n v="4.7619047619047556"/>
    <n v="6.2869999999999919"/>
    <n v="5"/>
  </r>
  <r>
    <s v="534-01-4457"/>
    <x v="0"/>
    <x v="0"/>
    <x v="1"/>
    <x v="1"/>
    <x v="4"/>
    <n v="81.709999999999994"/>
    <x v="3"/>
    <n v="24.513000000000034"/>
    <x v="521"/>
    <x v="3"/>
    <x v="6"/>
    <x v="2"/>
    <x v="521"/>
    <n v="4.7619047619047681"/>
    <n v="24.513000000000034"/>
    <n v="8"/>
  </r>
  <r>
    <s v="719-89-8991"/>
    <x v="0"/>
    <x v="0"/>
    <x v="0"/>
    <x v="0"/>
    <x v="3"/>
    <n v="91.41"/>
    <x v="1"/>
    <n v="22.85250000000002"/>
    <x v="522"/>
    <x v="6"/>
    <x v="355"/>
    <x v="0"/>
    <x v="522"/>
    <n v="4.7619047619047548"/>
    <n v="22.852499999999964"/>
    <n v="7.1"/>
  </r>
  <r>
    <s v="286-62-6248"/>
    <x v="2"/>
    <x v="2"/>
    <x v="1"/>
    <x v="1"/>
    <x v="5"/>
    <n v="39.21"/>
    <x v="7"/>
    <n v="7.8419999999999845"/>
    <x v="523"/>
    <x v="65"/>
    <x v="356"/>
    <x v="2"/>
    <x v="523"/>
    <n v="4.761904761904753"/>
    <n v="7.8419999999999845"/>
    <n v="9"/>
  </r>
  <r>
    <s v="339-38-9982"/>
    <x v="2"/>
    <x v="2"/>
    <x v="0"/>
    <x v="1"/>
    <x v="5"/>
    <n v="59.86"/>
    <x v="5"/>
    <n v="5.9860000000000042"/>
    <x v="524"/>
    <x v="50"/>
    <x v="304"/>
    <x v="0"/>
    <x v="524"/>
    <n v="4.7619047619047654"/>
    <n v="5.9860000000000042"/>
    <n v="6.7"/>
  </r>
  <r>
    <s v="827-44-5872"/>
    <x v="2"/>
    <x v="2"/>
    <x v="0"/>
    <x v="0"/>
    <x v="4"/>
    <n v="54.36"/>
    <x v="4"/>
    <n v="27.17999999999995"/>
    <x v="525"/>
    <x v="13"/>
    <x v="56"/>
    <x v="2"/>
    <x v="525"/>
    <n v="4.761904761904753"/>
    <n v="27.17999999999995"/>
    <n v="6.1"/>
  </r>
  <r>
    <s v="827-77-7633"/>
    <x v="0"/>
    <x v="0"/>
    <x v="1"/>
    <x v="1"/>
    <x v="3"/>
    <n v="98.09"/>
    <x v="9"/>
    <n v="44.140499999999975"/>
    <x v="526"/>
    <x v="21"/>
    <x v="357"/>
    <x v="1"/>
    <x v="526"/>
    <n v="4.7619047619047716"/>
    <n v="44.140500000000088"/>
    <n v="9.3000000000000007"/>
  </r>
  <r>
    <s v="287-83-1405"/>
    <x v="0"/>
    <x v="0"/>
    <x v="1"/>
    <x v="1"/>
    <x v="0"/>
    <n v="25.43"/>
    <x v="3"/>
    <n v="7.6290000000000191"/>
    <x v="527"/>
    <x v="12"/>
    <x v="54"/>
    <x v="0"/>
    <x v="527"/>
    <n v="4.7619047619047556"/>
    <n v="7.6289999999999907"/>
    <n v="7"/>
  </r>
  <r>
    <s v="435-13-4908"/>
    <x v="0"/>
    <x v="0"/>
    <x v="0"/>
    <x v="1"/>
    <x v="5"/>
    <n v="86.68"/>
    <x v="2"/>
    <n v="34.671999999999912"/>
    <x v="528"/>
    <x v="46"/>
    <x v="358"/>
    <x v="2"/>
    <x v="528"/>
    <n v="4.7619047619047494"/>
    <n v="34.671999999999912"/>
    <n v="7.2"/>
  </r>
  <r>
    <s v="857-67-9057"/>
    <x v="2"/>
    <x v="2"/>
    <x v="1"/>
    <x v="1"/>
    <x v="1"/>
    <n v="22.95"/>
    <x v="4"/>
    <n v="11.474999999999994"/>
    <x v="529"/>
    <x v="10"/>
    <x v="25"/>
    <x v="0"/>
    <x v="529"/>
    <n v="4.7619047619047592"/>
    <n v="11.474999999999994"/>
    <n v="8.1999999999999993"/>
  </r>
  <r>
    <s v="236-27-1144"/>
    <x v="1"/>
    <x v="1"/>
    <x v="1"/>
    <x v="0"/>
    <x v="4"/>
    <n v="16.309999999999999"/>
    <x v="9"/>
    <n v="7.3395000000000152"/>
    <x v="530"/>
    <x v="58"/>
    <x v="359"/>
    <x v="0"/>
    <x v="530"/>
    <n v="4.7619047619047716"/>
    <n v="7.3395000000000152"/>
    <n v="8.4"/>
  </r>
  <r>
    <s v="892-05-6689"/>
    <x v="0"/>
    <x v="0"/>
    <x v="1"/>
    <x v="0"/>
    <x v="2"/>
    <n v="28.32"/>
    <x v="1"/>
    <n v="7.0800000000000125"/>
    <x v="531"/>
    <x v="16"/>
    <x v="360"/>
    <x v="0"/>
    <x v="531"/>
    <n v="4.7619047619047699"/>
    <n v="7.0800000000000125"/>
    <n v="6.2"/>
  </r>
  <r>
    <s v="583-41-4548"/>
    <x v="1"/>
    <x v="1"/>
    <x v="1"/>
    <x v="1"/>
    <x v="2"/>
    <n v="16.670000000000002"/>
    <x v="0"/>
    <n v="5.8344999999999914"/>
    <x v="532"/>
    <x v="13"/>
    <x v="150"/>
    <x v="0"/>
    <x v="532"/>
    <n v="4.7619047619047663"/>
    <n v="5.8345000000000056"/>
    <n v="7.4"/>
  </r>
  <r>
    <s v="339-12-4827"/>
    <x v="2"/>
    <x v="2"/>
    <x v="0"/>
    <x v="0"/>
    <x v="5"/>
    <n v="73.959999999999994"/>
    <x v="8"/>
    <n v="3.6980000000000075"/>
    <x v="533"/>
    <x v="0"/>
    <x v="102"/>
    <x v="2"/>
    <x v="533"/>
    <n v="4.7619047619047716"/>
    <n v="3.6980000000000075"/>
    <n v="5"/>
  </r>
  <r>
    <s v="643-38-7867"/>
    <x v="0"/>
    <x v="0"/>
    <x v="1"/>
    <x v="1"/>
    <x v="2"/>
    <n v="97.94"/>
    <x v="8"/>
    <n v="4.8970000000000056"/>
    <x v="534"/>
    <x v="37"/>
    <x v="231"/>
    <x v="0"/>
    <x v="534"/>
    <n v="4.7619047619047672"/>
    <n v="4.8970000000000056"/>
    <n v="6.9"/>
  </r>
  <r>
    <s v="308-81-0538"/>
    <x v="0"/>
    <x v="0"/>
    <x v="1"/>
    <x v="0"/>
    <x v="5"/>
    <n v="73.05"/>
    <x v="7"/>
    <n v="14.610000000000014"/>
    <x v="535"/>
    <x v="6"/>
    <x v="361"/>
    <x v="2"/>
    <x v="535"/>
    <n v="4.7619047619047663"/>
    <n v="14.610000000000014"/>
    <n v="4.9000000000000004"/>
  </r>
  <r>
    <s v="358-88-9262"/>
    <x v="1"/>
    <x v="1"/>
    <x v="0"/>
    <x v="0"/>
    <x v="4"/>
    <n v="87.48"/>
    <x v="3"/>
    <n v="26.244000000000028"/>
    <x v="536"/>
    <x v="60"/>
    <x v="362"/>
    <x v="0"/>
    <x v="536"/>
    <n v="4.7619047619047663"/>
    <n v="26.244000000000028"/>
    <n v="5.0999999999999996"/>
  </r>
  <r>
    <s v="460-35-4390"/>
    <x v="0"/>
    <x v="0"/>
    <x v="1"/>
    <x v="1"/>
    <x v="2"/>
    <n v="30.68"/>
    <x v="6"/>
    <n v="4.6020000000000039"/>
    <x v="537"/>
    <x v="49"/>
    <x v="224"/>
    <x v="0"/>
    <x v="537"/>
    <n v="4.7619047619047512"/>
    <n v="4.6019999999999897"/>
    <n v="9.1"/>
  </r>
  <r>
    <s v="343-87-0864"/>
    <x v="1"/>
    <x v="1"/>
    <x v="0"/>
    <x v="1"/>
    <x v="0"/>
    <n v="75.88"/>
    <x v="8"/>
    <n v="3.7940000000000111"/>
    <x v="538"/>
    <x v="75"/>
    <x v="363"/>
    <x v="2"/>
    <x v="538"/>
    <n v="4.7619047619047752"/>
    <n v="3.7940000000000111"/>
    <n v="7.1"/>
  </r>
  <r>
    <s v="173-50-1108"/>
    <x v="2"/>
    <x v="2"/>
    <x v="0"/>
    <x v="0"/>
    <x v="3"/>
    <n v="20.18"/>
    <x v="7"/>
    <n v="4.0360000000000014"/>
    <x v="539"/>
    <x v="77"/>
    <x v="280"/>
    <x v="2"/>
    <x v="539"/>
    <n v="4.7619047619047636"/>
    <n v="4.0360000000000014"/>
    <n v="5"/>
  </r>
  <r>
    <s v="243-47-2663"/>
    <x v="1"/>
    <x v="1"/>
    <x v="0"/>
    <x v="1"/>
    <x v="1"/>
    <n v="18.77"/>
    <x v="3"/>
    <n v="5.6310000000000002"/>
    <x v="540"/>
    <x v="26"/>
    <x v="122"/>
    <x v="2"/>
    <x v="540"/>
    <n v="4.7619047619047619"/>
    <n v="5.6310000000000002"/>
    <n v="5.5"/>
  </r>
  <r>
    <s v="841-18-8232"/>
    <x v="2"/>
    <x v="2"/>
    <x v="1"/>
    <x v="0"/>
    <x v="4"/>
    <n v="71.2"/>
    <x v="8"/>
    <n v="3.5600000000000023"/>
    <x v="541"/>
    <x v="0"/>
    <x v="364"/>
    <x v="2"/>
    <x v="541"/>
    <n v="4.7619047619047645"/>
    <n v="3.5600000000000023"/>
    <n v="9.1999999999999993"/>
  </r>
  <r>
    <s v="701-23-5550"/>
    <x v="2"/>
    <x v="2"/>
    <x v="0"/>
    <x v="1"/>
    <x v="2"/>
    <n v="38.81"/>
    <x v="7"/>
    <n v="7.7620000000000005"/>
    <x v="542"/>
    <x v="35"/>
    <x v="61"/>
    <x v="0"/>
    <x v="542"/>
    <n v="4.7619047619047619"/>
    <n v="7.7620000000000005"/>
    <n v="4.9000000000000004"/>
  </r>
  <r>
    <s v="647-50-1224"/>
    <x v="0"/>
    <x v="0"/>
    <x v="1"/>
    <x v="0"/>
    <x v="5"/>
    <n v="29.42"/>
    <x v="4"/>
    <n v="14.70999999999998"/>
    <x v="543"/>
    <x v="52"/>
    <x v="293"/>
    <x v="0"/>
    <x v="543"/>
    <n v="4.7619047619047734"/>
    <n v="14.710000000000036"/>
    <n v="8.9"/>
  </r>
  <r>
    <s v="541-48-8554"/>
    <x v="0"/>
    <x v="0"/>
    <x v="1"/>
    <x v="1"/>
    <x v="3"/>
    <n v="60.95"/>
    <x v="9"/>
    <n v="27.427499999999895"/>
    <x v="544"/>
    <x v="27"/>
    <x v="365"/>
    <x v="2"/>
    <x v="544"/>
    <n v="4.7619047619047636"/>
    <n v="27.427500000000009"/>
    <n v="6"/>
  </r>
  <r>
    <s v="539-21-7227"/>
    <x v="2"/>
    <x v="2"/>
    <x v="1"/>
    <x v="0"/>
    <x v="3"/>
    <n v="51.54"/>
    <x v="1"/>
    <n v="12.884999999999991"/>
    <x v="545"/>
    <x v="53"/>
    <x v="366"/>
    <x v="1"/>
    <x v="545"/>
    <n v="4.7619047619047592"/>
    <n v="12.884999999999991"/>
    <n v="4.2"/>
  </r>
  <r>
    <s v="213-32-1216"/>
    <x v="0"/>
    <x v="0"/>
    <x v="1"/>
    <x v="0"/>
    <x v="1"/>
    <n v="66.06"/>
    <x v="3"/>
    <n v="19.817999999999984"/>
    <x v="546"/>
    <x v="54"/>
    <x v="367"/>
    <x v="1"/>
    <x v="546"/>
    <n v="4.7619047619047583"/>
    <n v="19.817999999999984"/>
    <n v="7.3"/>
  </r>
  <r>
    <s v="747-58-7183"/>
    <x v="2"/>
    <x v="2"/>
    <x v="1"/>
    <x v="1"/>
    <x v="5"/>
    <n v="57.27"/>
    <x v="6"/>
    <n v="8.5904999999999916"/>
    <x v="547"/>
    <x v="57"/>
    <x v="106"/>
    <x v="0"/>
    <x v="547"/>
    <n v="4.7619047619047574"/>
    <n v="8.5904999999999916"/>
    <n v="6.5"/>
  </r>
  <r>
    <s v="582-52-8065"/>
    <x v="2"/>
    <x v="2"/>
    <x v="1"/>
    <x v="0"/>
    <x v="5"/>
    <n v="54.31"/>
    <x v="9"/>
    <n v="24.43950000000001"/>
    <x v="548"/>
    <x v="70"/>
    <x v="368"/>
    <x v="1"/>
    <x v="548"/>
    <n v="4.7619047619047636"/>
    <n v="24.43950000000001"/>
    <n v="8.9"/>
  </r>
  <r>
    <s v="210-57-1719"/>
    <x v="2"/>
    <x v="2"/>
    <x v="1"/>
    <x v="0"/>
    <x v="0"/>
    <n v="58.24"/>
    <x v="9"/>
    <n v="26.208000000000084"/>
    <x v="549"/>
    <x v="63"/>
    <x v="369"/>
    <x v="1"/>
    <x v="549"/>
    <n v="4.761904761904777"/>
    <n v="26.208000000000084"/>
    <n v="9.6999999999999993"/>
  </r>
  <r>
    <s v="399-69-4630"/>
    <x v="1"/>
    <x v="1"/>
    <x v="1"/>
    <x v="1"/>
    <x v="1"/>
    <n v="22.21"/>
    <x v="3"/>
    <n v="6.6630000000000109"/>
    <x v="550"/>
    <x v="37"/>
    <x v="81"/>
    <x v="2"/>
    <x v="550"/>
    <n v="4.7619047619047699"/>
    <n v="6.6630000000000109"/>
    <n v="8.6"/>
  </r>
  <r>
    <s v="134-75-2619"/>
    <x v="0"/>
    <x v="0"/>
    <x v="0"/>
    <x v="1"/>
    <x v="1"/>
    <n v="19.32"/>
    <x v="0"/>
    <n v="6.7620000000000005"/>
    <x v="551"/>
    <x v="5"/>
    <x v="370"/>
    <x v="1"/>
    <x v="551"/>
    <n v="4.7619047619047619"/>
    <n v="6.7620000000000005"/>
    <n v="6.9"/>
  </r>
  <r>
    <s v="356-44-8813"/>
    <x v="2"/>
    <x v="2"/>
    <x v="1"/>
    <x v="1"/>
    <x v="2"/>
    <n v="37.479999999999997"/>
    <x v="6"/>
    <n v="5.6219999999999999"/>
    <x v="552"/>
    <x v="40"/>
    <x v="286"/>
    <x v="2"/>
    <x v="552"/>
    <n v="4.7619047619047619"/>
    <n v="5.6219999999999999"/>
    <n v="7.7"/>
  </r>
  <r>
    <s v="198-66-9832"/>
    <x v="2"/>
    <x v="2"/>
    <x v="0"/>
    <x v="0"/>
    <x v="5"/>
    <n v="72.040000000000006"/>
    <x v="5"/>
    <n v="7.2039999999999793"/>
    <x v="553"/>
    <x v="87"/>
    <x v="371"/>
    <x v="1"/>
    <x v="553"/>
    <n v="4.7619047619047485"/>
    <n v="7.2039999999999793"/>
    <n v="9.5"/>
  </r>
  <r>
    <s v="283-26-5248"/>
    <x v="1"/>
    <x v="1"/>
    <x v="0"/>
    <x v="0"/>
    <x v="4"/>
    <n v="98.52"/>
    <x v="4"/>
    <n v="49.260000000000105"/>
    <x v="554"/>
    <x v="74"/>
    <x v="169"/>
    <x v="0"/>
    <x v="554"/>
    <n v="4.761904761904761"/>
    <n v="49.259999999999991"/>
    <n v="4.5"/>
  </r>
  <r>
    <s v="712-39-0363"/>
    <x v="0"/>
    <x v="0"/>
    <x v="0"/>
    <x v="1"/>
    <x v="4"/>
    <n v="41.66"/>
    <x v="3"/>
    <n v="12.498000000000047"/>
    <x v="555"/>
    <x v="56"/>
    <x v="145"/>
    <x v="0"/>
    <x v="555"/>
    <n v="4.761904761904769"/>
    <n v="12.498000000000019"/>
    <n v="5.6"/>
  </r>
  <r>
    <s v="218-59-9410"/>
    <x v="0"/>
    <x v="0"/>
    <x v="0"/>
    <x v="0"/>
    <x v="2"/>
    <n v="72.42"/>
    <x v="6"/>
    <n v="10.863"/>
    <x v="556"/>
    <x v="14"/>
    <x v="336"/>
    <x v="0"/>
    <x v="556"/>
    <n v="4.7619047619047619"/>
    <n v="10.863"/>
    <n v="8.1999999999999993"/>
  </r>
  <r>
    <s v="174-75-0888"/>
    <x v="2"/>
    <x v="2"/>
    <x v="1"/>
    <x v="1"/>
    <x v="1"/>
    <n v="21.58"/>
    <x v="9"/>
    <n v="9.7110000000000412"/>
    <x v="557"/>
    <x v="86"/>
    <x v="372"/>
    <x v="1"/>
    <x v="557"/>
    <n v="4.7619047619047681"/>
    <n v="9.7110000000000127"/>
    <n v="7.3"/>
  </r>
  <r>
    <s v="866-99-7614"/>
    <x v="1"/>
    <x v="1"/>
    <x v="1"/>
    <x v="1"/>
    <x v="4"/>
    <n v="89.2"/>
    <x v="4"/>
    <n v="44.600000000000023"/>
    <x v="558"/>
    <x v="48"/>
    <x v="324"/>
    <x v="2"/>
    <x v="558"/>
    <n v="4.7619047619047645"/>
    <n v="44.600000000000023"/>
    <n v="4.4000000000000004"/>
  </r>
  <r>
    <s v="134-54-4720"/>
    <x v="2"/>
    <x v="2"/>
    <x v="1"/>
    <x v="0"/>
    <x v="1"/>
    <n v="42.42"/>
    <x v="2"/>
    <n v="16.967999999999961"/>
    <x v="559"/>
    <x v="74"/>
    <x v="139"/>
    <x v="0"/>
    <x v="559"/>
    <n v="4.7619047619047512"/>
    <n v="16.967999999999961"/>
    <n v="5.7"/>
  </r>
  <r>
    <s v="760-90-2357"/>
    <x v="0"/>
    <x v="0"/>
    <x v="0"/>
    <x v="1"/>
    <x v="1"/>
    <n v="74.510000000000005"/>
    <x v="3"/>
    <n v="22.352999999999952"/>
    <x v="560"/>
    <x v="80"/>
    <x v="264"/>
    <x v="0"/>
    <x v="560"/>
    <n v="4.7619047619047636"/>
    <n v="22.353000000000009"/>
    <n v="5"/>
  </r>
  <r>
    <s v="514-37-2845"/>
    <x v="2"/>
    <x v="2"/>
    <x v="1"/>
    <x v="1"/>
    <x v="5"/>
    <n v="99.25"/>
    <x v="5"/>
    <n v="9.9250000000000114"/>
    <x v="561"/>
    <x v="80"/>
    <x v="276"/>
    <x v="1"/>
    <x v="561"/>
    <n v="4.7619047619047672"/>
    <n v="9.9250000000000114"/>
    <n v="9"/>
  </r>
  <r>
    <s v="698-98-5964"/>
    <x v="0"/>
    <x v="0"/>
    <x v="1"/>
    <x v="0"/>
    <x v="4"/>
    <n v="81.209999999999994"/>
    <x v="4"/>
    <n v="40.605000000000132"/>
    <x v="562"/>
    <x v="29"/>
    <x v="39"/>
    <x v="2"/>
    <x v="562"/>
    <n v="4.7619047619047636"/>
    <n v="40.605000000000018"/>
    <n v="6.3"/>
  </r>
  <r>
    <s v="718-57-9773"/>
    <x v="1"/>
    <x v="1"/>
    <x v="1"/>
    <x v="0"/>
    <x v="3"/>
    <n v="49.33"/>
    <x v="4"/>
    <n v="24.665000000000077"/>
    <x v="563"/>
    <x v="36"/>
    <x v="64"/>
    <x v="2"/>
    <x v="563"/>
    <n v="4.7619047619047654"/>
    <n v="24.66500000000002"/>
    <n v="9.4"/>
  </r>
  <r>
    <s v="651-88-7328"/>
    <x v="0"/>
    <x v="0"/>
    <x v="1"/>
    <x v="0"/>
    <x v="5"/>
    <n v="65.739999999999995"/>
    <x v="9"/>
    <n v="29.583000000000084"/>
    <x v="564"/>
    <x v="17"/>
    <x v="353"/>
    <x v="1"/>
    <x v="564"/>
    <n v="4.7619047619047752"/>
    <n v="29.583000000000084"/>
    <n v="7.7"/>
  </r>
  <r>
    <s v="241-11-2261"/>
    <x v="2"/>
    <x v="2"/>
    <x v="1"/>
    <x v="0"/>
    <x v="5"/>
    <n v="79.86"/>
    <x v="0"/>
    <n v="27.951000000000022"/>
    <x v="565"/>
    <x v="8"/>
    <x v="373"/>
    <x v="2"/>
    <x v="565"/>
    <n v="4.7619047619047654"/>
    <n v="27.951000000000022"/>
    <n v="5.5"/>
  </r>
  <r>
    <s v="408-26-9866"/>
    <x v="1"/>
    <x v="1"/>
    <x v="1"/>
    <x v="0"/>
    <x v="3"/>
    <n v="73.98"/>
    <x v="0"/>
    <n v="25.893000000000029"/>
    <x v="566"/>
    <x v="22"/>
    <x v="86"/>
    <x v="0"/>
    <x v="566"/>
    <n v="4.7619047619047672"/>
    <n v="25.893000000000029"/>
    <n v="4.0999999999999996"/>
  </r>
  <r>
    <s v="834-83-1826"/>
    <x v="2"/>
    <x v="2"/>
    <x v="0"/>
    <x v="0"/>
    <x v="2"/>
    <n v="82.04"/>
    <x v="1"/>
    <n v="20.509999999999934"/>
    <x v="567"/>
    <x v="6"/>
    <x v="361"/>
    <x v="2"/>
    <x v="567"/>
    <n v="4.7619047619047601"/>
    <n v="20.509999999999991"/>
    <n v="7.6"/>
  </r>
  <r>
    <s v="343-61-3544"/>
    <x v="2"/>
    <x v="2"/>
    <x v="0"/>
    <x v="1"/>
    <x v="3"/>
    <n v="26.67"/>
    <x v="4"/>
    <n v="13.33499999999998"/>
    <x v="568"/>
    <x v="71"/>
    <x v="340"/>
    <x v="1"/>
    <x v="568"/>
    <n v="4.7619047619047743"/>
    <n v="13.335000000000036"/>
    <n v="8.6"/>
  </r>
  <r>
    <s v="239-48-4278"/>
    <x v="0"/>
    <x v="0"/>
    <x v="0"/>
    <x v="1"/>
    <x v="4"/>
    <n v="10.130000000000001"/>
    <x v="0"/>
    <n v="3.5454999999999899"/>
    <x v="569"/>
    <x v="24"/>
    <x v="323"/>
    <x v="0"/>
    <x v="569"/>
    <n v="4.7619047619047672"/>
    <n v="3.5455000000000041"/>
    <n v="8.3000000000000007"/>
  </r>
  <r>
    <s v="355-34-6244"/>
    <x v="2"/>
    <x v="2"/>
    <x v="1"/>
    <x v="1"/>
    <x v="4"/>
    <n v="72.39"/>
    <x v="5"/>
    <n v="7.2390000000000043"/>
    <x v="570"/>
    <x v="50"/>
    <x v="374"/>
    <x v="2"/>
    <x v="570"/>
    <n v="4.7619047619047645"/>
    <n v="7.2390000000000043"/>
    <n v="8.1"/>
  </r>
  <r>
    <s v="550-84-8664"/>
    <x v="0"/>
    <x v="0"/>
    <x v="1"/>
    <x v="1"/>
    <x v="3"/>
    <n v="85.91"/>
    <x v="1"/>
    <n v="21.47750000000002"/>
    <x v="571"/>
    <x v="23"/>
    <x v="375"/>
    <x v="2"/>
    <x v="571"/>
    <n v="4.7619047619047539"/>
    <n v="21.477499999999964"/>
    <n v="8.6"/>
  </r>
  <r>
    <s v="339-96-8318"/>
    <x v="2"/>
    <x v="2"/>
    <x v="0"/>
    <x v="1"/>
    <x v="5"/>
    <n v="81.31"/>
    <x v="0"/>
    <n v="28.458499999999958"/>
    <x v="572"/>
    <x v="59"/>
    <x v="349"/>
    <x v="0"/>
    <x v="572"/>
    <n v="4.7619047619047734"/>
    <n v="28.458500000000072"/>
    <n v="6.3"/>
  </r>
  <r>
    <s v="458-61-0011"/>
    <x v="2"/>
    <x v="2"/>
    <x v="1"/>
    <x v="1"/>
    <x v="4"/>
    <n v="60.3"/>
    <x v="7"/>
    <n v="12.060000000000002"/>
    <x v="573"/>
    <x v="9"/>
    <x v="362"/>
    <x v="1"/>
    <x v="573"/>
    <n v="4.7619047619047628"/>
    <n v="12.060000000000002"/>
    <n v="5.8"/>
  </r>
  <r>
    <s v="592-34-6155"/>
    <x v="1"/>
    <x v="1"/>
    <x v="1"/>
    <x v="1"/>
    <x v="4"/>
    <n v="31.77"/>
    <x v="7"/>
    <n v="6.3539999999999992"/>
    <x v="574"/>
    <x v="78"/>
    <x v="140"/>
    <x v="0"/>
    <x v="574"/>
    <n v="4.7619047619047619"/>
    <n v="6.3539999999999992"/>
    <n v="6.2"/>
  </r>
  <r>
    <s v="797-88-0493"/>
    <x v="0"/>
    <x v="0"/>
    <x v="1"/>
    <x v="0"/>
    <x v="0"/>
    <n v="64.27"/>
    <x v="7"/>
    <n v="12.854000000000042"/>
    <x v="575"/>
    <x v="58"/>
    <x v="376"/>
    <x v="1"/>
    <x v="575"/>
    <n v="4.761904761904777"/>
    <n v="12.854000000000042"/>
    <n v="7.7"/>
  </r>
  <r>
    <s v="207-73-1363"/>
    <x v="2"/>
    <x v="2"/>
    <x v="1"/>
    <x v="1"/>
    <x v="0"/>
    <n v="69.510000000000005"/>
    <x v="5"/>
    <n v="6.9509999999999934"/>
    <x v="576"/>
    <x v="59"/>
    <x v="377"/>
    <x v="0"/>
    <x v="576"/>
    <n v="4.7619047619047574"/>
    <n v="6.9509999999999934"/>
    <n v="8.1"/>
  </r>
  <r>
    <s v="390-31-6381"/>
    <x v="1"/>
    <x v="1"/>
    <x v="1"/>
    <x v="1"/>
    <x v="4"/>
    <n v="27.22"/>
    <x v="6"/>
    <n v="4.0829999999999984"/>
    <x v="577"/>
    <x v="27"/>
    <x v="378"/>
    <x v="1"/>
    <x v="577"/>
    <n v="4.7619047619047601"/>
    <n v="4.0829999999999984"/>
    <n v="7.3"/>
  </r>
  <r>
    <s v="443-82-0585"/>
    <x v="0"/>
    <x v="0"/>
    <x v="0"/>
    <x v="0"/>
    <x v="0"/>
    <n v="77.680000000000007"/>
    <x v="7"/>
    <n v="15.535999999999945"/>
    <x v="578"/>
    <x v="60"/>
    <x v="85"/>
    <x v="1"/>
    <x v="578"/>
    <n v="4.761904761904745"/>
    <n v="15.535999999999945"/>
    <n v="8.4"/>
  </r>
  <r>
    <s v="339-18-7061"/>
    <x v="1"/>
    <x v="1"/>
    <x v="0"/>
    <x v="0"/>
    <x v="5"/>
    <n v="92.98"/>
    <x v="5"/>
    <n v="9.2980000000000018"/>
    <x v="579"/>
    <x v="77"/>
    <x v="379"/>
    <x v="2"/>
    <x v="579"/>
    <n v="4.7619047619047628"/>
    <n v="9.2980000000000018"/>
    <n v="8"/>
  </r>
  <r>
    <s v="359-90-3665"/>
    <x v="2"/>
    <x v="2"/>
    <x v="0"/>
    <x v="0"/>
    <x v="5"/>
    <n v="18.079999999999998"/>
    <x v="7"/>
    <n v="3.6160000000000139"/>
    <x v="580"/>
    <x v="78"/>
    <x v="172"/>
    <x v="2"/>
    <x v="580"/>
    <n v="4.7619047619047796"/>
    <n v="3.6160000000000139"/>
    <n v="9.5"/>
  </r>
  <r>
    <s v="375-72-3056"/>
    <x v="2"/>
    <x v="2"/>
    <x v="1"/>
    <x v="1"/>
    <x v="3"/>
    <n v="63.06"/>
    <x v="6"/>
    <n v="9.4590000000000032"/>
    <x v="581"/>
    <x v="64"/>
    <x v="380"/>
    <x v="0"/>
    <x v="581"/>
    <n v="4.7619047619047628"/>
    <n v="9.4590000000000032"/>
    <n v="7"/>
  </r>
  <r>
    <s v="127-47-6963"/>
    <x v="0"/>
    <x v="0"/>
    <x v="1"/>
    <x v="1"/>
    <x v="0"/>
    <n v="51.71"/>
    <x v="7"/>
    <n v="10.341999999999985"/>
    <x v="582"/>
    <x v="11"/>
    <x v="318"/>
    <x v="2"/>
    <x v="582"/>
    <n v="4.7619047619047556"/>
    <n v="10.341999999999985"/>
    <n v="9.8000000000000007"/>
  </r>
  <r>
    <s v="278-86-2735"/>
    <x v="0"/>
    <x v="0"/>
    <x v="1"/>
    <x v="0"/>
    <x v="4"/>
    <n v="52.34"/>
    <x v="6"/>
    <n v="7.8509999999999991"/>
    <x v="583"/>
    <x v="39"/>
    <x v="381"/>
    <x v="1"/>
    <x v="583"/>
    <n v="4.761904761904761"/>
    <n v="7.8509999999999991"/>
    <n v="9.1999999999999993"/>
  </r>
  <r>
    <s v="695-28-6250"/>
    <x v="0"/>
    <x v="0"/>
    <x v="1"/>
    <x v="0"/>
    <x v="3"/>
    <n v="43.06"/>
    <x v="1"/>
    <n v="10.764999999999986"/>
    <x v="584"/>
    <x v="87"/>
    <x v="382"/>
    <x v="0"/>
    <x v="584"/>
    <n v="4.7619047619047556"/>
    <n v="10.764999999999986"/>
    <n v="7.7"/>
  </r>
  <r>
    <s v="379-17-6588"/>
    <x v="1"/>
    <x v="1"/>
    <x v="1"/>
    <x v="1"/>
    <x v="5"/>
    <n v="59.61"/>
    <x v="4"/>
    <n v="29.80499999999995"/>
    <x v="585"/>
    <x v="86"/>
    <x v="383"/>
    <x v="1"/>
    <x v="585"/>
    <n v="4.7619047619047539"/>
    <n v="29.80499999999995"/>
    <n v="5.3"/>
  </r>
  <r>
    <s v="227-50-3718"/>
    <x v="0"/>
    <x v="0"/>
    <x v="1"/>
    <x v="1"/>
    <x v="0"/>
    <n v="14.62"/>
    <x v="1"/>
    <n v="3.6550000000000011"/>
    <x v="586"/>
    <x v="31"/>
    <x v="384"/>
    <x v="1"/>
    <x v="586"/>
    <n v="4.7619047619047636"/>
    <n v="3.6550000000000011"/>
    <n v="4.4000000000000004"/>
  </r>
  <r>
    <s v="302-15-2162"/>
    <x v="1"/>
    <x v="1"/>
    <x v="0"/>
    <x v="1"/>
    <x v="0"/>
    <n v="46.53"/>
    <x v="3"/>
    <n v="13.959000000000003"/>
    <x v="587"/>
    <x v="2"/>
    <x v="200"/>
    <x v="2"/>
    <x v="587"/>
    <n v="4.7619047619047628"/>
    <n v="13.959000000000003"/>
    <n v="4.3"/>
  </r>
  <r>
    <s v="788-07-8452"/>
    <x v="1"/>
    <x v="1"/>
    <x v="0"/>
    <x v="0"/>
    <x v="2"/>
    <n v="24.24"/>
    <x v="0"/>
    <n v="8.4840000000000089"/>
    <x v="588"/>
    <x v="3"/>
    <x v="180"/>
    <x v="0"/>
    <x v="588"/>
    <n v="4.7619047619047512"/>
    <n v="8.4839999999999804"/>
    <n v="9.4"/>
  </r>
  <r>
    <s v="560-49-6611"/>
    <x v="0"/>
    <x v="0"/>
    <x v="0"/>
    <x v="0"/>
    <x v="3"/>
    <n v="45.58"/>
    <x v="8"/>
    <n v="2.2790000000000035"/>
    <x v="589"/>
    <x v="13"/>
    <x v="385"/>
    <x v="1"/>
    <x v="589"/>
    <n v="4.761904761904769"/>
    <n v="2.2790000000000035"/>
    <n v="9.8000000000000007"/>
  </r>
  <r>
    <s v="880-35-0356"/>
    <x v="0"/>
    <x v="0"/>
    <x v="0"/>
    <x v="0"/>
    <x v="3"/>
    <n v="75.2"/>
    <x v="6"/>
    <n v="11.279999999999973"/>
    <x v="590"/>
    <x v="63"/>
    <x v="159"/>
    <x v="0"/>
    <x v="590"/>
    <n v="4.7619047619047628"/>
    <n v="11.280000000000001"/>
    <n v="4.8"/>
  </r>
  <r>
    <s v="585-11-6748"/>
    <x v="2"/>
    <x v="2"/>
    <x v="0"/>
    <x v="1"/>
    <x v="3"/>
    <n v="96.8"/>
    <x v="6"/>
    <n v="14.520000000000039"/>
    <x v="591"/>
    <x v="20"/>
    <x v="137"/>
    <x v="1"/>
    <x v="591"/>
    <n v="4.7619047619047743"/>
    <n v="14.520000000000039"/>
    <n v="5.3"/>
  </r>
  <r>
    <s v="470-31-3286"/>
    <x v="2"/>
    <x v="2"/>
    <x v="1"/>
    <x v="1"/>
    <x v="0"/>
    <n v="14.82"/>
    <x v="6"/>
    <n v="2.222999999999999"/>
    <x v="592"/>
    <x v="59"/>
    <x v="170"/>
    <x v="2"/>
    <x v="592"/>
    <n v="4.7619047619047592"/>
    <n v="2.222999999999999"/>
    <n v="8.6999999999999993"/>
  </r>
  <r>
    <s v="152-68-2907"/>
    <x v="0"/>
    <x v="0"/>
    <x v="1"/>
    <x v="1"/>
    <x v="4"/>
    <n v="52.2"/>
    <x v="6"/>
    <n v="7.8299999999999841"/>
    <x v="593"/>
    <x v="42"/>
    <x v="241"/>
    <x v="2"/>
    <x v="593"/>
    <n v="4.761904761904769"/>
    <n v="7.8300000000000125"/>
    <n v="9.5"/>
  </r>
  <r>
    <s v="123-35-4896"/>
    <x v="1"/>
    <x v="1"/>
    <x v="1"/>
    <x v="0"/>
    <x v="3"/>
    <n v="46.66"/>
    <x v="9"/>
    <n v="20.997000000000071"/>
    <x v="594"/>
    <x v="21"/>
    <x v="386"/>
    <x v="0"/>
    <x v="594"/>
    <n v="4.7619047619047654"/>
    <n v="20.997000000000014"/>
    <n v="5.3"/>
  </r>
  <r>
    <s v="258-69-7810"/>
    <x v="1"/>
    <x v="1"/>
    <x v="1"/>
    <x v="0"/>
    <x v="5"/>
    <n v="36.85"/>
    <x v="1"/>
    <n v="9.2125000000000057"/>
    <x v="595"/>
    <x v="53"/>
    <x v="387"/>
    <x v="1"/>
    <x v="595"/>
    <n v="4.7619047619047645"/>
    <n v="9.2125000000000057"/>
    <n v="9.1999999999999993"/>
  </r>
  <r>
    <s v="334-64-2006"/>
    <x v="0"/>
    <x v="0"/>
    <x v="0"/>
    <x v="0"/>
    <x v="2"/>
    <n v="70.319999999999993"/>
    <x v="5"/>
    <n v="7.0320000000000107"/>
    <x v="596"/>
    <x v="62"/>
    <x v="388"/>
    <x v="0"/>
    <x v="596"/>
    <n v="4.761904761904769"/>
    <n v="7.0320000000000107"/>
    <n v="9.6"/>
  </r>
  <r>
    <s v="219-61-4139"/>
    <x v="1"/>
    <x v="1"/>
    <x v="1"/>
    <x v="1"/>
    <x v="1"/>
    <n v="83.08"/>
    <x v="8"/>
    <n v="4.1539999999999964"/>
    <x v="451"/>
    <x v="54"/>
    <x v="361"/>
    <x v="0"/>
    <x v="451"/>
    <n v="4.7619047619047583"/>
    <n v="4.1539999999999964"/>
    <n v="6.4"/>
  </r>
  <r>
    <s v="881-41-7302"/>
    <x v="1"/>
    <x v="1"/>
    <x v="1"/>
    <x v="0"/>
    <x v="5"/>
    <n v="64.989999999999995"/>
    <x v="8"/>
    <n v="3.2495000000000118"/>
    <x v="597"/>
    <x v="53"/>
    <x v="389"/>
    <x v="2"/>
    <x v="597"/>
    <n v="4.7619047619047787"/>
    <n v="3.2495000000000118"/>
    <n v="4.5"/>
  </r>
  <r>
    <s v="373-09-4567"/>
    <x v="1"/>
    <x v="1"/>
    <x v="1"/>
    <x v="1"/>
    <x v="4"/>
    <n v="77.56"/>
    <x v="4"/>
    <n v="38.779999999999973"/>
    <x v="598"/>
    <x v="86"/>
    <x v="82"/>
    <x v="0"/>
    <x v="598"/>
    <n v="4.7619047619047592"/>
    <n v="38.779999999999973"/>
    <n v="6.9"/>
  </r>
  <r>
    <s v="642-30-6693"/>
    <x v="2"/>
    <x v="2"/>
    <x v="1"/>
    <x v="0"/>
    <x v="3"/>
    <n v="54.51"/>
    <x v="3"/>
    <n v="16.353000000000009"/>
    <x v="599"/>
    <x v="85"/>
    <x v="376"/>
    <x v="0"/>
    <x v="599"/>
    <n v="4.7619047619047645"/>
    <n v="16.353000000000009"/>
    <n v="7.8"/>
  </r>
  <r>
    <s v="484-22-8230"/>
    <x v="1"/>
    <x v="1"/>
    <x v="0"/>
    <x v="0"/>
    <x v="5"/>
    <n v="51.89"/>
    <x v="0"/>
    <n v="18.16149999999999"/>
    <x v="600"/>
    <x v="66"/>
    <x v="390"/>
    <x v="1"/>
    <x v="600"/>
    <n v="4.7619047619047592"/>
    <n v="18.16149999999999"/>
    <n v="4.5"/>
  </r>
  <r>
    <s v="830-58-2383"/>
    <x v="2"/>
    <x v="2"/>
    <x v="1"/>
    <x v="1"/>
    <x v="2"/>
    <n v="31.75"/>
    <x v="7"/>
    <n v="6.3499999999999943"/>
    <x v="601"/>
    <x v="4"/>
    <x v="108"/>
    <x v="1"/>
    <x v="601"/>
    <n v="4.7619047619047583"/>
    <n v="6.3499999999999943"/>
    <n v="8.6"/>
  </r>
  <r>
    <s v="559-98-9873"/>
    <x v="0"/>
    <x v="0"/>
    <x v="0"/>
    <x v="0"/>
    <x v="5"/>
    <n v="53.65"/>
    <x v="0"/>
    <n v="18.777499999999975"/>
    <x v="602"/>
    <x v="34"/>
    <x v="391"/>
    <x v="0"/>
    <x v="602"/>
    <n v="4.7619047619047556"/>
    <n v="18.777499999999975"/>
    <n v="5.2"/>
  </r>
  <r>
    <s v="544-32-5024"/>
    <x v="1"/>
    <x v="1"/>
    <x v="0"/>
    <x v="0"/>
    <x v="4"/>
    <n v="49.79"/>
    <x v="7"/>
    <n v="9.9579999999999984"/>
    <x v="603"/>
    <x v="61"/>
    <x v="156"/>
    <x v="2"/>
    <x v="603"/>
    <n v="4.761904761904761"/>
    <n v="9.9579999999999984"/>
    <n v="6.4"/>
  </r>
  <r>
    <s v="318-12-0304"/>
    <x v="0"/>
    <x v="0"/>
    <x v="1"/>
    <x v="1"/>
    <x v="5"/>
    <n v="30.61"/>
    <x v="8"/>
    <n v="1.5305000000000035"/>
    <x v="604"/>
    <x v="54"/>
    <x v="22"/>
    <x v="0"/>
    <x v="604"/>
    <n v="4.7619047619047725"/>
    <n v="1.5305000000000035"/>
    <n v="5.2"/>
  </r>
  <r>
    <s v="349-97-8902"/>
    <x v="2"/>
    <x v="2"/>
    <x v="0"/>
    <x v="1"/>
    <x v="4"/>
    <n v="57.89"/>
    <x v="5"/>
    <n v="5.7890000000000015"/>
    <x v="605"/>
    <x v="29"/>
    <x v="4"/>
    <x v="0"/>
    <x v="605"/>
    <n v="4.7619047619047628"/>
    <n v="5.7890000000000015"/>
    <n v="8.9"/>
  </r>
  <r>
    <s v="421-95-9805"/>
    <x v="0"/>
    <x v="0"/>
    <x v="1"/>
    <x v="0"/>
    <x v="1"/>
    <n v="28.96"/>
    <x v="8"/>
    <n v="1.4480000000000004"/>
    <x v="606"/>
    <x v="13"/>
    <x v="392"/>
    <x v="2"/>
    <x v="606"/>
    <n v="4.7619047619047628"/>
    <n v="1.4480000000000004"/>
    <n v="6.2"/>
  </r>
  <r>
    <s v="277-35-5865"/>
    <x v="1"/>
    <x v="1"/>
    <x v="0"/>
    <x v="0"/>
    <x v="4"/>
    <n v="98.97"/>
    <x v="9"/>
    <n v="44.536499999999933"/>
    <x v="607"/>
    <x v="11"/>
    <x v="219"/>
    <x v="1"/>
    <x v="607"/>
    <n v="4.7619047619047548"/>
    <n v="44.536499999999933"/>
    <n v="6.7"/>
  </r>
  <r>
    <s v="789-23-8625"/>
    <x v="2"/>
    <x v="2"/>
    <x v="0"/>
    <x v="1"/>
    <x v="5"/>
    <n v="93.22"/>
    <x v="6"/>
    <n v="13.983000000000004"/>
    <x v="608"/>
    <x v="46"/>
    <x v="393"/>
    <x v="1"/>
    <x v="608"/>
    <n v="4.7619047619047441"/>
    <n v="13.982999999999947"/>
    <n v="7.2"/>
  </r>
  <r>
    <s v="284-54-4231"/>
    <x v="1"/>
    <x v="1"/>
    <x v="0"/>
    <x v="1"/>
    <x v="3"/>
    <n v="80.930000000000007"/>
    <x v="8"/>
    <n v="4.0464999999999947"/>
    <x v="609"/>
    <x v="64"/>
    <x v="394"/>
    <x v="2"/>
    <x v="609"/>
    <n v="4.7619047619047556"/>
    <n v="4.0464999999999947"/>
    <n v="9"/>
  </r>
  <r>
    <s v="443-59-0061"/>
    <x v="0"/>
    <x v="0"/>
    <x v="0"/>
    <x v="1"/>
    <x v="4"/>
    <n v="67.45"/>
    <x v="4"/>
    <n v="33.725000000000023"/>
    <x v="610"/>
    <x v="36"/>
    <x v="210"/>
    <x v="0"/>
    <x v="610"/>
    <n v="4.7619047619047654"/>
    <n v="33.725000000000023"/>
    <n v="4.2"/>
  </r>
  <r>
    <s v="509-29-3912"/>
    <x v="0"/>
    <x v="0"/>
    <x v="0"/>
    <x v="0"/>
    <x v="3"/>
    <n v="38.72"/>
    <x v="9"/>
    <n v="17.423999999999978"/>
    <x v="611"/>
    <x v="80"/>
    <x v="395"/>
    <x v="0"/>
    <x v="611"/>
    <n v="4.7619047619047556"/>
    <n v="17.423999999999978"/>
    <n v="4.2"/>
  </r>
  <r>
    <s v="327-40-9673"/>
    <x v="2"/>
    <x v="2"/>
    <x v="0"/>
    <x v="1"/>
    <x v="3"/>
    <n v="72.599999999999994"/>
    <x v="3"/>
    <n v="21.78000000000003"/>
    <x v="612"/>
    <x v="50"/>
    <x v="396"/>
    <x v="1"/>
    <x v="612"/>
    <n v="4.7619047619047556"/>
    <n v="21.779999999999973"/>
    <n v="6.9"/>
  </r>
  <r>
    <s v="840-19-2096"/>
    <x v="1"/>
    <x v="1"/>
    <x v="0"/>
    <x v="1"/>
    <x v="1"/>
    <n v="87.91"/>
    <x v="1"/>
    <n v="21.97750000000002"/>
    <x v="613"/>
    <x v="86"/>
    <x v="397"/>
    <x v="0"/>
    <x v="613"/>
    <n v="4.7619047619047539"/>
    <n v="21.977499999999964"/>
    <n v="4.4000000000000004"/>
  </r>
  <r>
    <s v="828-46-6863"/>
    <x v="0"/>
    <x v="0"/>
    <x v="0"/>
    <x v="1"/>
    <x v="4"/>
    <n v="98.53"/>
    <x v="3"/>
    <n v="29.558999999999969"/>
    <x v="614"/>
    <x v="54"/>
    <x v="218"/>
    <x v="2"/>
    <x v="614"/>
    <n v="4.7619047619047752"/>
    <n v="29.559000000000083"/>
    <n v="4"/>
  </r>
  <r>
    <s v="641-96-3695"/>
    <x v="1"/>
    <x v="1"/>
    <x v="0"/>
    <x v="0"/>
    <x v="5"/>
    <n v="43.46"/>
    <x v="3"/>
    <n v="13.038000000000011"/>
    <x v="615"/>
    <x v="13"/>
    <x v="84"/>
    <x v="0"/>
    <x v="615"/>
    <n v="4.7619047619047654"/>
    <n v="13.038000000000011"/>
    <n v="8.5"/>
  </r>
  <r>
    <s v="420-97-3340"/>
    <x v="0"/>
    <x v="0"/>
    <x v="1"/>
    <x v="0"/>
    <x v="4"/>
    <n v="71.680000000000007"/>
    <x v="6"/>
    <n v="10.751999999999981"/>
    <x v="616"/>
    <x v="61"/>
    <x v="19"/>
    <x v="2"/>
    <x v="616"/>
    <n v="4.7619047619047654"/>
    <n v="10.75200000000001"/>
    <n v="9.1999999999999993"/>
  </r>
  <r>
    <s v="436-54-4512"/>
    <x v="0"/>
    <x v="0"/>
    <x v="0"/>
    <x v="0"/>
    <x v="4"/>
    <n v="91.61"/>
    <x v="8"/>
    <n v="4.5805000000000007"/>
    <x v="617"/>
    <x v="80"/>
    <x v="143"/>
    <x v="1"/>
    <x v="617"/>
    <n v="4.7619047619047628"/>
    <n v="4.5805000000000007"/>
    <n v="9.8000000000000007"/>
  </r>
  <r>
    <s v="670-79-6321"/>
    <x v="2"/>
    <x v="2"/>
    <x v="0"/>
    <x v="0"/>
    <x v="2"/>
    <n v="94.59"/>
    <x v="0"/>
    <n v="33.106499999999983"/>
    <x v="618"/>
    <x v="29"/>
    <x v="398"/>
    <x v="2"/>
    <x v="618"/>
    <n v="4.7619047619047592"/>
    <n v="33.106499999999983"/>
    <n v="4.9000000000000004"/>
  </r>
  <r>
    <s v="852-62-7105"/>
    <x v="2"/>
    <x v="2"/>
    <x v="1"/>
    <x v="0"/>
    <x v="5"/>
    <n v="83.25"/>
    <x v="4"/>
    <n v="41.625"/>
    <x v="619"/>
    <x v="52"/>
    <x v="210"/>
    <x v="2"/>
    <x v="619"/>
    <n v="4.7619047619047619"/>
    <n v="41.625"/>
    <n v="4.4000000000000004"/>
  </r>
  <r>
    <s v="598-06-7312"/>
    <x v="2"/>
    <x v="2"/>
    <x v="0"/>
    <x v="1"/>
    <x v="5"/>
    <n v="91.35"/>
    <x v="8"/>
    <n v="4.5675000000000097"/>
    <x v="620"/>
    <x v="69"/>
    <x v="324"/>
    <x v="1"/>
    <x v="620"/>
    <n v="4.7619047619047716"/>
    <n v="4.5675000000000097"/>
    <n v="6.8"/>
  </r>
  <r>
    <s v="135-13-8269"/>
    <x v="2"/>
    <x v="2"/>
    <x v="0"/>
    <x v="0"/>
    <x v="4"/>
    <n v="78.88"/>
    <x v="5"/>
    <n v="7.8880000000000052"/>
    <x v="621"/>
    <x v="53"/>
    <x v="399"/>
    <x v="1"/>
    <x v="621"/>
    <n v="4.7619047619047654"/>
    <n v="7.8880000000000052"/>
    <n v="9.1"/>
  </r>
  <r>
    <s v="816-57-2053"/>
    <x v="0"/>
    <x v="0"/>
    <x v="1"/>
    <x v="1"/>
    <x v="3"/>
    <n v="60.87"/>
    <x v="5"/>
    <n v="6.0870000000000033"/>
    <x v="622"/>
    <x v="11"/>
    <x v="378"/>
    <x v="0"/>
    <x v="622"/>
    <n v="4.7619047619047645"/>
    <n v="6.0870000000000033"/>
    <n v="8.6999999999999993"/>
  </r>
  <r>
    <s v="628-90-8624"/>
    <x v="2"/>
    <x v="2"/>
    <x v="0"/>
    <x v="1"/>
    <x v="0"/>
    <n v="82.58"/>
    <x v="4"/>
    <n v="41.290000000000077"/>
    <x v="623"/>
    <x v="86"/>
    <x v="400"/>
    <x v="1"/>
    <x v="623"/>
    <n v="4.7619047619047707"/>
    <n v="41.290000000000077"/>
    <n v="5"/>
  </r>
  <r>
    <s v="856-66-2701"/>
    <x v="0"/>
    <x v="0"/>
    <x v="0"/>
    <x v="1"/>
    <x v="2"/>
    <n v="53.3"/>
    <x v="6"/>
    <n v="7.995000000000033"/>
    <x v="624"/>
    <x v="25"/>
    <x v="401"/>
    <x v="0"/>
    <x v="624"/>
    <n v="4.7619047619047645"/>
    <n v="7.9950000000000045"/>
    <n v="7.5"/>
  </r>
  <r>
    <s v="308-39-1707"/>
    <x v="0"/>
    <x v="0"/>
    <x v="1"/>
    <x v="0"/>
    <x v="5"/>
    <n v="12.09"/>
    <x v="8"/>
    <n v="16759.91"/>
    <x v="625"/>
    <x v="53"/>
    <x v="96"/>
    <x v="2"/>
    <x v="625"/>
    <n v="99.927915573575007"/>
    <n v="16759.91"/>
    <n v="8.1999999999999993"/>
  </r>
  <r>
    <s v="149-61-1929"/>
    <x v="0"/>
    <x v="0"/>
    <x v="1"/>
    <x v="1"/>
    <x v="3"/>
    <n v="64.19"/>
    <x v="4"/>
    <n v="32.095000000000027"/>
    <x v="626"/>
    <x v="64"/>
    <x v="402"/>
    <x v="2"/>
    <x v="626"/>
    <n v="4.7619047619047654"/>
    <n v="32.095000000000027"/>
    <n v="6.7"/>
  </r>
  <r>
    <s v="655-07-2265"/>
    <x v="0"/>
    <x v="0"/>
    <x v="1"/>
    <x v="1"/>
    <x v="1"/>
    <n v="78.31"/>
    <x v="6"/>
    <n v="11.746499999999997"/>
    <x v="627"/>
    <x v="19"/>
    <x v="382"/>
    <x v="0"/>
    <x v="627"/>
    <n v="4.761904761904761"/>
    <n v="11.746499999999997"/>
    <n v="5.4"/>
  </r>
  <r>
    <s v="589-02-8023"/>
    <x v="0"/>
    <x v="0"/>
    <x v="0"/>
    <x v="1"/>
    <x v="4"/>
    <n v="83.77"/>
    <x v="5"/>
    <n v="8.3770000000000095"/>
    <x v="628"/>
    <x v="15"/>
    <x v="200"/>
    <x v="2"/>
    <x v="628"/>
    <n v="4.7619047619047672"/>
    <n v="8.3770000000000095"/>
    <n v="7"/>
  </r>
  <r>
    <s v="420-04-7590"/>
    <x v="2"/>
    <x v="2"/>
    <x v="1"/>
    <x v="1"/>
    <x v="2"/>
    <n v="99.7"/>
    <x v="6"/>
    <n v="14.954999999999984"/>
    <x v="629"/>
    <x v="79"/>
    <x v="403"/>
    <x v="0"/>
    <x v="629"/>
    <n v="4.7619047619047565"/>
    <n v="14.954999999999984"/>
    <n v="4.7"/>
  </r>
  <r>
    <s v="182-88-2763"/>
    <x v="2"/>
    <x v="2"/>
    <x v="0"/>
    <x v="1"/>
    <x v="4"/>
    <n v="79.91"/>
    <x v="6"/>
    <n v="11.986500000000007"/>
    <x v="630"/>
    <x v="80"/>
    <x v="198"/>
    <x v="2"/>
    <x v="630"/>
    <n v="4.7619047619047645"/>
    <n v="11.986500000000007"/>
    <n v="5"/>
  </r>
  <r>
    <s v="188-55-0967"/>
    <x v="2"/>
    <x v="2"/>
    <x v="0"/>
    <x v="1"/>
    <x v="0"/>
    <n v="66.47"/>
    <x v="4"/>
    <n v="33.2349999999999"/>
    <x v="631"/>
    <x v="15"/>
    <x v="66"/>
    <x v="2"/>
    <x v="631"/>
    <n v="4.7619047619047477"/>
    <n v="33.2349999999999"/>
    <n v="5"/>
  </r>
  <r>
    <s v="610-46-4100"/>
    <x v="0"/>
    <x v="0"/>
    <x v="1"/>
    <x v="1"/>
    <x v="0"/>
    <n v="28.95"/>
    <x v="0"/>
    <n v="10.132499999999993"/>
    <x v="632"/>
    <x v="2"/>
    <x v="106"/>
    <x v="2"/>
    <x v="632"/>
    <n v="4.7619047619047592"/>
    <n v="10.132499999999993"/>
    <n v="6"/>
  </r>
  <r>
    <s v="318-81-2368"/>
    <x v="1"/>
    <x v="1"/>
    <x v="1"/>
    <x v="0"/>
    <x v="1"/>
    <n v="46.2"/>
    <x v="8"/>
    <n v="2.3099999999999952"/>
    <x v="633"/>
    <x v="35"/>
    <x v="404"/>
    <x v="1"/>
    <x v="633"/>
    <n v="4.7619047619047521"/>
    <n v="2.3099999999999952"/>
    <n v="6.3"/>
  </r>
  <r>
    <s v="364-33-8584"/>
    <x v="2"/>
    <x v="2"/>
    <x v="0"/>
    <x v="0"/>
    <x v="4"/>
    <n v="17.63"/>
    <x v="1"/>
    <n v="4.4075000000000131"/>
    <x v="634"/>
    <x v="1"/>
    <x v="398"/>
    <x v="1"/>
    <x v="634"/>
    <n v="4.7619047619047601"/>
    <n v="4.4074999999999989"/>
    <n v="8.5"/>
  </r>
  <r>
    <s v="665-63-9737"/>
    <x v="2"/>
    <x v="2"/>
    <x v="1"/>
    <x v="1"/>
    <x v="5"/>
    <n v="52.42"/>
    <x v="6"/>
    <n v="7.8629999999999995"/>
    <x v="635"/>
    <x v="33"/>
    <x v="24"/>
    <x v="0"/>
    <x v="635"/>
    <n v="4.7619047619047619"/>
    <n v="7.8629999999999995"/>
    <n v="7.5"/>
  </r>
  <r>
    <s v="695-09-5146"/>
    <x v="2"/>
    <x v="2"/>
    <x v="0"/>
    <x v="0"/>
    <x v="4"/>
    <n v="98.79"/>
    <x v="6"/>
    <n v="14.818499999999972"/>
    <x v="636"/>
    <x v="55"/>
    <x v="405"/>
    <x v="0"/>
    <x v="636"/>
    <n v="4.761904761904753"/>
    <n v="14.818499999999972"/>
    <n v="6.4"/>
  </r>
  <r>
    <s v="155-45-3814"/>
    <x v="1"/>
    <x v="1"/>
    <x v="0"/>
    <x v="0"/>
    <x v="1"/>
    <n v="88.55"/>
    <x v="2"/>
    <n v="35.420000000000073"/>
    <x v="637"/>
    <x v="35"/>
    <x v="406"/>
    <x v="0"/>
    <x v="637"/>
    <n v="4.7619047619047716"/>
    <n v="35.420000000000073"/>
    <n v="4.7"/>
  </r>
  <r>
    <s v="794-32-2436"/>
    <x v="2"/>
    <x v="2"/>
    <x v="0"/>
    <x v="1"/>
    <x v="1"/>
    <n v="55.67"/>
    <x v="5"/>
    <n v="5.5669999999999931"/>
    <x v="638"/>
    <x v="39"/>
    <x v="264"/>
    <x v="0"/>
    <x v="638"/>
    <n v="4.7619047619047556"/>
    <n v="5.5669999999999931"/>
    <n v="6"/>
  </r>
  <r>
    <s v="131-15-8856"/>
    <x v="1"/>
    <x v="1"/>
    <x v="0"/>
    <x v="0"/>
    <x v="4"/>
    <n v="72.52"/>
    <x v="2"/>
    <n v="29.008000000000038"/>
    <x v="639"/>
    <x v="73"/>
    <x v="206"/>
    <x v="2"/>
    <x v="639"/>
    <n v="4.7619047619047681"/>
    <n v="29.008000000000038"/>
    <n v="4"/>
  </r>
  <r>
    <s v="273-84-2164"/>
    <x v="1"/>
    <x v="1"/>
    <x v="0"/>
    <x v="1"/>
    <x v="1"/>
    <n v="12.05"/>
    <x v="1"/>
    <n v="3.0125000000000028"/>
    <x v="640"/>
    <x v="69"/>
    <x v="183"/>
    <x v="0"/>
    <x v="640"/>
    <n v="4.7619047619047663"/>
    <n v="3.0125000000000028"/>
    <n v="5.5"/>
  </r>
  <r>
    <s v="706-36-6154"/>
    <x v="0"/>
    <x v="0"/>
    <x v="0"/>
    <x v="1"/>
    <x v="2"/>
    <n v="19.36"/>
    <x v="9"/>
    <n v="8.7119999999999891"/>
    <x v="641"/>
    <x v="68"/>
    <x v="362"/>
    <x v="0"/>
    <x v="641"/>
    <n v="4.7619047619047556"/>
    <n v="8.7119999999999891"/>
    <n v="8.6999999999999993"/>
  </r>
  <r>
    <s v="778-89-7974"/>
    <x v="1"/>
    <x v="1"/>
    <x v="1"/>
    <x v="1"/>
    <x v="0"/>
    <n v="70.209999999999994"/>
    <x v="3"/>
    <n v="21.062999999999988"/>
    <x v="642"/>
    <x v="73"/>
    <x v="407"/>
    <x v="1"/>
    <x v="642"/>
    <n v="4.7619047619047592"/>
    <n v="21.062999999999988"/>
    <n v="7.4"/>
  </r>
  <r>
    <s v="574-31-8277"/>
    <x v="2"/>
    <x v="2"/>
    <x v="0"/>
    <x v="1"/>
    <x v="5"/>
    <n v="33.630000000000003"/>
    <x v="8"/>
    <n v="1.6814999999999998"/>
    <x v="643"/>
    <x v="80"/>
    <x v="374"/>
    <x v="1"/>
    <x v="643"/>
    <n v="4.761904761904761"/>
    <n v="1.6814999999999998"/>
    <n v="5.6"/>
  </r>
  <r>
    <s v="859-71-0933"/>
    <x v="1"/>
    <x v="1"/>
    <x v="0"/>
    <x v="0"/>
    <x v="3"/>
    <n v="15.49"/>
    <x v="5"/>
    <n v="1.549000000000003"/>
    <x v="644"/>
    <x v="65"/>
    <x v="50"/>
    <x v="1"/>
    <x v="644"/>
    <n v="4.7619047619047707"/>
    <n v="1.549000000000003"/>
    <n v="6.3"/>
  </r>
  <r>
    <s v="740-11-5257"/>
    <x v="1"/>
    <x v="1"/>
    <x v="1"/>
    <x v="1"/>
    <x v="1"/>
    <n v="24.74"/>
    <x v="4"/>
    <n v="12.370000000000005"/>
    <x v="645"/>
    <x v="7"/>
    <x v="95"/>
    <x v="1"/>
    <x v="645"/>
    <n v="4.761904761904753"/>
    <n v="12.369999999999976"/>
    <n v="7.1"/>
  </r>
  <r>
    <s v="369-82-2676"/>
    <x v="2"/>
    <x v="2"/>
    <x v="1"/>
    <x v="1"/>
    <x v="1"/>
    <n v="75.66"/>
    <x v="1"/>
    <n v="18.91500000000002"/>
    <x v="646"/>
    <x v="15"/>
    <x v="282"/>
    <x v="0"/>
    <x v="646"/>
    <n v="4.761904761904753"/>
    <n v="18.914999999999964"/>
    <n v="7.8"/>
  </r>
  <r>
    <s v="563-47-4072"/>
    <x v="2"/>
    <x v="2"/>
    <x v="1"/>
    <x v="0"/>
    <x v="0"/>
    <n v="55.81"/>
    <x v="3"/>
    <n v="16.742999999999995"/>
    <x v="647"/>
    <x v="49"/>
    <x v="408"/>
    <x v="1"/>
    <x v="647"/>
    <n v="4.7619047619047601"/>
    <n v="16.742999999999995"/>
    <n v="9.9"/>
  </r>
  <r>
    <s v="742-04-5161"/>
    <x v="0"/>
    <x v="0"/>
    <x v="0"/>
    <x v="1"/>
    <x v="2"/>
    <n v="72.78"/>
    <x v="4"/>
    <n v="36.3900000000001"/>
    <x v="648"/>
    <x v="36"/>
    <x v="45"/>
    <x v="1"/>
    <x v="648"/>
    <n v="4.7619047619047752"/>
    <n v="36.3900000000001"/>
    <n v="7.3"/>
  </r>
  <r>
    <s v="149-15-7606"/>
    <x v="2"/>
    <x v="2"/>
    <x v="0"/>
    <x v="1"/>
    <x v="3"/>
    <n v="37.32"/>
    <x v="9"/>
    <n v="16.793999999999983"/>
    <x v="649"/>
    <x v="43"/>
    <x v="26"/>
    <x v="0"/>
    <x v="649"/>
    <n v="4.7619047619047574"/>
    <n v="16.793999999999983"/>
    <n v="5.0999999999999996"/>
  </r>
  <r>
    <s v="133-77-3154"/>
    <x v="2"/>
    <x v="2"/>
    <x v="0"/>
    <x v="1"/>
    <x v="5"/>
    <n v="60.18"/>
    <x v="7"/>
    <n v="12.036000000000001"/>
    <x v="650"/>
    <x v="69"/>
    <x v="358"/>
    <x v="2"/>
    <x v="650"/>
    <n v="4.7619047619047628"/>
    <n v="12.036000000000001"/>
    <n v="9.4"/>
  </r>
  <r>
    <s v="169-52-4504"/>
    <x v="0"/>
    <x v="0"/>
    <x v="1"/>
    <x v="0"/>
    <x v="1"/>
    <n v="15.69"/>
    <x v="6"/>
    <n v="2.3534999999999968"/>
    <x v="651"/>
    <x v="86"/>
    <x v="385"/>
    <x v="2"/>
    <x v="651"/>
    <n v="4.7619047619047556"/>
    <n v="2.3534999999999968"/>
    <n v="5.8"/>
  </r>
  <r>
    <s v="250-81-7186"/>
    <x v="1"/>
    <x v="1"/>
    <x v="1"/>
    <x v="0"/>
    <x v="1"/>
    <n v="99.69"/>
    <x v="8"/>
    <n v="4.984499999999997"/>
    <x v="652"/>
    <x v="33"/>
    <x v="81"/>
    <x v="2"/>
    <x v="652"/>
    <n v="4.7619047619047592"/>
    <n v="4.984499999999997"/>
    <n v="8"/>
  </r>
  <r>
    <s v="562-12-5430"/>
    <x v="0"/>
    <x v="0"/>
    <x v="0"/>
    <x v="0"/>
    <x v="5"/>
    <n v="88.15"/>
    <x v="6"/>
    <n v="13.222499999999968"/>
    <x v="653"/>
    <x v="68"/>
    <x v="41"/>
    <x v="0"/>
    <x v="653"/>
    <n v="4.7619047619047707"/>
    <n v="13.222500000000025"/>
    <n v="7.9"/>
  </r>
  <r>
    <s v="816-72-8853"/>
    <x v="0"/>
    <x v="0"/>
    <x v="0"/>
    <x v="0"/>
    <x v="3"/>
    <n v="27.93"/>
    <x v="1"/>
    <n v="6.9824999999999875"/>
    <x v="654"/>
    <x v="71"/>
    <x v="74"/>
    <x v="1"/>
    <x v="654"/>
    <n v="4.761904761904753"/>
    <n v="6.9824999999999875"/>
    <n v="5.9"/>
  </r>
  <r>
    <s v="491-38-3499"/>
    <x v="0"/>
    <x v="0"/>
    <x v="0"/>
    <x v="1"/>
    <x v="5"/>
    <n v="55.45"/>
    <x v="8"/>
    <n v="2.7724999999999937"/>
    <x v="655"/>
    <x v="84"/>
    <x v="409"/>
    <x v="2"/>
    <x v="655"/>
    <n v="4.7619047619047512"/>
    <n v="2.7724999999999937"/>
    <n v="4.9000000000000004"/>
  </r>
  <r>
    <s v="322-02-2271"/>
    <x v="2"/>
    <x v="2"/>
    <x v="1"/>
    <x v="0"/>
    <x v="3"/>
    <n v="42.97"/>
    <x v="6"/>
    <n v="6.4455000000000098"/>
    <x v="656"/>
    <x v="36"/>
    <x v="246"/>
    <x v="1"/>
    <x v="656"/>
    <n v="4.761904761904769"/>
    <n v="6.4455000000000098"/>
    <n v="9.3000000000000007"/>
  </r>
  <r>
    <s v="842-29-4695"/>
    <x v="1"/>
    <x v="1"/>
    <x v="0"/>
    <x v="1"/>
    <x v="3"/>
    <n v="17.14"/>
    <x v="0"/>
    <n v="5.9989999999999952"/>
    <x v="657"/>
    <x v="65"/>
    <x v="348"/>
    <x v="2"/>
    <x v="657"/>
    <n v="4.7619047619047583"/>
    <n v="5.9989999999999952"/>
    <n v="7.9"/>
  </r>
  <r>
    <s v="725-67-2480"/>
    <x v="2"/>
    <x v="2"/>
    <x v="0"/>
    <x v="0"/>
    <x v="5"/>
    <n v="58.75"/>
    <x v="3"/>
    <n v="17.625"/>
    <x v="658"/>
    <x v="62"/>
    <x v="92"/>
    <x v="2"/>
    <x v="658"/>
    <n v="4.7619047619047619"/>
    <n v="17.625"/>
    <n v="5.9"/>
  </r>
  <r>
    <s v="641-51-2661"/>
    <x v="1"/>
    <x v="1"/>
    <x v="0"/>
    <x v="0"/>
    <x v="4"/>
    <n v="87.1"/>
    <x v="4"/>
    <n v="43.549999999999955"/>
    <x v="659"/>
    <x v="12"/>
    <x v="410"/>
    <x v="2"/>
    <x v="659"/>
    <n v="4.7619047619047574"/>
    <n v="43.549999999999955"/>
    <n v="9.9"/>
  </r>
  <r>
    <s v="714-02-3114"/>
    <x v="1"/>
    <x v="1"/>
    <x v="1"/>
    <x v="0"/>
    <x v="3"/>
    <n v="98.8"/>
    <x v="5"/>
    <n v="9.8799999999999955"/>
    <x v="660"/>
    <x v="81"/>
    <x v="411"/>
    <x v="1"/>
    <x v="660"/>
    <n v="4.7619047619047601"/>
    <n v="9.8799999999999955"/>
    <n v="7.7"/>
  </r>
  <r>
    <s v="518-17-2983"/>
    <x v="0"/>
    <x v="0"/>
    <x v="1"/>
    <x v="0"/>
    <x v="5"/>
    <n v="48.63"/>
    <x v="7"/>
    <n v="9.7259999999999991"/>
    <x v="661"/>
    <x v="87"/>
    <x v="284"/>
    <x v="0"/>
    <x v="661"/>
    <n v="4.761904761904761"/>
    <n v="9.7259999999999991"/>
    <n v="7.6"/>
  </r>
  <r>
    <s v="779-42-2410"/>
    <x v="2"/>
    <x v="2"/>
    <x v="0"/>
    <x v="1"/>
    <x v="4"/>
    <n v="57.74"/>
    <x v="6"/>
    <n v="8.6610000000000014"/>
    <x v="662"/>
    <x v="9"/>
    <x v="412"/>
    <x v="0"/>
    <x v="662"/>
    <n v="4.7619047619047628"/>
    <n v="8.6610000000000014"/>
    <n v="7.7"/>
  </r>
  <r>
    <s v="190-14-3147"/>
    <x v="2"/>
    <x v="2"/>
    <x v="1"/>
    <x v="0"/>
    <x v="0"/>
    <n v="17.97"/>
    <x v="7"/>
    <n v="3.5940000000000083"/>
    <x v="663"/>
    <x v="55"/>
    <x v="413"/>
    <x v="0"/>
    <x v="663"/>
    <n v="4.7619047619047725"/>
    <n v="3.5940000000000083"/>
    <n v="6.4"/>
  </r>
  <r>
    <s v="408-66-6712"/>
    <x v="1"/>
    <x v="1"/>
    <x v="0"/>
    <x v="0"/>
    <x v="0"/>
    <n v="47.71"/>
    <x v="3"/>
    <n v="14.312999999999988"/>
    <x v="664"/>
    <x v="69"/>
    <x v="401"/>
    <x v="0"/>
    <x v="664"/>
    <n v="4.7619047619047583"/>
    <n v="14.312999999999988"/>
    <n v="4.4000000000000004"/>
  </r>
  <r>
    <s v="679-22-6530"/>
    <x v="2"/>
    <x v="2"/>
    <x v="1"/>
    <x v="0"/>
    <x v="3"/>
    <n v="40.619999999999997"/>
    <x v="5"/>
    <n v="4.0620000000000118"/>
    <x v="665"/>
    <x v="29"/>
    <x v="175"/>
    <x v="2"/>
    <x v="665"/>
    <n v="4.7619047619047752"/>
    <n v="4.0620000000000118"/>
    <n v="4.0999999999999996"/>
  </r>
  <r>
    <s v="588-47-8641"/>
    <x v="0"/>
    <x v="0"/>
    <x v="0"/>
    <x v="1"/>
    <x v="5"/>
    <n v="56.04"/>
    <x v="4"/>
    <n v="28.019999999999982"/>
    <x v="666"/>
    <x v="78"/>
    <x v="171"/>
    <x v="0"/>
    <x v="666"/>
    <n v="4.7619047619047592"/>
    <n v="28.019999999999982"/>
    <n v="4.4000000000000004"/>
  </r>
  <r>
    <s v="642-61-4706"/>
    <x v="2"/>
    <x v="2"/>
    <x v="0"/>
    <x v="1"/>
    <x v="4"/>
    <n v="93.4"/>
    <x v="5"/>
    <n v="9.339999999999975"/>
    <x v="667"/>
    <x v="73"/>
    <x v="414"/>
    <x v="1"/>
    <x v="667"/>
    <n v="4.7619047619047494"/>
    <n v="9.339999999999975"/>
    <n v="5.5"/>
  </r>
  <r>
    <s v="576-31-4774"/>
    <x v="2"/>
    <x v="2"/>
    <x v="1"/>
    <x v="0"/>
    <x v="0"/>
    <n v="73.41"/>
    <x v="6"/>
    <n v="11.011500000000012"/>
    <x v="668"/>
    <x v="22"/>
    <x v="415"/>
    <x v="0"/>
    <x v="668"/>
    <n v="4.7619047619047672"/>
    <n v="11.011500000000012"/>
    <n v="4"/>
  </r>
  <r>
    <s v="556-41-6224"/>
    <x v="1"/>
    <x v="1"/>
    <x v="1"/>
    <x v="1"/>
    <x v="0"/>
    <n v="33.64"/>
    <x v="2"/>
    <n v="13.456000000000017"/>
    <x v="669"/>
    <x v="42"/>
    <x v="416"/>
    <x v="2"/>
    <x v="669"/>
    <n v="4.7619047619047681"/>
    <n v="13.456000000000017"/>
    <n v="9.3000000000000007"/>
  </r>
  <r>
    <s v="811-03-8790"/>
    <x v="0"/>
    <x v="0"/>
    <x v="1"/>
    <x v="0"/>
    <x v="1"/>
    <n v="45.48"/>
    <x v="4"/>
    <n v="22.740000000000066"/>
    <x v="670"/>
    <x v="59"/>
    <x v="417"/>
    <x v="2"/>
    <x v="670"/>
    <n v="4.7619047619047636"/>
    <n v="22.740000000000009"/>
    <n v="4.8"/>
  </r>
  <r>
    <s v="242-11-3142"/>
    <x v="2"/>
    <x v="2"/>
    <x v="0"/>
    <x v="1"/>
    <x v="5"/>
    <n v="83.77"/>
    <x v="5"/>
    <n v="8.3770000000000095"/>
    <x v="628"/>
    <x v="7"/>
    <x v="129"/>
    <x v="1"/>
    <x v="628"/>
    <n v="4.7619047619047672"/>
    <n v="8.3770000000000095"/>
    <n v="4.5999999999999996"/>
  </r>
  <r>
    <s v="752-23-3760"/>
    <x v="2"/>
    <x v="2"/>
    <x v="0"/>
    <x v="0"/>
    <x v="3"/>
    <n v="64.08"/>
    <x v="0"/>
    <n v="22.427999999999997"/>
    <x v="671"/>
    <x v="88"/>
    <x v="418"/>
    <x v="2"/>
    <x v="671"/>
    <n v="4.7619047619047619"/>
    <n v="22.427999999999997"/>
    <n v="7.3"/>
  </r>
  <r>
    <s v="274-05-5470"/>
    <x v="0"/>
    <x v="0"/>
    <x v="0"/>
    <x v="0"/>
    <x v="4"/>
    <n v="73.47"/>
    <x v="7"/>
    <n v="14.694000000000017"/>
    <x v="672"/>
    <x v="55"/>
    <x v="5"/>
    <x v="1"/>
    <x v="672"/>
    <n v="4.7619047619047672"/>
    <n v="14.694000000000017"/>
    <n v="6"/>
  </r>
  <r>
    <s v="648-94-3045"/>
    <x v="1"/>
    <x v="1"/>
    <x v="1"/>
    <x v="1"/>
    <x v="0"/>
    <n v="58.95"/>
    <x v="4"/>
    <n v="29.475000000000023"/>
    <x v="673"/>
    <x v="13"/>
    <x v="419"/>
    <x v="0"/>
    <x v="673"/>
    <n v="4.7619047619047654"/>
    <n v="29.475000000000023"/>
    <n v="8.1"/>
  </r>
  <r>
    <s v="130-67-4723"/>
    <x v="0"/>
    <x v="0"/>
    <x v="0"/>
    <x v="1"/>
    <x v="4"/>
    <n v="48.5"/>
    <x v="3"/>
    <n v="14.550000000000011"/>
    <x v="674"/>
    <x v="83"/>
    <x v="317"/>
    <x v="0"/>
    <x v="674"/>
    <n v="4.7619047619047654"/>
    <n v="14.550000000000011"/>
    <n v="9.4"/>
  </r>
  <r>
    <s v="528-87-5606"/>
    <x v="2"/>
    <x v="2"/>
    <x v="0"/>
    <x v="0"/>
    <x v="1"/>
    <n v="39.479999999999997"/>
    <x v="8"/>
    <n v="1.9740000000000038"/>
    <x v="675"/>
    <x v="12"/>
    <x v="213"/>
    <x v="1"/>
    <x v="675"/>
    <n v="4.7619047619047707"/>
    <n v="1.9740000000000038"/>
    <n v="6.5"/>
  </r>
  <r>
    <s v="320-85-2052"/>
    <x v="2"/>
    <x v="2"/>
    <x v="1"/>
    <x v="0"/>
    <x v="3"/>
    <n v="34.81"/>
    <x v="8"/>
    <n v="1.7404999999999973"/>
    <x v="676"/>
    <x v="78"/>
    <x v="41"/>
    <x v="2"/>
    <x v="676"/>
    <n v="4.7619047619047548"/>
    <n v="1.7404999999999973"/>
    <n v="7"/>
  </r>
  <r>
    <s v="370-96-0655"/>
    <x v="1"/>
    <x v="1"/>
    <x v="1"/>
    <x v="0"/>
    <x v="5"/>
    <n v="49.32"/>
    <x v="3"/>
    <n v="14.795999999999992"/>
    <x v="677"/>
    <x v="51"/>
    <x v="190"/>
    <x v="0"/>
    <x v="677"/>
    <n v="4.7619047619047592"/>
    <n v="14.795999999999992"/>
    <n v="7.1"/>
  </r>
  <r>
    <s v="105-10-6182"/>
    <x v="0"/>
    <x v="0"/>
    <x v="0"/>
    <x v="1"/>
    <x v="5"/>
    <n v="21.48"/>
    <x v="5"/>
    <n v="2.1479999999999961"/>
    <x v="678"/>
    <x v="33"/>
    <x v="420"/>
    <x v="0"/>
    <x v="678"/>
    <n v="4.761904761904753"/>
    <n v="2.1479999999999961"/>
    <n v="6.6"/>
  </r>
  <r>
    <s v="510-79-0415"/>
    <x v="2"/>
    <x v="2"/>
    <x v="0"/>
    <x v="0"/>
    <x v="3"/>
    <n v="23.08"/>
    <x v="3"/>
    <n v="6.9240000000000066"/>
    <x v="679"/>
    <x v="46"/>
    <x v="25"/>
    <x v="0"/>
    <x v="679"/>
    <n v="4.7619047619047663"/>
    <n v="6.9240000000000066"/>
    <n v="4.9000000000000004"/>
  </r>
  <r>
    <s v="241-96-5076"/>
    <x v="2"/>
    <x v="2"/>
    <x v="0"/>
    <x v="0"/>
    <x v="2"/>
    <n v="49.1"/>
    <x v="5"/>
    <n v="4.9099999999999966"/>
    <x v="680"/>
    <x v="66"/>
    <x v="187"/>
    <x v="2"/>
    <x v="680"/>
    <n v="4.7619047619047592"/>
    <n v="4.9099999999999966"/>
    <n v="6.4"/>
  </r>
  <r>
    <s v="767-97-4650"/>
    <x v="2"/>
    <x v="2"/>
    <x v="0"/>
    <x v="0"/>
    <x v="3"/>
    <n v="64.83"/>
    <x v="5"/>
    <n v="6.4830000000000041"/>
    <x v="681"/>
    <x v="66"/>
    <x v="421"/>
    <x v="2"/>
    <x v="681"/>
    <n v="4.7619047619047654"/>
    <n v="6.4830000000000041"/>
    <n v="8"/>
  </r>
  <r>
    <s v="648-83-1321"/>
    <x v="0"/>
    <x v="0"/>
    <x v="0"/>
    <x v="1"/>
    <x v="2"/>
    <n v="63.56"/>
    <x v="4"/>
    <n v="31.779999999999973"/>
    <x v="682"/>
    <x v="65"/>
    <x v="422"/>
    <x v="1"/>
    <x v="682"/>
    <n v="4.7619047619047583"/>
    <n v="31.779999999999973"/>
    <n v="4.3"/>
  </r>
  <r>
    <s v="173-57-2300"/>
    <x v="1"/>
    <x v="1"/>
    <x v="0"/>
    <x v="1"/>
    <x v="3"/>
    <n v="72.88"/>
    <x v="5"/>
    <n v="7.2880000000000109"/>
    <x v="683"/>
    <x v="45"/>
    <x v="423"/>
    <x v="1"/>
    <x v="683"/>
    <n v="4.761904761904769"/>
    <n v="7.2880000000000109"/>
    <n v="6.1"/>
  </r>
  <r>
    <s v="305-03-2383"/>
    <x v="0"/>
    <x v="0"/>
    <x v="1"/>
    <x v="0"/>
    <x v="4"/>
    <n v="67.099999999999994"/>
    <x v="6"/>
    <n v="10.065000000000026"/>
    <x v="684"/>
    <x v="42"/>
    <x v="130"/>
    <x v="1"/>
    <x v="684"/>
    <n v="4.761904761904761"/>
    <n v="10.064999999999998"/>
    <n v="7.5"/>
  </r>
  <r>
    <s v="394-55-6384"/>
    <x v="1"/>
    <x v="1"/>
    <x v="0"/>
    <x v="0"/>
    <x v="3"/>
    <n v="70.19"/>
    <x v="9"/>
    <n v="31.585499999999911"/>
    <x v="685"/>
    <x v="25"/>
    <x v="309"/>
    <x v="1"/>
    <x v="685"/>
    <n v="4.7619047619047494"/>
    <n v="31.585499999999911"/>
    <n v="6.7"/>
  </r>
  <r>
    <s v="266-20-6657"/>
    <x v="1"/>
    <x v="1"/>
    <x v="0"/>
    <x v="1"/>
    <x v="4"/>
    <n v="55.04"/>
    <x v="0"/>
    <n v="19.26400000000001"/>
    <x v="686"/>
    <x v="41"/>
    <x v="30"/>
    <x v="0"/>
    <x v="686"/>
    <n v="4.7619047619047645"/>
    <n v="19.26400000000001"/>
    <n v="5.2"/>
  </r>
  <r>
    <s v="689-05-1884"/>
    <x v="0"/>
    <x v="0"/>
    <x v="0"/>
    <x v="1"/>
    <x v="0"/>
    <n v="48.63"/>
    <x v="4"/>
    <n v="24.314999999999998"/>
    <x v="687"/>
    <x v="31"/>
    <x v="104"/>
    <x v="1"/>
    <x v="687"/>
    <n v="4.7619047619047619"/>
    <n v="24.314999999999998"/>
    <n v="8.8000000000000007"/>
  </r>
  <r>
    <s v="196-01-2849"/>
    <x v="1"/>
    <x v="1"/>
    <x v="0"/>
    <x v="0"/>
    <x v="5"/>
    <n v="73.38"/>
    <x v="0"/>
    <n v="25.682999999999993"/>
    <x v="688"/>
    <x v="34"/>
    <x v="424"/>
    <x v="1"/>
    <x v="688"/>
    <n v="4.761904761904761"/>
    <n v="25.682999999999993"/>
    <n v="9.5"/>
  </r>
  <r>
    <s v="372-62-5264"/>
    <x v="1"/>
    <x v="1"/>
    <x v="1"/>
    <x v="0"/>
    <x v="4"/>
    <n v="52.6"/>
    <x v="9"/>
    <n v="23.669999999999959"/>
    <x v="689"/>
    <x v="65"/>
    <x v="51"/>
    <x v="1"/>
    <x v="689"/>
    <n v="4.7619047619047654"/>
    <n v="23.670000000000016"/>
    <n v="7.6"/>
  </r>
  <r>
    <s v="800-09-8606"/>
    <x v="0"/>
    <x v="0"/>
    <x v="0"/>
    <x v="0"/>
    <x v="2"/>
    <n v="87.37"/>
    <x v="1"/>
    <n v="21.842499999999973"/>
    <x v="690"/>
    <x v="71"/>
    <x v="425"/>
    <x v="1"/>
    <x v="690"/>
    <n v="4.7619047619047556"/>
    <n v="21.842499999999973"/>
    <n v="6.6"/>
  </r>
  <r>
    <s v="182-52-7000"/>
    <x v="0"/>
    <x v="0"/>
    <x v="0"/>
    <x v="0"/>
    <x v="3"/>
    <n v="27.04"/>
    <x v="7"/>
    <n v="5.4080000000000013"/>
    <x v="691"/>
    <x v="17"/>
    <x v="263"/>
    <x v="0"/>
    <x v="691"/>
    <n v="4.7619047619047628"/>
    <n v="5.4080000000000013"/>
    <n v="6.9"/>
  </r>
  <r>
    <s v="826-58-8051"/>
    <x v="2"/>
    <x v="2"/>
    <x v="1"/>
    <x v="1"/>
    <x v="2"/>
    <n v="62.19"/>
    <x v="7"/>
    <n v="12.437999999999988"/>
    <x v="692"/>
    <x v="47"/>
    <x v="162"/>
    <x v="0"/>
    <x v="692"/>
    <n v="4.7619047619047574"/>
    <n v="12.437999999999988"/>
    <n v="4.3"/>
  </r>
  <r>
    <s v="868-06-0466"/>
    <x v="0"/>
    <x v="0"/>
    <x v="0"/>
    <x v="1"/>
    <x v="1"/>
    <n v="69.58"/>
    <x v="9"/>
    <n v="31.310999999999922"/>
    <x v="693"/>
    <x v="88"/>
    <x v="371"/>
    <x v="2"/>
    <x v="693"/>
    <n v="4.7619047619047503"/>
    <n v="31.310999999999922"/>
    <n v="7.8"/>
  </r>
  <r>
    <s v="751-41-9720"/>
    <x v="1"/>
    <x v="1"/>
    <x v="1"/>
    <x v="1"/>
    <x v="2"/>
    <n v="97.5"/>
    <x v="4"/>
    <n v="48.75"/>
    <x v="694"/>
    <x v="52"/>
    <x v="426"/>
    <x v="0"/>
    <x v="694"/>
    <n v="4.7619047619047619"/>
    <n v="48.75"/>
    <n v="8"/>
  </r>
  <r>
    <s v="626-43-7888"/>
    <x v="1"/>
    <x v="1"/>
    <x v="1"/>
    <x v="0"/>
    <x v="5"/>
    <n v="60.41"/>
    <x v="2"/>
    <n v="24.164000000000044"/>
    <x v="695"/>
    <x v="13"/>
    <x v="384"/>
    <x v="0"/>
    <x v="695"/>
    <n v="4.7619047619047707"/>
    <n v="24.164000000000044"/>
    <n v="9.6"/>
  </r>
  <r>
    <s v="176-64-7711"/>
    <x v="2"/>
    <x v="2"/>
    <x v="1"/>
    <x v="1"/>
    <x v="4"/>
    <n v="32.32"/>
    <x v="6"/>
    <n v="4.847999999999999"/>
    <x v="696"/>
    <x v="39"/>
    <x v="386"/>
    <x v="2"/>
    <x v="696"/>
    <n v="4.7619047619047752"/>
    <n v="4.8480000000000132"/>
    <n v="4.3"/>
  </r>
  <r>
    <s v="191-29-0321"/>
    <x v="2"/>
    <x v="2"/>
    <x v="0"/>
    <x v="0"/>
    <x v="5"/>
    <n v="19.77"/>
    <x v="4"/>
    <n v="9.8850000000000193"/>
    <x v="697"/>
    <x v="33"/>
    <x v="427"/>
    <x v="2"/>
    <x v="697"/>
    <n v="4.7619047619047716"/>
    <n v="9.8850000000000193"/>
    <n v="5"/>
  </r>
  <r>
    <s v="729-06-2010"/>
    <x v="2"/>
    <x v="2"/>
    <x v="0"/>
    <x v="1"/>
    <x v="0"/>
    <n v="80.47"/>
    <x v="9"/>
    <n v="36.211500000000001"/>
    <x v="698"/>
    <x v="47"/>
    <x v="428"/>
    <x v="1"/>
    <x v="698"/>
    <n v="4.7619047619047619"/>
    <n v="36.211500000000001"/>
    <n v="9.1999999999999993"/>
  </r>
  <r>
    <s v="640-48-5028"/>
    <x v="2"/>
    <x v="2"/>
    <x v="0"/>
    <x v="0"/>
    <x v="2"/>
    <n v="88.39"/>
    <x v="9"/>
    <n v="39.775499999999965"/>
    <x v="699"/>
    <x v="22"/>
    <x v="343"/>
    <x v="1"/>
    <x v="699"/>
    <n v="4.7619047619047583"/>
    <n v="39.775499999999965"/>
    <n v="6.3"/>
  </r>
  <r>
    <s v="186-79-9562"/>
    <x v="2"/>
    <x v="2"/>
    <x v="1"/>
    <x v="1"/>
    <x v="0"/>
    <n v="71.77"/>
    <x v="0"/>
    <n v="25.119500000000016"/>
    <x v="700"/>
    <x v="14"/>
    <x v="429"/>
    <x v="1"/>
    <x v="700"/>
    <n v="4.7619047619047654"/>
    <n v="25.119500000000016"/>
    <n v="8.9"/>
  </r>
  <r>
    <s v="834-45-5519"/>
    <x v="2"/>
    <x v="2"/>
    <x v="1"/>
    <x v="0"/>
    <x v="1"/>
    <n v="43"/>
    <x v="7"/>
    <n v="8.5999999999999943"/>
    <x v="701"/>
    <x v="82"/>
    <x v="109"/>
    <x v="0"/>
    <x v="701"/>
    <n v="4.7619047619047592"/>
    <n v="8.5999999999999943"/>
    <n v="7.6"/>
  </r>
  <r>
    <s v="162-65-8559"/>
    <x v="1"/>
    <x v="1"/>
    <x v="0"/>
    <x v="1"/>
    <x v="4"/>
    <n v="68.98"/>
    <x v="8"/>
    <n v="3.4489999999999981"/>
    <x v="702"/>
    <x v="18"/>
    <x v="430"/>
    <x v="1"/>
    <x v="702"/>
    <n v="4.7619047619047592"/>
    <n v="3.4489999999999981"/>
    <n v="4.8"/>
  </r>
  <r>
    <s v="760-27-5490"/>
    <x v="1"/>
    <x v="1"/>
    <x v="1"/>
    <x v="1"/>
    <x v="5"/>
    <n v="15.62"/>
    <x v="2"/>
    <n v="6.2480000000000047"/>
    <x v="703"/>
    <x v="40"/>
    <x v="291"/>
    <x v="0"/>
    <x v="703"/>
    <n v="4.7619047619047654"/>
    <n v="6.2480000000000047"/>
    <n v="9.1"/>
  </r>
  <r>
    <s v="445-30-9252"/>
    <x v="0"/>
    <x v="0"/>
    <x v="1"/>
    <x v="1"/>
    <x v="3"/>
    <n v="25.07"/>
    <x v="6"/>
    <n v="5.7449999999999903"/>
    <x v="704"/>
    <x v="29"/>
    <x v="422"/>
    <x v="0"/>
    <x v="704"/>
    <n v="4.7619047619047672"/>
    <n v="3.855000000000004"/>
    <n v="6.1"/>
  </r>
  <r>
    <s v="786-94-2700"/>
    <x v="0"/>
    <x v="0"/>
    <x v="0"/>
    <x v="1"/>
    <x v="4"/>
    <n v="80.62"/>
    <x v="3"/>
    <n v="24.185999999999979"/>
    <x v="705"/>
    <x v="38"/>
    <x v="307"/>
    <x v="1"/>
    <x v="705"/>
    <n v="4.7619047619047574"/>
    <n v="24.185999999999979"/>
    <n v="9.1"/>
  </r>
  <r>
    <s v="728-88-7867"/>
    <x v="1"/>
    <x v="1"/>
    <x v="0"/>
    <x v="0"/>
    <x v="2"/>
    <n v="75.53"/>
    <x v="7"/>
    <n v="15.105999999999995"/>
    <x v="706"/>
    <x v="35"/>
    <x v="350"/>
    <x v="0"/>
    <x v="706"/>
    <n v="4.7619047619047601"/>
    <n v="15.105999999999995"/>
    <n v="8.3000000000000007"/>
  </r>
  <r>
    <s v="183-21-3799"/>
    <x v="1"/>
    <x v="1"/>
    <x v="1"/>
    <x v="0"/>
    <x v="1"/>
    <n v="77.63"/>
    <x v="9"/>
    <n v="34.933500000000095"/>
    <x v="707"/>
    <x v="88"/>
    <x v="431"/>
    <x v="0"/>
    <x v="707"/>
    <n v="4.7619047619047743"/>
    <n v="34.933500000000095"/>
    <n v="7.2"/>
  </r>
  <r>
    <s v="268-20-3585"/>
    <x v="1"/>
    <x v="1"/>
    <x v="1"/>
    <x v="0"/>
    <x v="0"/>
    <n v="13.85"/>
    <x v="9"/>
    <n v="6.2325000000000017"/>
    <x v="708"/>
    <x v="87"/>
    <x v="165"/>
    <x v="0"/>
    <x v="708"/>
    <n v="4.761904761904753"/>
    <n v="6.2324999999999875"/>
    <n v="6"/>
  </r>
  <r>
    <s v="735-32-9839"/>
    <x v="1"/>
    <x v="1"/>
    <x v="0"/>
    <x v="1"/>
    <x v="5"/>
    <n v="98.7"/>
    <x v="2"/>
    <n v="39.480000000000018"/>
    <x v="43"/>
    <x v="82"/>
    <x v="130"/>
    <x v="0"/>
    <x v="43"/>
    <n v="4.7619047619047636"/>
    <n v="39.480000000000018"/>
    <n v="8.5"/>
  </r>
  <r>
    <s v="258-92-7466"/>
    <x v="0"/>
    <x v="0"/>
    <x v="1"/>
    <x v="0"/>
    <x v="0"/>
    <n v="35.68"/>
    <x v="1"/>
    <n v="8.9199999999999875"/>
    <x v="709"/>
    <x v="10"/>
    <x v="333"/>
    <x v="2"/>
    <x v="709"/>
    <n v="4.7619047619047556"/>
    <n v="8.9199999999999875"/>
    <n v="6.6"/>
  </r>
  <r>
    <s v="857-16-3520"/>
    <x v="0"/>
    <x v="0"/>
    <x v="0"/>
    <x v="0"/>
    <x v="5"/>
    <n v="71.459999999999994"/>
    <x v="0"/>
    <n v="25.011000000000024"/>
    <x v="710"/>
    <x v="61"/>
    <x v="432"/>
    <x v="0"/>
    <x v="710"/>
    <n v="4.7619047619047556"/>
    <n v="25.010999999999967"/>
    <n v="4.5"/>
  </r>
  <r>
    <s v="482-17-1179"/>
    <x v="0"/>
    <x v="0"/>
    <x v="0"/>
    <x v="1"/>
    <x v="1"/>
    <n v="11.94"/>
    <x v="6"/>
    <n v="1.7909999999999968"/>
    <x v="711"/>
    <x v="64"/>
    <x v="433"/>
    <x v="2"/>
    <x v="711"/>
    <n v="4.7619047619047539"/>
    <n v="1.7909999999999968"/>
    <n v="8.1"/>
  </r>
  <r>
    <s v="788-21-5741"/>
    <x v="0"/>
    <x v="0"/>
    <x v="1"/>
    <x v="1"/>
    <x v="5"/>
    <n v="45.38"/>
    <x v="6"/>
    <n v="6.8069999999999879"/>
    <x v="712"/>
    <x v="21"/>
    <x v="229"/>
    <x v="2"/>
    <x v="712"/>
    <n v="4.7619047619047734"/>
    <n v="6.8070000000000164"/>
    <n v="7.2"/>
  </r>
  <r>
    <s v="821-14-9046"/>
    <x v="2"/>
    <x v="2"/>
    <x v="0"/>
    <x v="0"/>
    <x v="5"/>
    <n v="17.48"/>
    <x v="3"/>
    <n v="5.2439999999999998"/>
    <x v="713"/>
    <x v="68"/>
    <x v="278"/>
    <x v="2"/>
    <x v="713"/>
    <n v="4.7619047619047619"/>
    <n v="5.2439999999999998"/>
    <n v="6.1"/>
  </r>
  <r>
    <s v="418-05-0656"/>
    <x v="2"/>
    <x v="2"/>
    <x v="1"/>
    <x v="0"/>
    <x v="5"/>
    <n v="25.56"/>
    <x v="0"/>
    <n v="8.9460000000000264"/>
    <x v="714"/>
    <x v="30"/>
    <x v="434"/>
    <x v="1"/>
    <x v="714"/>
    <n v="4.7619047619047752"/>
    <n v="8.9460000000000264"/>
    <n v="7.1"/>
  </r>
  <r>
    <s v="678-79-0726"/>
    <x v="1"/>
    <x v="1"/>
    <x v="0"/>
    <x v="0"/>
    <x v="3"/>
    <n v="90.63"/>
    <x v="9"/>
    <n v="40.783500000000004"/>
    <x v="715"/>
    <x v="68"/>
    <x v="311"/>
    <x v="1"/>
    <x v="715"/>
    <n v="4.7619047619047628"/>
    <n v="40.783500000000004"/>
    <n v="5.0999999999999996"/>
  </r>
  <r>
    <s v="776-68-1096"/>
    <x v="2"/>
    <x v="2"/>
    <x v="1"/>
    <x v="1"/>
    <x v="2"/>
    <n v="44.12"/>
    <x v="6"/>
    <n v="6.6180000000000234"/>
    <x v="716"/>
    <x v="79"/>
    <x v="286"/>
    <x v="2"/>
    <x v="716"/>
    <n v="4.7619047619047583"/>
    <n v="6.617999999999995"/>
    <n v="7.9"/>
  </r>
  <r>
    <s v="592-46-1692"/>
    <x v="1"/>
    <x v="1"/>
    <x v="0"/>
    <x v="0"/>
    <x v="4"/>
    <n v="36.770000000000003"/>
    <x v="0"/>
    <n v="12.86949999999996"/>
    <x v="717"/>
    <x v="83"/>
    <x v="435"/>
    <x v="1"/>
    <x v="717"/>
    <n v="4.7619047619047681"/>
    <n v="12.869500000000016"/>
    <n v="7.4"/>
  </r>
  <r>
    <s v="434-35-9162"/>
    <x v="2"/>
    <x v="2"/>
    <x v="0"/>
    <x v="1"/>
    <x v="4"/>
    <n v="23.34"/>
    <x v="7"/>
    <n v="4.6680000000000064"/>
    <x v="718"/>
    <x v="87"/>
    <x v="387"/>
    <x v="0"/>
    <x v="718"/>
    <n v="4.7619047619047681"/>
    <n v="4.6680000000000064"/>
    <n v="7.4"/>
  </r>
  <r>
    <s v="149-14-0304"/>
    <x v="1"/>
    <x v="1"/>
    <x v="0"/>
    <x v="0"/>
    <x v="0"/>
    <n v="28.05"/>
    <x v="2"/>
    <n v="15"/>
    <x v="719"/>
    <x v="10"/>
    <x v="436"/>
    <x v="1"/>
    <x v="719"/>
    <n v="4.7619047619047645"/>
    <n v="11.400000000000006"/>
    <n v="6.6"/>
  </r>
  <r>
    <s v="442-44-6497"/>
    <x v="1"/>
    <x v="1"/>
    <x v="0"/>
    <x v="1"/>
    <x v="2"/>
    <n v="55.57"/>
    <x v="6"/>
    <n v="8.3354999999999961"/>
    <x v="720"/>
    <x v="66"/>
    <x v="437"/>
    <x v="2"/>
    <x v="720"/>
    <n v="4.7619047619047592"/>
    <n v="8.3354999999999961"/>
    <n v="5.9"/>
  </r>
  <r>
    <s v="174-64-0215"/>
    <x v="2"/>
    <x v="2"/>
    <x v="1"/>
    <x v="1"/>
    <x v="3"/>
    <n v="69.739999999999995"/>
    <x v="4"/>
    <n v="34.870000000000005"/>
    <x v="721"/>
    <x v="19"/>
    <x v="438"/>
    <x v="2"/>
    <x v="721"/>
    <n v="4.7619047619047628"/>
    <n v="34.870000000000005"/>
    <n v="8.9"/>
  </r>
  <r>
    <s v="210-74-9613"/>
    <x v="1"/>
    <x v="1"/>
    <x v="1"/>
    <x v="1"/>
    <x v="5"/>
    <n v="97.26"/>
    <x v="7"/>
    <n v="19.451999999999998"/>
    <x v="722"/>
    <x v="32"/>
    <x v="439"/>
    <x v="0"/>
    <x v="722"/>
    <n v="4.761904761904761"/>
    <n v="19.451999999999998"/>
    <n v="6.8"/>
  </r>
  <r>
    <s v="299-29-0180"/>
    <x v="2"/>
    <x v="2"/>
    <x v="0"/>
    <x v="0"/>
    <x v="2"/>
    <n v="52.18"/>
    <x v="0"/>
    <n v="18.263000000000034"/>
    <x v="723"/>
    <x v="11"/>
    <x v="200"/>
    <x v="1"/>
    <x v="723"/>
    <n v="4.7619047619047707"/>
    <n v="18.263000000000034"/>
    <n v="9.3000000000000007"/>
  </r>
  <r>
    <s v="247-11-2470"/>
    <x v="0"/>
    <x v="0"/>
    <x v="0"/>
    <x v="0"/>
    <x v="5"/>
    <n v="22.32"/>
    <x v="7"/>
    <n v="4.4639999999999986"/>
    <x v="724"/>
    <x v="59"/>
    <x v="293"/>
    <x v="2"/>
    <x v="724"/>
    <n v="4.7619047619047601"/>
    <n v="4.4639999999999986"/>
    <n v="4.4000000000000004"/>
  </r>
  <r>
    <s v="635-28-5728"/>
    <x v="0"/>
    <x v="0"/>
    <x v="1"/>
    <x v="1"/>
    <x v="0"/>
    <n v="56"/>
    <x v="6"/>
    <n v="8.4000000000000057"/>
    <x v="725"/>
    <x v="38"/>
    <x v="295"/>
    <x v="0"/>
    <x v="725"/>
    <n v="4.7619047619047654"/>
    <n v="8.4000000000000057"/>
    <n v="4.8"/>
  </r>
  <r>
    <s v="756-49-0168"/>
    <x v="0"/>
    <x v="0"/>
    <x v="0"/>
    <x v="1"/>
    <x v="5"/>
    <n v="19.07"/>
    <x v="8"/>
    <n v="1.6149999999999984"/>
    <x v="726"/>
    <x v="4"/>
    <x v="411"/>
    <x v="0"/>
    <x v="726"/>
    <n v="7.8075900410925732"/>
    <n v="1.6149999999999984"/>
    <n v="9.5"/>
  </r>
  <r>
    <s v="438-23-1242"/>
    <x v="2"/>
    <x v="2"/>
    <x v="1"/>
    <x v="1"/>
    <x v="1"/>
    <n v="75.88"/>
    <x v="0"/>
    <n v="26.557999999999993"/>
    <x v="727"/>
    <x v="46"/>
    <x v="440"/>
    <x v="0"/>
    <x v="727"/>
    <n v="4.761904761904761"/>
    <n v="26.557999999999993"/>
    <n v="8.9"/>
  </r>
  <r>
    <s v="238-45-6950"/>
    <x v="2"/>
    <x v="2"/>
    <x v="0"/>
    <x v="1"/>
    <x v="4"/>
    <n v="53.72"/>
    <x v="8"/>
    <n v="2.6859999999999999"/>
    <x v="728"/>
    <x v="59"/>
    <x v="356"/>
    <x v="0"/>
    <x v="728"/>
    <n v="4.7619047619047619"/>
    <n v="2.6859999999999999"/>
    <n v="6.4"/>
  </r>
  <r>
    <s v="607-65-2441"/>
    <x v="1"/>
    <x v="1"/>
    <x v="0"/>
    <x v="1"/>
    <x v="0"/>
    <n v="81.95"/>
    <x v="4"/>
    <n v="40.975000000000023"/>
    <x v="729"/>
    <x v="24"/>
    <x v="441"/>
    <x v="2"/>
    <x v="729"/>
    <n v="4.7619047619047645"/>
    <n v="40.975000000000023"/>
    <n v="6"/>
  </r>
  <r>
    <s v="386-27-7606"/>
    <x v="1"/>
    <x v="1"/>
    <x v="0"/>
    <x v="0"/>
    <x v="2"/>
    <n v="81.2"/>
    <x v="0"/>
    <n v="28.420000000000073"/>
    <x v="730"/>
    <x v="28"/>
    <x v="273"/>
    <x v="2"/>
    <x v="730"/>
    <n v="4.7619047619047734"/>
    <n v="28.420000000000073"/>
    <n v="8.1"/>
  </r>
  <r>
    <s v="137-63-5492"/>
    <x v="1"/>
    <x v="1"/>
    <x v="1"/>
    <x v="1"/>
    <x v="1"/>
    <n v="58.76"/>
    <x v="4"/>
    <n v="29.379999999999995"/>
    <x v="731"/>
    <x v="71"/>
    <x v="442"/>
    <x v="0"/>
    <x v="731"/>
    <n v="4.761904761904761"/>
    <n v="29.379999999999995"/>
    <n v="9"/>
  </r>
  <r>
    <s v="197-77-7132"/>
    <x v="2"/>
    <x v="2"/>
    <x v="0"/>
    <x v="1"/>
    <x v="1"/>
    <n v="91.56"/>
    <x v="2"/>
    <n v="36.624000000000024"/>
    <x v="732"/>
    <x v="52"/>
    <x v="282"/>
    <x v="0"/>
    <x v="732"/>
    <n v="4.7619047619047645"/>
    <n v="36.624000000000024"/>
    <n v="6"/>
  </r>
  <r>
    <s v="805-86-0265"/>
    <x v="0"/>
    <x v="0"/>
    <x v="1"/>
    <x v="1"/>
    <x v="2"/>
    <n v="93.96"/>
    <x v="9"/>
    <n v="42.282000000000039"/>
    <x v="733"/>
    <x v="80"/>
    <x v="102"/>
    <x v="1"/>
    <x v="733"/>
    <n v="4.7619047619047663"/>
    <n v="42.282000000000039"/>
    <n v="9.8000000000000007"/>
  </r>
  <r>
    <s v="733-29-1227"/>
    <x v="1"/>
    <x v="1"/>
    <x v="1"/>
    <x v="1"/>
    <x v="2"/>
    <n v="55.61"/>
    <x v="0"/>
    <n v="19.46350000000001"/>
    <x v="734"/>
    <x v="28"/>
    <x v="443"/>
    <x v="1"/>
    <x v="734"/>
    <n v="4.7619047619047645"/>
    <n v="19.46350000000001"/>
    <n v="8.5"/>
  </r>
  <r>
    <s v="451-73-2711"/>
    <x v="1"/>
    <x v="1"/>
    <x v="1"/>
    <x v="1"/>
    <x v="4"/>
    <n v="84.83"/>
    <x v="8"/>
    <n v="4.241500000000002"/>
    <x v="735"/>
    <x v="78"/>
    <x v="444"/>
    <x v="0"/>
    <x v="735"/>
    <n v="4.7619047619047645"/>
    <n v="4.241500000000002"/>
    <n v="8.8000000000000007"/>
  </r>
  <r>
    <s v="373-14-0504"/>
    <x v="0"/>
    <x v="0"/>
    <x v="0"/>
    <x v="0"/>
    <x v="3"/>
    <n v="71.63"/>
    <x v="5"/>
    <n v="7.1630000000000109"/>
    <x v="736"/>
    <x v="12"/>
    <x v="375"/>
    <x v="0"/>
    <x v="736"/>
    <n v="4.761904761904769"/>
    <n v="7.1630000000000109"/>
    <n v="8.8000000000000007"/>
  </r>
  <r>
    <s v="546-80-2899"/>
    <x v="0"/>
    <x v="0"/>
    <x v="0"/>
    <x v="1"/>
    <x v="2"/>
    <n v="37.69"/>
    <x v="5"/>
    <n v="3.7690000000000055"/>
    <x v="737"/>
    <x v="9"/>
    <x v="406"/>
    <x v="0"/>
    <x v="737"/>
    <n v="4.761904761904769"/>
    <n v="3.7690000000000055"/>
    <n v="9.5"/>
  </r>
  <r>
    <s v="345-68-9016"/>
    <x v="1"/>
    <x v="1"/>
    <x v="0"/>
    <x v="0"/>
    <x v="3"/>
    <n v="31.67"/>
    <x v="2"/>
    <n v="12.668000000000006"/>
    <x v="738"/>
    <x v="56"/>
    <x v="15"/>
    <x v="2"/>
    <x v="738"/>
    <n v="4.7619047619047636"/>
    <n v="12.668000000000006"/>
    <n v="5.6"/>
  </r>
  <r>
    <s v="390-17-5806"/>
    <x v="1"/>
    <x v="1"/>
    <x v="0"/>
    <x v="0"/>
    <x v="4"/>
    <n v="38.42"/>
    <x v="8"/>
    <n v="1.9209999999999994"/>
    <x v="739"/>
    <x v="30"/>
    <x v="445"/>
    <x v="1"/>
    <x v="739"/>
    <n v="4.7619047619047601"/>
    <n v="1.9209999999999994"/>
    <n v="8.6"/>
  </r>
  <r>
    <s v="457-13-1708"/>
    <x v="2"/>
    <x v="2"/>
    <x v="0"/>
    <x v="1"/>
    <x v="5"/>
    <n v="65.23"/>
    <x v="4"/>
    <n v="32.614999999999895"/>
    <x v="740"/>
    <x v="66"/>
    <x v="312"/>
    <x v="2"/>
    <x v="740"/>
    <n v="4.7619047619047636"/>
    <n v="32.615000000000009"/>
    <n v="5.2"/>
  </r>
  <r>
    <s v="664-14-2882"/>
    <x v="1"/>
    <x v="1"/>
    <x v="0"/>
    <x v="0"/>
    <x v="2"/>
    <n v="10.53"/>
    <x v="1"/>
    <n v="2.6325000000000003"/>
    <x v="741"/>
    <x v="74"/>
    <x v="140"/>
    <x v="2"/>
    <x v="741"/>
    <n v="4.7619047619047628"/>
    <n v="2.6325000000000003"/>
    <n v="5.8"/>
  </r>
  <r>
    <s v="487-79-6868"/>
    <x v="2"/>
    <x v="2"/>
    <x v="0"/>
    <x v="0"/>
    <x v="2"/>
    <n v="12.29"/>
    <x v="9"/>
    <n v="5.5305000000000177"/>
    <x v="742"/>
    <x v="58"/>
    <x v="198"/>
    <x v="2"/>
    <x v="742"/>
    <n v="4.7619047619047654"/>
    <n v="5.5305000000000035"/>
    <n v="8"/>
  </r>
  <r>
    <s v="314-23-4520"/>
    <x v="1"/>
    <x v="1"/>
    <x v="0"/>
    <x v="1"/>
    <x v="0"/>
    <n v="81.23"/>
    <x v="0"/>
    <n v="28.430499999999938"/>
    <x v="743"/>
    <x v="15"/>
    <x v="446"/>
    <x v="1"/>
    <x v="743"/>
    <n v="4.7619047619047521"/>
    <n v="28.430499999999938"/>
    <n v="9"/>
  </r>
  <r>
    <s v="210-30-7976"/>
    <x v="2"/>
    <x v="2"/>
    <x v="0"/>
    <x v="0"/>
    <x v="5"/>
    <n v="22.32"/>
    <x v="7"/>
    <n v="4.4639999999999986"/>
    <x v="724"/>
    <x v="86"/>
    <x v="447"/>
    <x v="0"/>
    <x v="724"/>
    <n v="4.7619047619047601"/>
    <n v="4.4639999999999986"/>
    <n v="4.0999999999999996"/>
  </r>
  <r>
    <s v="585-86-8361"/>
    <x v="0"/>
    <x v="0"/>
    <x v="1"/>
    <x v="0"/>
    <x v="4"/>
    <n v="27.28"/>
    <x v="1"/>
    <n v="6.8199999999999932"/>
    <x v="744"/>
    <x v="36"/>
    <x v="359"/>
    <x v="2"/>
    <x v="744"/>
    <n v="4.7619047619047574"/>
    <n v="6.8199999999999932"/>
    <n v="8.6"/>
  </r>
  <r>
    <s v="807-14-7833"/>
    <x v="0"/>
    <x v="0"/>
    <x v="0"/>
    <x v="0"/>
    <x v="1"/>
    <n v="17.420000000000002"/>
    <x v="4"/>
    <n v="8.7099999999999795"/>
    <x v="745"/>
    <x v="70"/>
    <x v="448"/>
    <x v="0"/>
    <x v="745"/>
    <n v="4.7619047619047663"/>
    <n v="8.710000000000008"/>
    <n v="7"/>
  </r>
  <r>
    <s v="775-72-1988"/>
    <x v="2"/>
    <x v="2"/>
    <x v="1"/>
    <x v="1"/>
    <x v="2"/>
    <n v="73.28"/>
    <x v="1"/>
    <n v="18.32000000000005"/>
    <x v="746"/>
    <x v="46"/>
    <x v="184"/>
    <x v="0"/>
    <x v="746"/>
    <n v="4.7619047619047752"/>
    <n v="18.32000000000005"/>
    <n v="8.4"/>
  </r>
  <r>
    <s v="288-38-3758"/>
    <x v="1"/>
    <x v="1"/>
    <x v="0"/>
    <x v="0"/>
    <x v="5"/>
    <n v="84.87"/>
    <x v="6"/>
    <n v="12.730500000000006"/>
    <x v="747"/>
    <x v="25"/>
    <x v="5"/>
    <x v="0"/>
    <x v="747"/>
    <n v="4.7619047619047636"/>
    <n v="12.730500000000006"/>
    <n v="7.4"/>
  </r>
  <r>
    <s v="652-43-6591"/>
    <x v="0"/>
    <x v="0"/>
    <x v="1"/>
    <x v="0"/>
    <x v="5"/>
    <n v="97.29"/>
    <x v="2"/>
    <n v="38.91599999999994"/>
    <x v="748"/>
    <x v="11"/>
    <x v="118"/>
    <x v="2"/>
    <x v="748"/>
    <n v="4.7619047619047548"/>
    <n v="38.91599999999994"/>
    <n v="6.2"/>
  </r>
  <r>
    <s v="785-96-0615"/>
    <x v="2"/>
    <x v="2"/>
    <x v="0"/>
    <x v="0"/>
    <x v="1"/>
    <n v="35.74"/>
    <x v="2"/>
    <n v="14.295999999999992"/>
    <x v="749"/>
    <x v="21"/>
    <x v="311"/>
    <x v="0"/>
    <x v="749"/>
    <n v="4.7619047619047592"/>
    <n v="14.295999999999992"/>
    <n v="4.9000000000000004"/>
  </r>
  <r>
    <s v="406-46-7107"/>
    <x v="0"/>
    <x v="0"/>
    <x v="1"/>
    <x v="0"/>
    <x v="2"/>
    <n v="96.52"/>
    <x v="3"/>
    <n v="28.956000000000017"/>
    <x v="750"/>
    <x v="83"/>
    <x v="408"/>
    <x v="1"/>
    <x v="750"/>
    <n v="4.7619047619047645"/>
    <n v="28.956000000000017"/>
    <n v="4.5"/>
  </r>
  <r>
    <s v="250-17-5703"/>
    <x v="0"/>
    <x v="0"/>
    <x v="0"/>
    <x v="1"/>
    <x v="4"/>
    <n v="18.850000000000001"/>
    <x v="4"/>
    <n v="9.4250000000000114"/>
    <x v="751"/>
    <x v="33"/>
    <x v="202"/>
    <x v="0"/>
    <x v="751"/>
    <n v="4.7619047619047672"/>
    <n v="9.4250000000000114"/>
    <n v="5.6"/>
  </r>
  <r>
    <s v="156-95-3964"/>
    <x v="0"/>
    <x v="0"/>
    <x v="1"/>
    <x v="0"/>
    <x v="4"/>
    <n v="55.39"/>
    <x v="7"/>
    <n v="11.078000000000003"/>
    <x v="752"/>
    <x v="5"/>
    <x v="332"/>
    <x v="0"/>
    <x v="752"/>
    <n v="4.7619047619047628"/>
    <n v="11.078000000000003"/>
    <n v="8"/>
  </r>
  <r>
    <s v="842-40-8179"/>
    <x v="2"/>
    <x v="2"/>
    <x v="0"/>
    <x v="0"/>
    <x v="4"/>
    <n v="77.2"/>
    <x v="4"/>
    <n v="38.600000000000023"/>
    <x v="753"/>
    <x v="48"/>
    <x v="440"/>
    <x v="2"/>
    <x v="753"/>
    <n v="4.7619047619047645"/>
    <n v="38.600000000000023"/>
    <n v="5.6"/>
  </r>
  <r>
    <s v="525-09-8450"/>
    <x v="2"/>
    <x v="2"/>
    <x v="1"/>
    <x v="1"/>
    <x v="1"/>
    <n v="72.13"/>
    <x v="4"/>
    <n v="36.065000000000055"/>
    <x v="754"/>
    <x v="82"/>
    <x v="290"/>
    <x v="2"/>
    <x v="754"/>
    <n v="4.761904761904769"/>
    <n v="36.065000000000055"/>
    <n v="4.2"/>
  </r>
  <r>
    <s v="410-67-1709"/>
    <x v="0"/>
    <x v="0"/>
    <x v="0"/>
    <x v="0"/>
    <x v="5"/>
    <n v="63.88"/>
    <x v="2"/>
    <n v="25.551999999999964"/>
    <x v="755"/>
    <x v="40"/>
    <x v="449"/>
    <x v="0"/>
    <x v="755"/>
    <n v="4.7619047619047556"/>
    <n v="25.551999999999964"/>
    <n v="9.9"/>
  </r>
  <r>
    <s v="587-73-4862"/>
    <x v="0"/>
    <x v="0"/>
    <x v="0"/>
    <x v="0"/>
    <x v="0"/>
    <n v="10.69"/>
    <x v="1"/>
    <n v="2.6725000000000065"/>
    <x v="756"/>
    <x v="58"/>
    <x v="383"/>
    <x v="0"/>
    <x v="756"/>
    <n v="4.761904761904761"/>
    <n v="2.6724999999999994"/>
    <n v="7.6"/>
  </r>
  <r>
    <s v="787-87-2010"/>
    <x v="0"/>
    <x v="0"/>
    <x v="0"/>
    <x v="1"/>
    <x v="0"/>
    <n v="55.5"/>
    <x v="7"/>
    <n v="11.099999999999994"/>
    <x v="757"/>
    <x v="40"/>
    <x v="74"/>
    <x v="2"/>
    <x v="757"/>
    <n v="4.7619047619047592"/>
    <n v="11.099999999999994"/>
    <n v="6.6"/>
  </r>
  <r>
    <s v="593-14-4239"/>
    <x v="2"/>
    <x v="2"/>
    <x v="1"/>
    <x v="0"/>
    <x v="2"/>
    <n v="95.46"/>
    <x v="2"/>
    <n v="38.184000000000083"/>
    <x v="758"/>
    <x v="19"/>
    <x v="138"/>
    <x v="0"/>
    <x v="758"/>
    <n v="4.7619047619047716"/>
    <n v="38.184000000000083"/>
    <n v="4.7"/>
  </r>
  <r>
    <s v="801-88-0346"/>
    <x v="1"/>
    <x v="1"/>
    <x v="1"/>
    <x v="0"/>
    <x v="5"/>
    <n v="76.06"/>
    <x v="6"/>
    <n v="11.408999999999992"/>
    <x v="759"/>
    <x v="0"/>
    <x v="450"/>
    <x v="2"/>
    <x v="759"/>
    <n v="4.7619047619047583"/>
    <n v="11.408999999999992"/>
    <n v="9.8000000000000007"/>
  </r>
  <r>
    <s v="388-76-2555"/>
    <x v="2"/>
    <x v="2"/>
    <x v="1"/>
    <x v="1"/>
    <x v="3"/>
    <n v="13.69"/>
    <x v="3"/>
    <n v="4.1069999999999993"/>
    <x v="760"/>
    <x v="77"/>
    <x v="451"/>
    <x v="1"/>
    <x v="760"/>
    <n v="4.761904761904761"/>
    <n v="4.1069999999999993"/>
    <n v="6.3"/>
  </r>
  <r>
    <s v="711-31-1234"/>
    <x v="2"/>
    <x v="2"/>
    <x v="1"/>
    <x v="0"/>
    <x v="1"/>
    <n v="95.64"/>
    <x v="7"/>
    <n v="19.127999999999986"/>
    <x v="761"/>
    <x v="32"/>
    <x v="370"/>
    <x v="1"/>
    <x v="761"/>
    <n v="4.7619047619047592"/>
    <n v="19.127999999999986"/>
    <n v="7.9"/>
  </r>
  <r>
    <s v="886-54-6089"/>
    <x v="0"/>
    <x v="0"/>
    <x v="1"/>
    <x v="0"/>
    <x v="2"/>
    <n v="11.43"/>
    <x v="3"/>
    <n v="3.429000000000002"/>
    <x v="762"/>
    <x v="15"/>
    <x v="45"/>
    <x v="1"/>
    <x v="762"/>
    <n v="4.7619047619047645"/>
    <n v="3.429000000000002"/>
    <n v="7.7"/>
  </r>
  <r>
    <s v="707-32-7409"/>
    <x v="2"/>
    <x v="2"/>
    <x v="0"/>
    <x v="0"/>
    <x v="3"/>
    <n v="95.54"/>
    <x v="7"/>
    <n v="19.107999999999947"/>
    <x v="763"/>
    <x v="84"/>
    <x v="452"/>
    <x v="0"/>
    <x v="763"/>
    <n v="4.7619047619047494"/>
    <n v="19.107999999999947"/>
    <n v="4.5"/>
  </r>
  <r>
    <s v="759-98-4285"/>
    <x v="1"/>
    <x v="1"/>
    <x v="0"/>
    <x v="0"/>
    <x v="0"/>
    <n v="85.87"/>
    <x v="0"/>
    <n v="30.054499999999962"/>
    <x v="764"/>
    <x v="33"/>
    <x v="54"/>
    <x v="2"/>
    <x v="764"/>
    <n v="4.7619047619047556"/>
    <n v="30.054499999999962"/>
    <n v="8"/>
  </r>
  <r>
    <s v="201-63-8275"/>
    <x v="1"/>
    <x v="1"/>
    <x v="0"/>
    <x v="0"/>
    <x v="3"/>
    <n v="67.989999999999995"/>
    <x v="0"/>
    <n v="23.796500000000037"/>
    <x v="765"/>
    <x v="21"/>
    <x v="453"/>
    <x v="0"/>
    <x v="765"/>
    <n v="4.7619047619047583"/>
    <n v="23.79649999999998"/>
    <n v="5.7"/>
  </r>
  <r>
    <s v="471-06-8611"/>
    <x v="1"/>
    <x v="1"/>
    <x v="1"/>
    <x v="0"/>
    <x v="4"/>
    <n v="52.42"/>
    <x v="8"/>
    <n v="2.6209999999999951"/>
    <x v="766"/>
    <x v="10"/>
    <x v="417"/>
    <x v="2"/>
    <x v="766"/>
    <n v="4.761904761904753"/>
    <n v="2.6209999999999951"/>
    <n v="6.3"/>
  </r>
  <r>
    <s v="200-16-5952"/>
    <x v="1"/>
    <x v="1"/>
    <x v="0"/>
    <x v="1"/>
    <x v="4"/>
    <n v="65.650000000000006"/>
    <x v="5"/>
    <n v="6.5649999999999977"/>
    <x v="767"/>
    <x v="29"/>
    <x v="252"/>
    <x v="1"/>
    <x v="767"/>
    <n v="4.7619047619047601"/>
    <n v="6.5649999999999977"/>
    <n v="6"/>
  </r>
  <r>
    <s v="120-54-2248"/>
    <x v="2"/>
    <x v="2"/>
    <x v="1"/>
    <x v="0"/>
    <x v="4"/>
    <n v="28.86"/>
    <x v="1"/>
    <n v="7.214999999999975"/>
    <x v="768"/>
    <x v="49"/>
    <x v="182"/>
    <x v="2"/>
    <x v="768"/>
    <n v="4.7619047619047459"/>
    <n v="7.214999999999975"/>
    <n v="8"/>
  </r>
  <r>
    <s v="102-77-2261"/>
    <x v="1"/>
    <x v="1"/>
    <x v="0"/>
    <x v="1"/>
    <x v="0"/>
    <n v="65.31"/>
    <x v="0"/>
    <n v="22.858499999999992"/>
    <x v="769"/>
    <x v="19"/>
    <x v="454"/>
    <x v="2"/>
    <x v="769"/>
    <n v="4.7619047619047601"/>
    <n v="22.858499999999992"/>
    <n v="4.2"/>
  </r>
  <r>
    <s v="875-31-8302"/>
    <x v="2"/>
    <x v="2"/>
    <x v="1"/>
    <x v="1"/>
    <x v="3"/>
    <n v="93.38"/>
    <x v="8"/>
    <n v="4.6690000000000111"/>
    <x v="770"/>
    <x v="75"/>
    <x v="270"/>
    <x v="1"/>
    <x v="770"/>
    <n v="4.7619047619047725"/>
    <n v="4.6690000000000111"/>
    <n v="9.6"/>
  </r>
  <r>
    <s v="102-06-2002"/>
    <x v="1"/>
    <x v="1"/>
    <x v="0"/>
    <x v="1"/>
    <x v="3"/>
    <n v="25.25"/>
    <x v="1"/>
    <n v="6.3125"/>
    <x v="771"/>
    <x v="80"/>
    <x v="455"/>
    <x v="1"/>
    <x v="771"/>
    <n v="4.7619047619047619"/>
    <n v="6.3125"/>
    <n v="6.1"/>
  </r>
  <r>
    <s v="457-94-0464"/>
    <x v="2"/>
    <x v="2"/>
    <x v="0"/>
    <x v="1"/>
    <x v="1"/>
    <n v="87.87"/>
    <x v="9"/>
    <n v="39.541499999999928"/>
    <x v="772"/>
    <x v="82"/>
    <x v="456"/>
    <x v="0"/>
    <x v="772"/>
    <n v="4.761904761904753"/>
    <n v="39.541499999999928"/>
    <n v="5.6"/>
  </r>
  <r>
    <s v="629-42-4133"/>
    <x v="1"/>
    <x v="1"/>
    <x v="1"/>
    <x v="1"/>
    <x v="0"/>
    <n v="21.08"/>
    <x v="2"/>
    <n v="14.480000000000018"/>
    <x v="773"/>
    <x v="88"/>
    <x v="225"/>
    <x v="1"/>
    <x v="773"/>
    <n v="4.761904761904761"/>
    <n v="8.7199999999999989"/>
    <n v="8.3000000000000007"/>
  </r>
  <r>
    <s v="534-53-3526"/>
    <x v="0"/>
    <x v="0"/>
    <x v="1"/>
    <x v="0"/>
    <x v="3"/>
    <n v="94.76"/>
    <x v="7"/>
    <n v="18.951999999999998"/>
    <x v="774"/>
    <x v="48"/>
    <x v="432"/>
    <x v="0"/>
    <x v="774"/>
    <n v="4.761904761904761"/>
    <n v="18.951999999999998"/>
    <n v="7.8"/>
  </r>
  <r>
    <s v="307-04-2070"/>
    <x v="0"/>
    <x v="0"/>
    <x v="0"/>
    <x v="0"/>
    <x v="5"/>
    <n v="30.62"/>
    <x v="8"/>
    <n v="1.5310000000000024"/>
    <x v="775"/>
    <x v="63"/>
    <x v="341"/>
    <x v="2"/>
    <x v="775"/>
    <n v="4.761904761904769"/>
    <n v="1.5310000000000024"/>
    <n v="4.0999999999999996"/>
  </r>
  <r>
    <s v="468-99-7231"/>
    <x v="1"/>
    <x v="1"/>
    <x v="1"/>
    <x v="0"/>
    <x v="2"/>
    <n v="44.01"/>
    <x v="2"/>
    <n v="17.604000000000042"/>
    <x v="776"/>
    <x v="2"/>
    <x v="24"/>
    <x v="1"/>
    <x v="776"/>
    <n v="4.7619047619047725"/>
    <n v="17.604000000000042"/>
    <n v="8.8000000000000007"/>
  </r>
  <r>
    <s v="516-77-6464"/>
    <x v="1"/>
    <x v="1"/>
    <x v="0"/>
    <x v="0"/>
    <x v="0"/>
    <n v="10.16"/>
    <x v="1"/>
    <n v="2.5400000000000063"/>
    <x v="777"/>
    <x v="7"/>
    <x v="0"/>
    <x v="0"/>
    <x v="777"/>
    <n v="4.7619047619047734"/>
    <n v="2.5400000000000063"/>
    <n v="4.0999999999999996"/>
  </r>
  <r>
    <s v="404-91-5964"/>
    <x v="0"/>
    <x v="0"/>
    <x v="1"/>
    <x v="1"/>
    <x v="1"/>
    <n v="74.58"/>
    <x v="0"/>
    <n v="26.103000000000065"/>
    <x v="778"/>
    <x v="87"/>
    <x v="457"/>
    <x v="2"/>
    <x v="778"/>
    <n v="4.7619047619047734"/>
    <n v="26.103000000000065"/>
    <n v="9"/>
  </r>
  <r>
    <s v="886-77-9084"/>
    <x v="1"/>
    <x v="1"/>
    <x v="1"/>
    <x v="1"/>
    <x v="1"/>
    <n v="71.89"/>
    <x v="2"/>
    <n v="28.755999999999972"/>
    <x v="779"/>
    <x v="88"/>
    <x v="458"/>
    <x v="0"/>
    <x v="779"/>
    <n v="4.7619047619047574"/>
    <n v="28.755999999999972"/>
    <n v="5.5"/>
  </r>
  <r>
    <s v="790-38-4466"/>
    <x v="1"/>
    <x v="1"/>
    <x v="1"/>
    <x v="0"/>
    <x v="0"/>
    <n v="10.99"/>
    <x v="1"/>
    <n v="2.7474999999999952"/>
    <x v="780"/>
    <x v="54"/>
    <x v="392"/>
    <x v="2"/>
    <x v="780"/>
    <n v="4.7619047619047539"/>
    <n v="2.7474999999999952"/>
    <n v="9.3000000000000007"/>
  </r>
  <r>
    <s v="704-10-4056"/>
    <x v="1"/>
    <x v="1"/>
    <x v="0"/>
    <x v="1"/>
    <x v="0"/>
    <n v="60.47"/>
    <x v="6"/>
    <n v="9.0705000000000098"/>
    <x v="781"/>
    <x v="78"/>
    <x v="60"/>
    <x v="2"/>
    <x v="781"/>
    <n v="4.7619047619047672"/>
    <n v="9.0705000000000098"/>
    <n v="5.6"/>
  </r>
  <r>
    <s v="497-37-6538"/>
    <x v="0"/>
    <x v="0"/>
    <x v="1"/>
    <x v="1"/>
    <x v="3"/>
    <n v="58.91"/>
    <x v="0"/>
    <n v="20.618499999999983"/>
    <x v="782"/>
    <x v="29"/>
    <x v="459"/>
    <x v="0"/>
    <x v="782"/>
    <n v="4.7619047619047583"/>
    <n v="20.618499999999983"/>
    <n v="9.6999999999999993"/>
  </r>
  <r>
    <s v="651-96-5970"/>
    <x v="0"/>
    <x v="0"/>
    <x v="1"/>
    <x v="1"/>
    <x v="5"/>
    <n v="46.41"/>
    <x v="8"/>
    <n v="2.3205000000000027"/>
    <x v="783"/>
    <x v="2"/>
    <x v="460"/>
    <x v="2"/>
    <x v="783"/>
    <n v="4.7619047619047672"/>
    <n v="2.3205000000000027"/>
    <n v="4"/>
  </r>
  <r>
    <s v="400-80-4065"/>
    <x v="1"/>
    <x v="1"/>
    <x v="0"/>
    <x v="1"/>
    <x v="0"/>
    <n v="68.55"/>
    <x v="7"/>
    <n v="13.710000000000036"/>
    <x v="784"/>
    <x v="42"/>
    <x v="277"/>
    <x v="2"/>
    <x v="784"/>
    <n v="4.7619047619047743"/>
    <n v="13.710000000000036"/>
    <n v="9.1999999999999993"/>
  </r>
  <r>
    <s v="744-16-7898"/>
    <x v="2"/>
    <x v="2"/>
    <x v="1"/>
    <x v="0"/>
    <x v="2"/>
    <n v="97.37"/>
    <x v="4"/>
    <n v="48.684999999999945"/>
    <x v="785"/>
    <x v="15"/>
    <x v="128"/>
    <x v="2"/>
    <x v="785"/>
    <n v="4.7619047619047565"/>
    <n v="48.684999999999945"/>
    <n v="4.9000000000000004"/>
  </r>
  <r>
    <s v="263-12-5321"/>
    <x v="0"/>
    <x v="0"/>
    <x v="0"/>
    <x v="1"/>
    <x v="1"/>
    <n v="92.6"/>
    <x v="0"/>
    <n v="32.410000000000082"/>
    <x v="786"/>
    <x v="33"/>
    <x v="299"/>
    <x v="2"/>
    <x v="786"/>
    <n v="4.7619047619047574"/>
    <n v="32.409999999999968"/>
    <n v="9.3000000000000007"/>
  </r>
  <r>
    <s v="702-72-0487"/>
    <x v="0"/>
    <x v="0"/>
    <x v="1"/>
    <x v="0"/>
    <x v="1"/>
    <n v="46.61"/>
    <x v="5"/>
    <n v="4.6610000000000014"/>
    <x v="787"/>
    <x v="84"/>
    <x v="35"/>
    <x v="2"/>
    <x v="787"/>
    <n v="4.7619047619047628"/>
    <n v="4.6610000000000014"/>
    <n v="6.6"/>
  </r>
  <r>
    <s v="605-83-1050"/>
    <x v="2"/>
    <x v="2"/>
    <x v="1"/>
    <x v="1"/>
    <x v="5"/>
    <n v="27.18"/>
    <x v="5"/>
    <n v="2.7180000000000035"/>
    <x v="788"/>
    <x v="20"/>
    <x v="461"/>
    <x v="0"/>
    <x v="788"/>
    <n v="4.7619047619047681"/>
    <n v="2.7180000000000035"/>
    <n v="4.3"/>
  </r>
  <r>
    <s v="443-60-9639"/>
    <x v="1"/>
    <x v="1"/>
    <x v="0"/>
    <x v="0"/>
    <x v="2"/>
    <n v="60.87"/>
    <x v="8"/>
    <n v="3.0435000000000016"/>
    <x v="789"/>
    <x v="46"/>
    <x v="38"/>
    <x v="1"/>
    <x v="789"/>
    <n v="4.7619047619047645"/>
    <n v="3.0435000000000016"/>
    <n v="5.5"/>
  </r>
  <r>
    <s v="864-24-7918"/>
    <x v="0"/>
    <x v="0"/>
    <x v="0"/>
    <x v="0"/>
    <x v="3"/>
    <n v="24.49"/>
    <x v="4"/>
    <n v="12.245000000000005"/>
    <x v="790"/>
    <x v="70"/>
    <x v="459"/>
    <x v="1"/>
    <x v="790"/>
    <n v="4.761904761904753"/>
    <n v="12.244999999999976"/>
    <n v="8.1"/>
  </r>
  <r>
    <s v="359-94-5395"/>
    <x v="2"/>
    <x v="2"/>
    <x v="1"/>
    <x v="1"/>
    <x v="0"/>
    <n v="92.78"/>
    <x v="8"/>
    <n v="4.6389999999999958"/>
    <x v="791"/>
    <x v="20"/>
    <x v="155"/>
    <x v="2"/>
    <x v="791"/>
    <n v="4.7619047619047574"/>
    <n v="4.6389999999999958"/>
    <n v="9.8000000000000007"/>
  </r>
  <r>
    <s v="401-09-4232"/>
    <x v="1"/>
    <x v="1"/>
    <x v="0"/>
    <x v="1"/>
    <x v="2"/>
    <n v="86.69"/>
    <x v="1"/>
    <n v="21.672500000000014"/>
    <x v="792"/>
    <x v="48"/>
    <x v="462"/>
    <x v="0"/>
    <x v="792"/>
    <n v="4.7619047619047654"/>
    <n v="21.672500000000014"/>
    <n v="9.4"/>
  </r>
  <r>
    <s v="751-15-6198"/>
    <x v="2"/>
    <x v="2"/>
    <x v="1"/>
    <x v="1"/>
    <x v="3"/>
    <n v="23.01"/>
    <x v="3"/>
    <n v="6.9029999999999916"/>
    <x v="793"/>
    <x v="52"/>
    <x v="463"/>
    <x v="0"/>
    <x v="793"/>
    <n v="4.7619047619047556"/>
    <n v="6.9029999999999916"/>
    <n v="7.9"/>
  </r>
  <r>
    <s v="324-41-6833"/>
    <x v="1"/>
    <x v="1"/>
    <x v="0"/>
    <x v="0"/>
    <x v="1"/>
    <n v="30.2"/>
    <x v="2"/>
    <n v="12.080000000000013"/>
    <x v="794"/>
    <x v="2"/>
    <x v="171"/>
    <x v="0"/>
    <x v="794"/>
    <n v="4.7619047619047663"/>
    <n v="12.080000000000013"/>
    <n v="5.0999999999999996"/>
  </r>
  <r>
    <s v="474-33-8305"/>
    <x v="1"/>
    <x v="1"/>
    <x v="0"/>
    <x v="1"/>
    <x v="5"/>
    <n v="67.39"/>
    <x v="0"/>
    <n v="23.586500000000001"/>
    <x v="795"/>
    <x v="28"/>
    <x v="2"/>
    <x v="0"/>
    <x v="795"/>
    <n v="4.7619047619047619"/>
    <n v="23.586500000000001"/>
    <n v="6.9"/>
  </r>
  <r>
    <s v="759-29-9521"/>
    <x v="0"/>
    <x v="0"/>
    <x v="0"/>
    <x v="0"/>
    <x v="5"/>
    <n v="48.96"/>
    <x v="9"/>
    <n v="22.032000000000039"/>
    <x v="796"/>
    <x v="31"/>
    <x v="94"/>
    <x v="1"/>
    <x v="796"/>
    <n v="4.7619047619047699"/>
    <n v="22.032000000000039"/>
    <n v="8"/>
  </r>
  <r>
    <s v="831-81-6575"/>
    <x v="2"/>
    <x v="2"/>
    <x v="0"/>
    <x v="0"/>
    <x v="1"/>
    <n v="75.59"/>
    <x v="9"/>
    <n v="34.015499999999975"/>
    <x v="797"/>
    <x v="55"/>
    <x v="289"/>
    <x v="1"/>
    <x v="797"/>
    <n v="4.7619047619047743"/>
    <n v="34.015500000000088"/>
    <n v="8"/>
  </r>
  <r>
    <s v="220-68-6701"/>
    <x v="0"/>
    <x v="0"/>
    <x v="1"/>
    <x v="0"/>
    <x v="2"/>
    <n v="77.47"/>
    <x v="7"/>
    <n v="15.494000000000028"/>
    <x v="798"/>
    <x v="85"/>
    <x v="345"/>
    <x v="1"/>
    <x v="798"/>
    <n v="4.7619047619047699"/>
    <n v="15.494000000000028"/>
    <n v="4.2"/>
  </r>
  <r>
    <s v="618-34-8551"/>
    <x v="0"/>
    <x v="0"/>
    <x v="1"/>
    <x v="0"/>
    <x v="3"/>
    <n v="93.18"/>
    <x v="5"/>
    <n v="9.3179999999999836"/>
    <x v="799"/>
    <x v="65"/>
    <x v="464"/>
    <x v="2"/>
    <x v="799"/>
    <n v="4.761904761904753"/>
    <n v="9.3179999999999836"/>
    <n v="8.5"/>
  </r>
  <r>
    <s v="257-60-7754"/>
    <x v="0"/>
    <x v="0"/>
    <x v="1"/>
    <x v="0"/>
    <x v="1"/>
    <n v="50.23"/>
    <x v="7"/>
    <n v="10.046000000000021"/>
    <x v="800"/>
    <x v="66"/>
    <x v="465"/>
    <x v="1"/>
    <x v="800"/>
    <n v="4.7619047619047716"/>
    <n v="10.046000000000021"/>
    <n v="9"/>
  </r>
  <r>
    <s v="559-61-5987"/>
    <x v="2"/>
    <x v="2"/>
    <x v="1"/>
    <x v="0"/>
    <x v="0"/>
    <n v="17.75"/>
    <x v="8"/>
    <n v="0.88749999999999929"/>
    <x v="801"/>
    <x v="78"/>
    <x v="440"/>
    <x v="1"/>
    <x v="801"/>
    <n v="4.7619047619047583"/>
    <n v="0.88749999999999929"/>
    <n v="8.6"/>
  </r>
  <r>
    <s v="189-55-2313"/>
    <x v="1"/>
    <x v="1"/>
    <x v="1"/>
    <x v="0"/>
    <x v="5"/>
    <n v="62.18"/>
    <x v="4"/>
    <n v="31.090000000000032"/>
    <x v="802"/>
    <x v="82"/>
    <x v="373"/>
    <x v="0"/>
    <x v="802"/>
    <n v="4.7619047619047672"/>
    <n v="31.090000000000032"/>
    <n v="6"/>
  </r>
  <r>
    <s v="565-91-4567"/>
    <x v="2"/>
    <x v="2"/>
    <x v="1"/>
    <x v="1"/>
    <x v="0"/>
    <n v="10.75"/>
    <x v="2"/>
    <n v="4.2999999999999972"/>
    <x v="803"/>
    <x v="20"/>
    <x v="242"/>
    <x v="0"/>
    <x v="803"/>
    <n v="4.7619047619047592"/>
    <n v="4.2999999999999972"/>
    <n v="6.2"/>
  </r>
  <r>
    <s v="380-60-5336"/>
    <x v="0"/>
    <x v="0"/>
    <x v="1"/>
    <x v="0"/>
    <x v="1"/>
    <n v="40.26"/>
    <x v="4"/>
    <n v="20.130000000000052"/>
    <x v="804"/>
    <x v="7"/>
    <x v="191"/>
    <x v="2"/>
    <x v="804"/>
    <n v="4.761904761904761"/>
    <n v="20.129999999999995"/>
    <n v="5"/>
  </r>
  <r>
    <s v="815-04-6282"/>
    <x v="1"/>
    <x v="1"/>
    <x v="0"/>
    <x v="0"/>
    <x v="3"/>
    <n v="64.97"/>
    <x v="1"/>
    <n v="16.24249999999995"/>
    <x v="805"/>
    <x v="4"/>
    <x v="299"/>
    <x v="2"/>
    <x v="805"/>
    <n v="4.7619047619047477"/>
    <n v="16.24249999999995"/>
    <n v="6.5"/>
  </r>
  <r>
    <s v="674-56-6360"/>
    <x v="0"/>
    <x v="0"/>
    <x v="1"/>
    <x v="1"/>
    <x v="1"/>
    <n v="95.15"/>
    <x v="8"/>
    <n v="4.7574999999999932"/>
    <x v="806"/>
    <x v="23"/>
    <x v="466"/>
    <x v="1"/>
    <x v="806"/>
    <n v="4.7619047619047556"/>
    <n v="4.7574999999999932"/>
    <n v="6"/>
  </r>
  <r>
    <s v="778-34-2523"/>
    <x v="0"/>
    <x v="0"/>
    <x v="0"/>
    <x v="0"/>
    <x v="1"/>
    <n v="48.62"/>
    <x v="2"/>
    <n v="19.448000000000036"/>
    <x v="807"/>
    <x v="46"/>
    <x v="315"/>
    <x v="1"/>
    <x v="807"/>
    <n v="4.7619047619047707"/>
    <n v="19.448000000000036"/>
    <n v="5"/>
  </r>
  <r>
    <s v="499-27-7781"/>
    <x v="2"/>
    <x v="2"/>
    <x v="1"/>
    <x v="0"/>
    <x v="4"/>
    <n v="53.21"/>
    <x v="2"/>
    <n v="21.283999999999992"/>
    <x v="808"/>
    <x v="86"/>
    <x v="463"/>
    <x v="0"/>
    <x v="808"/>
    <n v="4.7619047619047601"/>
    <n v="21.283999999999992"/>
    <n v="5"/>
  </r>
  <r>
    <s v="477-59-2456"/>
    <x v="1"/>
    <x v="1"/>
    <x v="1"/>
    <x v="0"/>
    <x v="5"/>
    <n v="45.44"/>
    <x v="0"/>
    <n v="15.903999999999996"/>
    <x v="809"/>
    <x v="54"/>
    <x v="23"/>
    <x v="1"/>
    <x v="809"/>
    <n v="4.761904761904761"/>
    <n v="15.903999999999996"/>
    <n v="9.1999999999999993"/>
  </r>
  <r>
    <s v="832-51-6761"/>
    <x v="0"/>
    <x v="0"/>
    <x v="1"/>
    <x v="1"/>
    <x v="4"/>
    <n v="33.880000000000003"/>
    <x v="2"/>
    <n v="13.551999999999964"/>
    <x v="810"/>
    <x v="64"/>
    <x v="245"/>
    <x v="0"/>
    <x v="810"/>
    <n v="4.7619047619047494"/>
    <n v="13.551999999999964"/>
    <n v="9.6"/>
  </r>
  <r>
    <s v="869-11-3082"/>
    <x v="2"/>
    <x v="2"/>
    <x v="0"/>
    <x v="1"/>
    <x v="0"/>
    <n v="96.16"/>
    <x v="7"/>
    <n v="19.232000000000028"/>
    <x v="811"/>
    <x v="3"/>
    <x v="356"/>
    <x v="2"/>
    <x v="811"/>
    <n v="4.761904761904769"/>
    <n v="19.232000000000028"/>
    <n v="8.4"/>
  </r>
  <r>
    <s v="190-59-3964"/>
    <x v="2"/>
    <x v="2"/>
    <x v="0"/>
    <x v="1"/>
    <x v="4"/>
    <n v="47.16"/>
    <x v="1"/>
    <n v="11.79000000000002"/>
    <x v="812"/>
    <x v="36"/>
    <x v="63"/>
    <x v="2"/>
    <x v="812"/>
    <n v="4.7619047619047592"/>
    <n v="11.789999999999992"/>
    <n v="6"/>
  </r>
  <r>
    <s v="366-43-6862"/>
    <x v="2"/>
    <x v="2"/>
    <x v="1"/>
    <x v="1"/>
    <x v="1"/>
    <n v="52.89"/>
    <x v="7"/>
    <n v="10.578000000000003"/>
    <x v="813"/>
    <x v="5"/>
    <x v="467"/>
    <x v="0"/>
    <x v="813"/>
    <n v="4.7619047619047628"/>
    <n v="10.578000000000003"/>
    <n v="6.7"/>
  </r>
  <r>
    <s v="186-43-8965"/>
    <x v="0"/>
    <x v="0"/>
    <x v="0"/>
    <x v="0"/>
    <x v="2"/>
    <n v="47.68"/>
    <x v="5"/>
    <n v="4.7680000000000007"/>
    <x v="814"/>
    <x v="7"/>
    <x v="468"/>
    <x v="2"/>
    <x v="814"/>
    <n v="4.7619047619047628"/>
    <n v="4.7680000000000007"/>
    <n v="4.0999999999999996"/>
  </r>
  <r>
    <s v="784-21-9238"/>
    <x v="1"/>
    <x v="1"/>
    <x v="0"/>
    <x v="1"/>
    <x v="3"/>
    <n v="10.17"/>
    <x v="8"/>
    <n v="31310.83"/>
    <x v="815"/>
    <x v="13"/>
    <x v="331"/>
    <x v="1"/>
    <x v="815"/>
    <n v="99.96752977235721"/>
    <n v="31310.83"/>
    <n v="5.9"/>
  </r>
  <r>
    <s v="276-75-6884"/>
    <x v="0"/>
    <x v="0"/>
    <x v="1"/>
    <x v="0"/>
    <x v="0"/>
    <n v="68.709999999999994"/>
    <x v="6"/>
    <n v="10.3065"/>
    <x v="816"/>
    <x v="31"/>
    <x v="469"/>
    <x v="1"/>
    <x v="816"/>
    <n v="4.7619047619047619"/>
    <n v="10.3065"/>
    <n v="8.6999999999999993"/>
  </r>
  <r>
    <s v="109-86-4363"/>
    <x v="2"/>
    <x v="2"/>
    <x v="0"/>
    <x v="0"/>
    <x v="3"/>
    <n v="60.08"/>
    <x v="0"/>
    <n v="21.02800000000002"/>
    <x v="817"/>
    <x v="44"/>
    <x v="150"/>
    <x v="2"/>
    <x v="817"/>
    <n v="4.7619047619047663"/>
    <n v="21.02800000000002"/>
    <n v="4.5"/>
  </r>
  <r>
    <s v="569-76-2760"/>
    <x v="0"/>
    <x v="0"/>
    <x v="0"/>
    <x v="0"/>
    <x v="3"/>
    <n v="22.01"/>
    <x v="7"/>
    <n v="4.4019999999999868"/>
    <x v="818"/>
    <x v="71"/>
    <x v="470"/>
    <x v="2"/>
    <x v="818"/>
    <n v="4.7619047619047477"/>
    <n v="4.4019999999999868"/>
    <n v="6.6"/>
  </r>
  <r>
    <s v="222-42-0244"/>
    <x v="2"/>
    <x v="2"/>
    <x v="0"/>
    <x v="0"/>
    <x v="0"/>
    <n v="72.11"/>
    <x v="9"/>
    <n v="32.449499999999944"/>
    <x v="819"/>
    <x v="26"/>
    <x v="318"/>
    <x v="2"/>
    <x v="819"/>
    <n v="4.7619047619047539"/>
    <n v="32.449499999999944"/>
    <n v="7.7"/>
  </r>
  <r>
    <s v="760-53-9233"/>
    <x v="0"/>
    <x v="0"/>
    <x v="0"/>
    <x v="1"/>
    <x v="5"/>
    <n v="41.28"/>
    <x v="6"/>
    <n v="6.1920000000000073"/>
    <x v="820"/>
    <x v="58"/>
    <x v="78"/>
    <x v="2"/>
    <x v="820"/>
    <n v="4.7619047619047672"/>
    <n v="6.1920000000000073"/>
    <n v="8.5"/>
  </r>
  <r>
    <s v="538-22-0304"/>
    <x v="1"/>
    <x v="1"/>
    <x v="1"/>
    <x v="1"/>
    <x v="1"/>
    <n v="64.95"/>
    <x v="4"/>
    <n v="32.475000000000023"/>
    <x v="821"/>
    <x v="62"/>
    <x v="185"/>
    <x v="1"/>
    <x v="821"/>
    <n v="4.7619047619047654"/>
    <n v="32.475000000000023"/>
    <n v="5.2"/>
  </r>
  <r>
    <s v="416-17-9926"/>
    <x v="0"/>
    <x v="0"/>
    <x v="0"/>
    <x v="0"/>
    <x v="1"/>
    <n v="74.22"/>
    <x v="4"/>
    <n v="37.1099999999999"/>
    <x v="822"/>
    <x v="17"/>
    <x v="51"/>
    <x v="2"/>
    <x v="822"/>
    <n v="4.7619047619047494"/>
    <n v="37.1099999999999"/>
    <n v="4.3"/>
  </r>
  <r>
    <s v="237-44-6163"/>
    <x v="0"/>
    <x v="0"/>
    <x v="1"/>
    <x v="1"/>
    <x v="1"/>
    <n v="10.56"/>
    <x v="2"/>
    <n v="4.2239999999999895"/>
    <x v="823"/>
    <x v="46"/>
    <x v="255"/>
    <x v="1"/>
    <x v="823"/>
    <n v="4.7619047619047503"/>
    <n v="4.2239999999999895"/>
    <n v="7.6"/>
  </r>
  <r>
    <s v="636-17-0325"/>
    <x v="2"/>
    <x v="2"/>
    <x v="1"/>
    <x v="1"/>
    <x v="0"/>
    <n v="62.57"/>
    <x v="7"/>
    <n v="12.513999999999982"/>
    <x v="824"/>
    <x v="6"/>
    <x v="78"/>
    <x v="1"/>
    <x v="824"/>
    <n v="4.7619047619047556"/>
    <n v="12.513999999999982"/>
    <n v="9.5"/>
  </r>
  <r>
    <s v="343-75-9322"/>
    <x v="2"/>
    <x v="2"/>
    <x v="0"/>
    <x v="0"/>
    <x v="3"/>
    <n v="11.85"/>
    <x v="2"/>
    <n v="4.7400000000000091"/>
    <x v="825"/>
    <x v="51"/>
    <x v="414"/>
    <x v="1"/>
    <x v="825"/>
    <n v="4.7619047619047707"/>
    <n v="4.7400000000000091"/>
    <n v="4.0999999999999996"/>
  </r>
  <r>
    <s v="528-14-9470"/>
    <x v="0"/>
    <x v="0"/>
    <x v="0"/>
    <x v="1"/>
    <x v="0"/>
    <n v="91.3"/>
    <x v="8"/>
    <n v="4.5649999999999977"/>
    <x v="826"/>
    <x v="44"/>
    <x v="51"/>
    <x v="0"/>
    <x v="826"/>
    <n v="4.7619047619047592"/>
    <n v="4.5649999999999977"/>
    <n v="9.1999999999999993"/>
  </r>
  <r>
    <s v="427-45-9297"/>
    <x v="2"/>
    <x v="2"/>
    <x v="0"/>
    <x v="0"/>
    <x v="2"/>
    <n v="40.729999999999997"/>
    <x v="0"/>
    <n v="14.25550000000004"/>
    <x v="827"/>
    <x v="41"/>
    <x v="471"/>
    <x v="0"/>
    <x v="827"/>
    <n v="4.7619047619047565"/>
    <n v="14.255499999999984"/>
    <n v="5.4"/>
  </r>
  <r>
    <s v="807-34-3742"/>
    <x v="0"/>
    <x v="0"/>
    <x v="1"/>
    <x v="1"/>
    <x v="5"/>
    <n v="52.38"/>
    <x v="8"/>
    <n v="2.6189999999999998"/>
    <x v="828"/>
    <x v="58"/>
    <x v="143"/>
    <x v="1"/>
    <x v="828"/>
    <n v="4.761904761904761"/>
    <n v="2.6189999999999998"/>
    <n v="5.8"/>
  </r>
  <r>
    <s v="288-62-1085"/>
    <x v="0"/>
    <x v="0"/>
    <x v="0"/>
    <x v="1"/>
    <x v="5"/>
    <n v="38.54"/>
    <x v="1"/>
    <n v="9.6350000000000193"/>
    <x v="829"/>
    <x v="51"/>
    <x v="229"/>
    <x v="0"/>
    <x v="829"/>
    <n v="4.7619047619047716"/>
    <n v="9.6350000000000193"/>
    <n v="5.6"/>
  </r>
  <r>
    <s v="670-71-7306"/>
    <x v="2"/>
    <x v="2"/>
    <x v="1"/>
    <x v="1"/>
    <x v="3"/>
    <n v="44.63"/>
    <x v="3"/>
    <n v="13.388999999999953"/>
    <x v="830"/>
    <x v="56"/>
    <x v="390"/>
    <x v="2"/>
    <x v="830"/>
    <n v="4.7619047619047654"/>
    <n v="13.38900000000001"/>
    <n v="5.0999999999999996"/>
  </r>
  <r>
    <s v="660-29-7083"/>
    <x v="1"/>
    <x v="1"/>
    <x v="1"/>
    <x v="1"/>
    <x v="1"/>
    <n v="55.87"/>
    <x v="4"/>
    <n v="27.935000000000059"/>
    <x v="831"/>
    <x v="15"/>
    <x v="66"/>
    <x v="1"/>
    <x v="831"/>
    <n v="4.761904761904753"/>
    <n v="27.934999999999945"/>
    <n v="5.8"/>
  </r>
  <r>
    <s v="271-77-8740"/>
    <x v="1"/>
    <x v="1"/>
    <x v="0"/>
    <x v="0"/>
    <x v="3"/>
    <n v="29.22"/>
    <x v="3"/>
    <n v="8.7660000000000196"/>
    <x v="832"/>
    <x v="17"/>
    <x v="335"/>
    <x v="0"/>
    <x v="832"/>
    <n v="4.7619047619047716"/>
    <n v="8.7660000000000196"/>
    <n v="5"/>
  </r>
  <r>
    <s v="497-36-0989"/>
    <x v="0"/>
    <x v="0"/>
    <x v="1"/>
    <x v="1"/>
    <x v="5"/>
    <n v="51.94"/>
    <x v="6"/>
    <n v="7.7909999999999968"/>
    <x v="833"/>
    <x v="42"/>
    <x v="472"/>
    <x v="1"/>
    <x v="833"/>
    <n v="4.7619047619047601"/>
    <n v="7.7909999999999968"/>
    <n v="7.9"/>
  </r>
  <r>
    <s v="291-59-1384"/>
    <x v="2"/>
    <x v="2"/>
    <x v="1"/>
    <x v="1"/>
    <x v="1"/>
    <n v="60.3"/>
    <x v="8"/>
    <n v="3.0150000000000006"/>
    <x v="834"/>
    <x v="38"/>
    <x v="180"/>
    <x v="1"/>
    <x v="834"/>
    <n v="4.7619047619047628"/>
    <n v="3.0150000000000006"/>
    <n v="6"/>
  </r>
  <r>
    <s v="860-73-6466"/>
    <x v="0"/>
    <x v="0"/>
    <x v="0"/>
    <x v="0"/>
    <x v="3"/>
    <n v="39.47"/>
    <x v="5"/>
    <n v="3.9470000000000027"/>
    <x v="835"/>
    <x v="22"/>
    <x v="473"/>
    <x v="2"/>
    <x v="835"/>
    <n v="4.7619047619047654"/>
    <n v="3.9470000000000027"/>
    <n v="5"/>
  </r>
  <r>
    <s v="549-23-9016"/>
    <x v="1"/>
    <x v="1"/>
    <x v="0"/>
    <x v="0"/>
    <x v="4"/>
    <n v="14.87"/>
    <x v="5"/>
    <n v="1.4870000000000019"/>
    <x v="836"/>
    <x v="77"/>
    <x v="470"/>
    <x v="2"/>
    <x v="836"/>
    <n v="4.7619047619047681"/>
    <n v="1.4870000000000019"/>
    <n v="8.9"/>
  </r>
  <r>
    <s v="896-34-0956"/>
    <x v="0"/>
    <x v="0"/>
    <x v="1"/>
    <x v="1"/>
    <x v="5"/>
    <n v="21.32"/>
    <x v="8"/>
    <n v="1.0659999999999989"/>
    <x v="837"/>
    <x v="53"/>
    <x v="31"/>
    <x v="1"/>
    <x v="837"/>
    <n v="4.7619047619047574"/>
    <n v="1.0659999999999989"/>
    <n v="5.9"/>
  </r>
  <r>
    <s v="804-38-3935"/>
    <x v="0"/>
    <x v="0"/>
    <x v="0"/>
    <x v="1"/>
    <x v="1"/>
    <n v="93.78"/>
    <x v="6"/>
    <n v="14.06699999999995"/>
    <x v="838"/>
    <x v="74"/>
    <x v="102"/>
    <x v="2"/>
    <x v="838"/>
    <n v="4.7619047619047645"/>
    <n v="14.067000000000007"/>
    <n v="5.9"/>
  </r>
  <r>
    <s v="585-90-0249"/>
    <x v="0"/>
    <x v="0"/>
    <x v="0"/>
    <x v="1"/>
    <x v="1"/>
    <n v="73.260000000000005"/>
    <x v="8"/>
    <n v="3.6629999999999967"/>
    <x v="839"/>
    <x v="3"/>
    <x v="182"/>
    <x v="0"/>
    <x v="839"/>
    <n v="4.7619047619047574"/>
    <n v="3.6629999999999967"/>
    <n v="9.6999999999999993"/>
  </r>
  <r>
    <s v="862-29-5914"/>
    <x v="1"/>
    <x v="1"/>
    <x v="1"/>
    <x v="0"/>
    <x v="3"/>
    <n v="22.38"/>
    <x v="8"/>
    <n v="1.1189999999999998"/>
    <x v="840"/>
    <x v="74"/>
    <x v="48"/>
    <x v="2"/>
    <x v="840"/>
    <n v="4.761904761904761"/>
    <n v="1.1189999999999998"/>
    <n v="8.6"/>
  </r>
  <r>
    <s v="845-94-6841"/>
    <x v="1"/>
    <x v="1"/>
    <x v="0"/>
    <x v="0"/>
    <x v="4"/>
    <n v="72.88"/>
    <x v="9"/>
    <n v="32.796000000000049"/>
    <x v="841"/>
    <x v="66"/>
    <x v="371"/>
    <x v="1"/>
    <x v="841"/>
    <n v="4.761904761904769"/>
    <n v="32.796000000000049"/>
    <n v="4"/>
  </r>
  <r>
    <s v="125-45-2293"/>
    <x v="0"/>
    <x v="0"/>
    <x v="1"/>
    <x v="0"/>
    <x v="5"/>
    <n v="99.1"/>
    <x v="3"/>
    <n v="29.730000000000132"/>
    <x v="842"/>
    <x v="64"/>
    <x v="90"/>
    <x v="1"/>
    <x v="842"/>
    <n v="4.7619047619047645"/>
    <n v="29.730000000000018"/>
    <n v="4.2"/>
  </r>
  <r>
    <s v="843-73-4724"/>
    <x v="0"/>
    <x v="0"/>
    <x v="1"/>
    <x v="1"/>
    <x v="5"/>
    <n v="74.099999999999994"/>
    <x v="8"/>
    <n v="3.7050000000000125"/>
    <x v="843"/>
    <x v="25"/>
    <x v="474"/>
    <x v="1"/>
    <x v="843"/>
    <n v="4.7619047619047778"/>
    <n v="3.7050000000000125"/>
    <n v="9.1999999999999993"/>
  </r>
  <r>
    <s v="409-33-9708"/>
    <x v="0"/>
    <x v="0"/>
    <x v="1"/>
    <x v="0"/>
    <x v="5"/>
    <n v="98.48"/>
    <x v="5"/>
    <n v="9.8479999999999848"/>
    <x v="844"/>
    <x v="88"/>
    <x v="33"/>
    <x v="0"/>
    <x v="844"/>
    <n v="4.7619047619047548"/>
    <n v="9.8479999999999848"/>
    <n v="9.1999999999999993"/>
  </r>
  <r>
    <s v="658-66-3967"/>
    <x v="1"/>
    <x v="1"/>
    <x v="1"/>
    <x v="1"/>
    <x v="0"/>
    <n v="53.19"/>
    <x v="0"/>
    <n v="18.61650000000003"/>
    <x v="845"/>
    <x v="78"/>
    <x v="324"/>
    <x v="0"/>
    <x v="845"/>
    <n v="4.761904761904769"/>
    <n v="18.61650000000003"/>
    <n v="5"/>
  </r>
  <r>
    <s v="866-70-2814"/>
    <x v="2"/>
    <x v="2"/>
    <x v="1"/>
    <x v="0"/>
    <x v="1"/>
    <n v="52.79"/>
    <x v="4"/>
    <n v="26.394999999999982"/>
    <x v="846"/>
    <x v="6"/>
    <x v="452"/>
    <x v="0"/>
    <x v="846"/>
    <n v="4.7619047619047592"/>
    <n v="26.394999999999982"/>
    <n v="10"/>
  </r>
  <r>
    <s v="160-22-2687"/>
    <x v="0"/>
    <x v="0"/>
    <x v="0"/>
    <x v="0"/>
    <x v="0"/>
    <n v="95.95"/>
    <x v="1"/>
    <n v="23.987500000000011"/>
    <x v="847"/>
    <x v="54"/>
    <x v="239"/>
    <x v="0"/>
    <x v="847"/>
    <n v="4.7619047619047636"/>
    <n v="23.987500000000011"/>
    <n v="8.8000000000000007"/>
  </r>
  <r>
    <s v="895-03-6665"/>
    <x v="2"/>
    <x v="2"/>
    <x v="1"/>
    <x v="0"/>
    <x v="5"/>
    <n v="36.51"/>
    <x v="9"/>
    <n v="16.429500000000019"/>
    <x v="848"/>
    <x v="69"/>
    <x v="196"/>
    <x v="1"/>
    <x v="848"/>
    <n v="4.7619047619047672"/>
    <n v="16.429500000000019"/>
    <n v="4.2"/>
  </r>
  <r>
    <s v="770-42-8960"/>
    <x v="2"/>
    <x v="2"/>
    <x v="1"/>
    <x v="1"/>
    <x v="4"/>
    <n v="21.12"/>
    <x v="2"/>
    <n v="8.4479999999999791"/>
    <x v="849"/>
    <x v="17"/>
    <x v="475"/>
    <x v="1"/>
    <x v="849"/>
    <n v="4.7619047619047503"/>
    <n v="8.4479999999999791"/>
    <n v="6.3"/>
  </r>
  <r>
    <s v="748-45-2862"/>
    <x v="0"/>
    <x v="0"/>
    <x v="0"/>
    <x v="0"/>
    <x v="2"/>
    <n v="28.31"/>
    <x v="7"/>
    <n v="5.6620000000000061"/>
    <x v="850"/>
    <x v="37"/>
    <x v="476"/>
    <x v="1"/>
    <x v="850"/>
    <n v="4.7619047619047672"/>
    <n v="5.6620000000000061"/>
    <n v="8.1999999999999993"/>
  </r>
  <r>
    <s v="234-36-2483"/>
    <x v="2"/>
    <x v="2"/>
    <x v="1"/>
    <x v="1"/>
    <x v="0"/>
    <n v="57.59"/>
    <x v="3"/>
    <n v="17.276999999999987"/>
    <x v="851"/>
    <x v="42"/>
    <x v="477"/>
    <x v="1"/>
    <x v="851"/>
    <n v="4.7619047619047583"/>
    <n v="17.276999999999987"/>
    <n v="5.0999999999999996"/>
  </r>
  <r>
    <s v="316-66-3011"/>
    <x v="0"/>
    <x v="0"/>
    <x v="0"/>
    <x v="0"/>
    <x v="4"/>
    <n v="47.63"/>
    <x v="9"/>
    <n v="21.433499999999981"/>
    <x v="852"/>
    <x v="54"/>
    <x v="478"/>
    <x v="1"/>
    <x v="852"/>
    <n v="4.7619047619047574"/>
    <n v="21.433499999999981"/>
    <n v="5"/>
  </r>
  <r>
    <s v="848-95-6252"/>
    <x v="1"/>
    <x v="1"/>
    <x v="0"/>
    <x v="0"/>
    <x v="2"/>
    <n v="86.27"/>
    <x v="8"/>
    <n v="4.3135000000000048"/>
    <x v="853"/>
    <x v="9"/>
    <x v="38"/>
    <x v="0"/>
    <x v="853"/>
    <n v="4.7619047619047672"/>
    <n v="4.3135000000000048"/>
    <n v="7"/>
  </r>
  <r>
    <s v="840-76-5966"/>
    <x v="0"/>
    <x v="0"/>
    <x v="0"/>
    <x v="1"/>
    <x v="3"/>
    <n v="12.76"/>
    <x v="5"/>
    <n v="1.2759999999999998"/>
    <x v="854"/>
    <x v="66"/>
    <x v="191"/>
    <x v="0"/>
    <x v="854"/>
    <n v="4.761904761904761"/>
    <n v="1.2759999999999998"/>
    <n v="7.8"/>
  </r>
  <r>
    <s v="152-03-4217"/>
    <x v="2"/>
    <x v="2"/>
    <x v="1"/>
    <x v="0"/>
    <x v="2"/>
    <n v="11.28"/>
    <x v="9"/>
    <n v="5.0760000000000076"/>
    <x v="855"/>
    <x v="85"/>
    <x v="479"/>
    <x v="2"/>
    <x v="855"/>
    <n v="4.761904761904769"/>
    <n v="5.0760000000000076"/>
    <n v="4.3"/>
  </r>
  <r>
    <s v="533-66-5566"/>
    <x v="2"/>
    <x v="2"/>
    <x v="1"/>
    <x v="0"/>
    <x v="2"/>
    <n v="51.07"/>
    <x v="0"/>
    <n v="17.874500000000012"/>
    <x v="856"/>
    <x v="52"/>
    <x v="437"/>
    <x v="1"/>
    <x v="856"/>
    <n v="4.7619047619047654"/>
    <n v="17.874500000000012"/>
    <n v="7"/>
  </r>
  <r>
    <s v="124-31-1458"/>
    <x v="0"/>
    <x v="0"/>
    <x v="0"/>
    <x v="0"/>
    <x v="1"/>
    <n v="79.59"/>
    <x v="6"/>
    <n v="11.938499999999976"/>
    <x v="857"/>
    <x v="66"/>
    <x v="101"/>
    <x v="1"/>
    <x v="857"/>
    <n v="4.761904761904753"/>
    <n v="11.938499999999976"/>
    <n v="6.6"/>
  </r>
  <r>
    <s v="176-78-1170"/>
    <x v="1"/>
    <x v="1"/>
    <x v="0"/>
    <x v="1"/>
    <x v="0"/>
    <n v="33.81"/>
    <x v="6"/>
    <n v="5.0714999999999861"/>
    <x v="858"/>
    <x v="53"/>
    <x v="480"/>
    <x v="0"/>
    <x v="858"/>
    <n v="4.7619047619047494"/>
    <n v="5.0714999999999861"/>
    <n v="7.3"/>
  </r>
  <r>
    <s v="361-59-0574"/>
    <x v="2"/>
    <x v="2"/>
    <x v="0"/>
    <x v="1"/>
    <x v="3"/>
    <n v="90.53"/>
    <x v="2"/>
    <n v="36.211999999999989"/>
    <x v="859"/>
    <x v="20"/>
    <x v="481"/>
    <x v="2"/>
    <x v="859"/>
    <n v="4.7619047619047601"/>
    <n v="36.211999999999989"/>
    <n v="6.5"/>
  </r>
  <r>
    <s v="101-81-4070"/>
    <x v="1"/>
    <x v="1"/>
    <x v="0"/>
    <x v="0"/>
    <x v="0"/>
    <n v="62.82"/>
    <x v="5"/>
    <n v="6.2819999999999965"/>
    <x v="860"/>
    <x v="29"/>
    <x v="482"/>
    <x v="0"/>
    <x v="860"/>
    <n v="4.7619047619047592"/>
    <n v="6.2819999999999965"/>
    <n v="4.9000000000000004"/>
  </r>
  <r>
    <s v="631-34-1880"/>
    <x v="1"/>
    <x v="1"/>
    <x v="0"/>
    <x v="1"/>
    <x v="4"/>
    <n v="24.31"/>
    <x v="6"/>
    <n v="3.6465000000000032"/>
    <x v="861"/>
    <x v="66"/>
    <x v="268"/>
    <x v="2"/>
    <x v="861"/>
    <n v="4.7619047619047477"/>
    <n v="3.646499999999989"/>
    <n v="4.3"/>
  </r>
  <r>
    <s v="852-82-2749"/>
    <x v="0"/>
    <x v="0"/>
    <x v="1"/>
    <x v="1"/>
    <x v="3"/>
    <n v="64.59"/>
    <x v="7"/>
    <n v="12.918000000000006"/>
    <x v="862"/>
    <x v="47"/>
    <x v="483"/>
    <x v="0"/>
    <x v="862"/>
    <n v="4.7619047619047636"/>
    <n v="12.918000000000006"/>
    <n v="9.3000000000000007"/>
  </r>
  <r>
    <s v="873-14-6353"/>
    <x v="0"/>
    <x v="0"/>
    <x v="0"/>
    <x v="1"/>
    <x v="4"/>
    <n v="24.82"/>
    <x v="0"/>
    <n v="8.6869999999999834"/>
    <x v="863"/>
    <x v="69"/>
    <x v="373"/>
    <x v="2"/>
    <x v="863"/>
    <n v="4.761904761904753"/>
    <n v="8.6869999999999834"/>
    <n v="7.1"/>
  </r>
  <r>
    <s v="584-66-4073"/>
    <x v="1"/>
    <x v="1"/>
    <x v="1"/>
    <x v="1"/>
    <x v="5"/>
    <n v="56.5"/>
    <x v="8"/>
    <n v="2.8250000000000028"/>
    <x v="864"/>
    <x v="45"/>
    <x v="484"/>
    <x v="0"/>
    <x v="864"/>
    <n v="4.7619047619047663"/>
    <n v="2.8250000000000028"/>
    <n v="9.6"/>
  </r>
  <r>
    <s v="544-55-9589"/>
    <x v="2"/>
    <x v="2"/>
    <x v="0"/>
    <x v="0"/>
    <x v="1"/>
    <n v="21.43"/>
    <x v="4"/>
    <n v="10.714999999999975"/>
    <x v="865"/>
    <x v="26"/>
    <x v="159"/>
    <x v="1"/>
    <x v="865"/>
    <n v="4.7619047619047512"/>
    <n v="10.714999999999975"/>
    <n v="6.2"/>
  </r>
  <r>
    <s v="166-19-2553"/>
    <x v="0"/>
    <x v="0"/>
    <x v="0"/>
    <x v="1"/>
    <x v="3"/>
    <n v="89.06"/>
    <x v="3"/>
    <n v="26.717999999999961"/>
    <x v="866"/>
    <x v="68"/>
    <x v="111"/>
    <x v="1"/>
    <x v="866"/>
    <n v="4.7619047619047556"/>
    <n v="26.717999999999961"/>
    <n v="9.9"/>
  </r>
  <r>
    <s v="737-88-5876"/>
    <x v="0"/>
    <x v="0"/>
    <x v="0"/>
    <x v="1"/>
    <x v="2"/>
    <n v="23.29"/>
    <x v="7"/>
    <n v="4.6580000000000013"/>
    <x v="867"/>
    <x v="35"/>
    <x v="408"/>
    <x v="2"/>
    <x v="867"/>
    <n v="4.7619047619047628"/>
    <n v="4.6580000000000013"/>
    <n v="5.9"/>
  </r>
  <r>
    <s v="154-87-7367"/>
    <x v="1"/>
    <x v="1"/>
    <x v="1"/>
    <x v="1"/>
    <x v="2"/>
    <n v="65.260000000000005"/>
    <x v="2"/>
    <n v="26.103999999999928"/>
    <x v="868"/>
    <x v="20"/>
    <x v="214"/>
    <x v="0"/>
    <x v="868"/>
    <n v="4.7619047619047494"/>
    <n v="26.103999999999928"/>
    <n v="6.3"/>
  </r>
  <r>
    <s v="885-56-0389"/>
    <x v="1"/>
    <x v="1"/>
    <x v="0"/>
    <x v="1"/>
    <x v="5"/>
    <n v="52.35"/>
    <x v="8"/>
    <n v="2.6174999999999997"/>
    <x v="869"/>
    <x v="12"/>
    <x v="438"/>
    <x v="1"/>
    <x v="869"/>
    <n v="4.761904761904761"/>
    <n v="2.6174999999999997"/>
    <n v="4"/>
  </r>
  <r>
    <s v="608-05-3804"/>
    <x v="2"/>
    <x v="2"/>
    <x v="0"/>
    <x v="1"/>
    <x v="1"/>
    <n v="39.75"/>
    <x v="8"/>
    <n v="1.9874999999999972"/>
    <x v="870"/>
    <x v="6"/>
    <x v="99"/>
    <x v="1"/>
    <x v="870"/>
    <n v="4.7619047619047556"/>
    <n v="1.9874999999999972"/>
    <n v="6.1"/>
  </r>
  <r>
    <s v="448-61-3783"/>
    <x v="0"/>
    <x v="0"/>
    <x v="1"/>
    <x v="0"/>
    <x v="1"/>
    <n v="90.02"/>
    <x v="2"/>
    <n v="36.008000000000038"/>
    <x v="871"/>
    <x v="76"/>
    <x v="394"/>
    <x v="2"/>
    <x v="871"/>
    <n v="4.7619047619047672"/>
    <n v="36.008000000000038"/>
    <n v="4.5"/>
  </r>
  <r>
    <s v="761-49-0439"/>
    <x v="2"/>
    <x v="2"/>
    <x v="0"/>
    <x v="0"/>
    <x v="1"/>
    <n v="12.01"/>
    <x v="2"/>
    <n v="5.5600000000000023"/>
    <x v="872"/>
    <x v="64"/>
    <x v="79"/>
    <x v="0"/>
    <x v="872"/>
    <n v="4.7619047619047654"/>
    <n v="4.8400000000000034"/>
    <n v="8.6"/>
  </r>
  <r>
    <s v="490-95-0021"/>
    <x v="2"/>
    <x v="2"/>
    <x v="0"/>
    <x v="0"/>
    <x v="4"/>
    <n v="33.21"/>
    <x v="4"/>
    <n v="16.604999999999961"/>
    <x v="873"/>
    <x v="66"/>
    <x v="485"/>
    <x v="0"/>
    <x v="873"/>
    <n v="4.7619047619047512"/>
    <n v="16.604999999999961"/>
    <n v="6"/>
  </r>
  <r>
    <s v="115-38-7388"/>
    <x v="1"/>
    <x v="1"/>
    <x v="0"/>
    <x v="0"/>
    <x v="5"/>
    <n v="10.18"/>
    <x v="2"/>
    <n v="4.0720000000000027"/>
    <x v="874"/>
    <x v="73"/>
    <x v="423"/>
    <x v="2"/>
    <x v="874"/>
    <n v="4.7619047619047654"/>
    <n v="4.0720000000000027"/>
    <n v="9.5"/>
  </r>
  <r>
    <s v="311-13-6971"/>
    <x v="2"/>
    <x v="2"/>
    <x v="0"/>
    <x v="1"/>
    <x v="3"/>
    <n v="31.99"/>
    <x v="4"/>
    <n v="15.995000000000005"/>
    <x v="875"/>
    <x v="9"/>
    <x v="486"/>
    <x v="2"/>
    <x v="875"/>
    <n v="4.7619047619047636"/>
    <n v="15.995000000000005"/>
    <n v="9.9"/>
  </r>
  <r>
    <s v="291-55-6563"/>
    <x v="0"/>
    <x v="0"/>
    <x v="0"/>
    <x v="0"/>
    <x v="2"/>
    <n v="34.42"/>
    <x v="3"/>
    <n v="10.325999999999993"/>
    <x v="136"/>
    <x v="73"/>
    <x v="47"/>
    <x v="0"/>
    <x v="136"/>
    <n v="4.7619047619047592"/>
    <n v="10.325999999999993"/>
    <n v="7.5"/>
  </r>
  <r>
    <s v="548-48-3156"/>
    <x v="0"/>
    <x v="0"/>
    <x v="0"/>
    <x v="0"/>
    <x v="4"/>
    <n v="83.34"/>
    <x v="5"/>
    <n v="8.3340000000000032"/>
    <x v="876"/>
    <x v="35"/>
    <x v="303"/>
    <x v="1"/>
    <x v="876"/>
    <n v="4.7619047619047636"/>
    <n v="8.3340000000000032"/>
    <n v="7.6"/>
  </r>
  <r>
    <s v="460-93-5834"/>
    <x v="0"/>
    <x v="0"/>
    <x v="1"/>
    <x v="1"/>
    <x v="3"/>
    <n v="45.58"/>
    <x v="0"/>
    <n v="15.952999999999975"/>
    <x v="877"/>
    <x v="50"/>
    <x v="487"/>
    <x v="1"/>
    <x v="877"/>
    <n v="4.7619047619047548"/>
    <n v="15.952999999999975"/>
    <n v="5"/>
  </r>
  <r>
    <s v="325-89-4209"/>
    <x v="0"/>
    <x v="0"/>
    <x v="0"/>
    <x v="1"/>
    <x v="4"/>
    <n v="87.9"/>
    <x v="8"/>
    <n v="4.394999999999996"/>
    <x v="878"/>
    <x v="63"/>
    <x v="144"/>
    <x v="0"/>
    <x v="878"/>
    <n v="4.7619047619047574"/>
    <n v="4.394999999999996"/>
    <n v="6.7"/>
  </r>
  <r>
    <s v="884-80-6021"/>
    <x v="0"/>
    <x v="0"/>
    <x v="0"/>
    <x v="0"/>
    <x v="1"/>
    <n v="73.47"/>
    <x v="4"/>
    <n v="36.7349999999999"/>
    <x v="879"/>
    <x v="28"/>
    <x v="488"/>
    <x v="0"/>
    <x v="879"/>
    <n v="4.7619047619047494"/>
    <n v="36.7349999999999"/>
    <n v="9.5"/>
  </r>
  <r>
    <s v="137-74-8729"/>
    <x v="1"/>
    <x v="1"/>
    <x v="1"/>
    <x v="0"/>
    <x v="5"/>
    <n v="12.19"/>
    <x v="2"/>
    <n v="4.8760000000000048"/>
    <x v="880"/>
    <x v="45"/>
    <x v="433"/>
    <x v="0"/>
    <x v="880"/>
    <n v="4.7619047619047663"/>
    <n v="4.8760000000000048"/>
    <n v="6.8"/>
  </r>
  <r>
    <s v="880-46-5796"/>
    <x v="0"/>
    <x v="0"/>
    <x v="0"/>
    <x v="1"/>
    <x v="3"/>
    <n v="76.92"/>
    <x v="4"/>
    <n v="38.459999999999923"/>
    <x v="881"/>
    <x v="85"/>
    <x v="267"/>
    <x v="0"/>
    <x v="881"/>
    <n v="4.761904761904753"/>
    <n v="38.459999999999923"/>
    <n v="5.6"/>
  </r>
  <r>
    <s v="389-70-2397"/>
    <x v="1"/>
    <x v="1"/>
    <x v="1"/>
    <x v="0"/>
    <x v="0"/>
    <n v="83.66"/>
    <x v="1"/>
    <n v="20.91500000000002"/>
    <x v="882"/>
    <x v="81"/>
    <x v="306"/>
    <x v="1"/>
    <x v="882"/>
    <n v="4.7619047619047539"/>
    <n v="20.914999999999964"/>
    <n v="7.2"/>
  </r>
  <r>
    <s v="114-35-5271"/>
    <x v="2"/>
    <x v="2"/>
    <x v="1"/>
    <x v="0"/>
    <x v="1"/>
    <n v="57.91"/>
    <x v="2"/>
    <n v="23.164000000000044"/>
    <x v="883"/>
    <x v="13"/>
    <x v="379"/>
    <x v="1"/>
    <x v="883"/>
    <n v="4.7619047619047707"/>
    <n v="23.164000000000044"/>
    <n v="8.1"/>
  </r>
  <r>
    <s v="607-76-6216"/>
    <x v="1"/>
    <x v="1"/>
    <x v="0"/>
    <x v="0"/>
    <x v="5"/>
    <n v="92.49"/>
    <x v="1"/>
    <n v="23.122500000000002"/>
    <x v="884"/>
    <x v="22"/>
    <x v="489"/>
    <x v="2"/>
    <x v="884"/>
    <n v="4.7619047619047628"/>
    <n v="23.122500000000002"/>
    <n v="8.6"/>
  </r>
  <r>
    <s v="715-20-1673"/>
    <x v="2"/>
    <x v="2"/>
    <x v="1"/>
    <x v="1"/>
    <x v="1"/>
    <n v="28.38"/>
    <x v="1"/>
    <n v="7.0949999999999989"/>
    <x v="885"/>
    <x v="43"/>
    <x v="490"/>
    <x v="1"/>
    <x v="885"/>
    <n v="4.761904761904761"/>
    <n v="7.0949999999999989"/>
    <n v="9.4"/>
  </r>
  <r>
    <s v="811-35-1094"/>
    <x v="2"/>
    <x v="2"/>
    <x v="0"/>
    <x v="1"/>
    <x v="1"/>
    <n v="50.45"/>
    <x v="3"/>
    <n v="15.134999999999934"/>
    <x v="886"/>
    <x v="10"/>
    <x v="204"/>
    <x v="2"/>
    <x v="886"/>
    <n v="4.7619047619047592"/>
    <n v="15.134999999999991"/>
    <n v="8.9"/>
  </r>
  <r>
    <s v="699-88-1972"/>
    <x v="2"/>
    <x v="2"/>
    <x v="1"/>
    <x v="1"/>
    <x v="0"/>
    <n v="99.16"/>
    <x v="2"/>
    <n v="39.663999999999987"/>
    <x v="887"/>
    <x v="26"/>
    <x v="59"/>
    <x v="2"/>
    <x v="887"/>
    <n v="4.761904761904761"/>
    <n v="39.663999999999987"/>
    <n v="4.2"/>
  </r>
  <r>
    <s v="781-84-8059"/>
    <x v="1"/>
    <x v="1"/>
    <x v="1"/>
    <x v="1"/>
    <x v="5"/>
    <n v="60.74"/>
    <x v="0"/>
    <n v="21.259000000000015"/>
    <x v="888"/>
    <x v="68"/>
    <x v="293"/>
    <x v="0"/>
    <x v="888"/>
    <n v="4.7619047619047654"/>
    <n v="21.259000000000015"/>
    <n v="5"/>
  </r>
  <r>
    <s v="409-49-6995"/>
    <x v="1"/>
    <x v="1"/>
    <x v="0"/>
    <x v="0"/>
    <x v="4"/>
    <n v="47.27"/>
    <x v="3"/>
    <n v="14.180999999999983"/>
    <x v="889"/>
    <x v="63"/>
    <x v="79"/>
    <x v="1"/>
    <x v="889"/>
    <n v="4.7619047619047565"/>
    <n v="14.180999999999983"/>
    <n v="8.8000000000000007"/>
  </r>
  <r>
    <s v="725-54-0677"/>
    <x v="1"/>
    <x v="1"/>
    <x v="0"/>
    <x v="1"/>
    <x v="0"/>
    <n v="85.6"/>
    <x v="0"/>
    <n v="29.960000000000036"/>
    <x v="890"/>
    <x v="22"/>
    <x v="491"/>
    <x v="1"/>
    <x v="890"/>
    <n v="4.7619047619047494"/>
    <n v="29.959999999999923"/>
    <n v="5.3"/>
  </r>
  <r>
    <s v="146-09-5432"/>
    <x v="0"/>
    <x v="0"/>
    <x v="0"/>
    <x v="1"/>
    <x v="4"/>
    <n v="35.04"/>
    <x v="9"/>
    <n v="15.767999999999972"/>
    <x v="891"/>
    <x v="57"/>
    <x v="151"/>
    <x v="0"/>
    <x v="891"/>
    <n v="4.7619047619047539"/>
    <n v="15.767999999999972"/>
    <n v="4.5999999999999996"/>
  </r>
  <r>
    <s v="377-79-7592"/>
    <x v="1"/>
    <x v="1"/>
    <x v="0"/>
    <x v="0"/>
    <x v="1"/>
    <n v="44.84"/>
    <x v="9"/>
    <n v="20.17799999999994"/>
    <x v="892"/>
    <x v="78"/>
    <x v="466"/>
    <x v="2"/>
    <x v="892"/>
    <n v="4.761904761904761"/>
    <n v="20.177999999999997"/>
    <n v="7.5"/>
  </r>
  <r>
    <s v="509-10-0516"/>
    <x v="2"/>
    <x v="2"/>
    <x v="1"/>
    <x v="1"/>
    <x v="2"/>
    <n v="45.97"/>
    <x v="7"/>
    <n v="9.1940000000000168"/>
    <x v="893"/>
    <x v="57"/>
    <x v="110"/>
    <x v="0"/>
    <x v="893"/>
    <n v="4.7619047619047707"/>
    <n v="9.1940000000000168"/>
    <n v="5.0999999999999996"/>
  </r>
  <r>
    <s v="595-94-9924"/>
    <x v="0"/>
    <x v="0"/>
    <x v="0"/>
    <x v="0"/>
    <x v="0"/>
    <n v="27.73"/>
    <x v="1"/>
    <n v="6.9325000000000045"/>
    <x v="894"/>
    <x v="58"/>
    <x v="277"/>
    <x v="2"/>
    <x v="894"/>
    <n v="4.7619047619047645"/>
    <n v="6.9325000000000045"/>
    <n v="4.2"/>
  </r>
  <r>
    <s v="865-41-9075"/>
    <x v="0"/>
    <x v="0"/>
    <x v="1"/>
    <x v="1"/>
    <x v="4"/>
    <n v="11.53"/>
    <x v="0"/>
    <n v="4.0355000000000132"/>
    <x v="895"/>
    <x v="26"/>
    <x v="492"/>
    <x v="1"/>
    <x v="895"/>
    <n v="4.761904761904777"/>
    <n v="4.0355000000000132"/>
    <n v="8.1"/>
  </r>
  <r>
    <s v="545-07-8534"/>
    <x v="1"/>
    <x v="1"/>
    <x v="1"/>
    <x v="0"/>
    <x v="0"/>
    <n v="58.32"/>
    <x v="5"/>
    <n v="5.8319999999999936"/>
    <x v="896"/>
    <x v="44"/>
    <x v="179"/>
    <x v="0"/>
    <x v="896"/>
    <n v="4.7619047619047565"/>
    <n v="5.8319999999999936"/>
    <n v="6"/>
  </r>
  <r>
    <s v="118-62-1812"/>
    <x v="1"/>
    <x v="1"/>
    <x v="0"/>
    <x v="0"/>
    <x v="2"/>
    <n v="78.38"/>
    <x v="7"/>
    <n v="15.676000000000045"/>
    <x v="897"/>
    <x v="62"/>
    <x v="493"/>
    <x v="1"/>
    <x v="897"/>
    <n v="4.7619047619047752"/>
    <n v="15.676000000000045"/>
    <n v="7.9"/>
  </r>
  <r>
    <s v="450-42-3339"/>
    <x v="1"/>
    <x v="1"/>
    <x v="1"/>
    <x v="1"/>
    <x v="0"/>
    <n v="84.61"/>
    <x v="4"/>
    <n v="42.30499999999995"/>
    <x v="898"/>
    <x v="57"/>
    <x v="262"/>
    <x v="2"/>
    <x v="898"/>
    <n v="4.7619047619047556"/>
    <n v="42.30499999999995"/>
    <n v="8.8000000000000007"/>
  </r>
  <r>
    <s v="851-98-3555"/>
    <x v="2"/>
    <x v="2"/>
    <x v="1"/>
    <x v="0"/>
    <x v="0"/>
    <n v="82.88"/>
    <x v="1"/>
    <n v="20.720000000000027"/>
    <x v="899"/>
    <x v="62"/>
    <x v="402"/>
    <x v="2"/>
    <x v="899"/>
    <n v="4.7619047619047681"/>
    <n v="20.720000000000027"/>
    <n v="6.6"/>
  </r>
  <r>
    <s v="186-71-5196"/>
    <x v="0"/>
    <x v="0"/>
    <x v="0"/>
    <x v="0"/>
    <x v="4"/>
    <n v="79.540000000000006"/>
    <x v="5"/>
    <n v="7.9539999999999793"/>
    <x v="900"/>
    <x v="39"/>
    <x v="269"/>
    <x v="0"/>
    <x v="900"/>
    <n v="4.7619047619047494"/>
    <n v="7.9539999999999793"/>
    <n v="6.2"/>
  </r>
  <r>
    <s v="624-01-8356"/>
    <x v="2"/>
    <x v="2"/>
    <x v="1"/>
    <x v="0"/>
    <x v="2"/>
    <n v="49.01"/>
    <x v="4"/>
    <n v="24.505000000000052"/>
    <x v="901"/>
    <x v="3"/>
    <x v="494"/>
    <x v="2"/>
    <x v="901"/>
    <n v="4.761904761904761"/>
    <n v="24.504999999999995"/>
    <n v="4.2"/>
  </r>
  <r>
    <s v="313-66-9943"/>
    <x v="2"/>
    <x v="2"/>
    <x v="0"/>
    <x v="0"/>
    <x v="4"/>
    <n v="29.15"/>
    <x v="6"/>
    <n v="4.3725000000000165"/>
    <x v="902"/>
    <x v="39"/>
    <x v="245"/>
    <x v="2"/>
    <x v="902"/>
    <n v="4.7619047619047645"/>
    <n v="4.3725000000000023"/>
    <n v="7.3"/>
  </r>
  <r>
    <s v="151-27-8496"/>
    <x v="1"/>
    <x v="1"/>
    <x v="1"/>
    <x v="0"/>
    <x v="1"/>
    <n v="56.13"/>
    <x v="7"/>
    <n v="11.225999999999999"/>
    <x v="903"/>
    <x v="64"/>
    <x v="354"/>
    <x v="0"/>
    <x v="903"/>
    <n v="4.7619047619047619"/>
    <n v="11.225999999999999"/>
    <n v="8.6"/>
  </r>
  <r>
    <s v="453-33-6436"/>
    <x v="0"/>
    <x v="0"/>
    <x v="1"/>
    <x v="0"/>
    <x v="2"/>
    <n v="93.12"/>
    <x v="2"/>
    <n v="37.247999999999934"/>
    <x v="904"/>
    <x v="13"/>
    <x v="495"/>
    <x v="1"/>
    <x v="904"/>
    <n v="4.761904761904753"/>
    <n v="37.247999999999934"/>
    <n v="6.8"/>
  </r>
  <r>
    <s v="522-57-8364"/>
    <x v="0"/>
    <x v="0"/>
    <x v="0"/>
    <x v="1"/>
    <x v="5"/>
    <n v="51.34"/>
    <x v="2"/>
    <n v="20.535999999999945"/>
    <x v="905"/>
    <x v="82"/>
    <x v="158"/>
    <x v="0"/>
    <x v="905"/>
    <n v="4.7619047619047494"/>
    <n v="20.535999999999945"/>
    <n v="7.6"/>
  </r>
  <r>
    <s v="459-45-2396"/>
    <x v="0"/>
    <x v="0"/>
    <x v="0"/>
    <x v="0"/>
    <x v="4"/>
    <n v="99.6"/>
    <x v="6"/>
    <n v="14.940000000000055"/>
    <x v="906"/>
    <x v="6"/>
    <x v="40"/>
    <x v="1"/>
    <x v="906"/>
    <n v="4.761904761904761"/>
    <n v="14.939999999999998"/>
    <n v="5.8"/>
  </r>
  <r>
    <s v="717-96-4189"/>
    <x v="1"/>
    <x v="1"/>
    <x v="1"/>
    <x v="0"/>
    <x v="1"/>
    <n v="35.49"/>
    <x v="3"/>
    <n v="10.646999999999991"/>
    <x v="907"/>
    <x v="30"/>
    <x v="343"/>
    <x v="1"/>
    <x v="907"/>
    <n v="4.7619047619047583"/>
    <n v="10.646999999999991"/>
    <n v="4.0999999999999996"/>
  </r>
  <r>
    <s v="722-13-2115"/>
    <x v="1"/>
    <x v="1"/>
    <x v="0"/>
    <x v="1"/>
    <x v="3"/>
    <n v="42.85"/>
    <x v="8"/>
    <n v="2.1424999999999983"/>
    <x v="908"/>
    <x v="86"/>
    <x v="29"/>
    <x v="2"/>
    <x v="908"/>
    <n v="4.7619047619047583"/>
    <n v="2.1424999999999983"/>
    <n v="9.3000000000000007"/>
  </r>
  <r>
    <s v="749-81-8133"/>
    <x v="0"/>
    <x v="0"/>
    <x v="1"/>
    <x v="0"/>
    <x v="5"/>
    <n v="94.67"/>
    <x v="7"/>
    <n v="18.933999999999969"/>
    <x v="909"/>
    <x v="16"/>
    <x v="153"/>
    <x v="1"/>
    <x v="909"/>
    <n v="4.7619047619047548"/>
    <n v="18.933999999999969"/>
    <n v="6.8"/>
  </r>
  <r>
    <s v="777-67-2495"/>
    <x v="2"/>
    <x v="2"/>
    <x v="1"/>
    <x v="1"/>
    <x v="2"/>
    <n v="68.97"/>
    <x v="6"/>
    <n v="10.345500000000015"/>
    <x v="910"/>
    <x v="70"/>
    <x v="55"/>
    <x v="0"/>
    <x v="910"/>
    <n v="4.761904761904769"/>
    <n v="10.345500000000015"/>
    <n v="8.6999999999999993"/>
  </r>
  <r>
    <s v="636-98-3364"/>
    <x v="2"/>
    <x v="2"/>
    <x v="0"/>
    <x v="0"/>
    <x v="1"/>
    <n v="26.26"/>
    <x v="6"/>
    <n v="3.938999999999993"/>
    <x v="911"/>
    <x v="22"/>
    <x v="482"/>
    <x v="0"/>
    <x v="911"/>
    <n v="4.7619047619047539"/>
    <n v="3.938999999999993"/>
    <n v="6.3"/>
  </r>
  <r>
    <s v="246-55-6923"/>
    <x v="1"/>
    <x v="1"/>
    <x v="0"/>
    <x v="0"/>
    <x v="2"/>
    <n v="35.79"/>
    <x v="9"/>
    <n v="16.105500000000006"/>
    <x v="912"/>
    <x v="24"/>
    <x v="379"/>
    <x v="2"/>
    <x v="912"/>
    <n v="4.7619047619047636"/>
    <n v="16.105500000000006"/>
    <n v="5.0999999999999996"/>
  </r>
  <r>
    <s v="181-82-6255"/>
    <x v="2"/>
    <x v="2"/>
    <x v="1"/>
    <x v="0"/>
    <x v="2"/>
    <n v="16.37"/>
    <x v="3"/>
    <n v="4.9110000000000014"/>
    <x v="913"/>
    <x v="4"/>
    <x v="496"/>
    <x v="1"/>
    <x v="913"/>
    <n v="4.7619047619047628"/>
    <n v="4.9110000000000014"/>
    <n v="7"/>
  </r>
  <r>
    <s v="838-02-1821"/>
    <x v="1"/>
    <x v="1"/>
    <x v="0"/>
    <x v="0"/>
    <x v="2"/>
    <n v="12.73"/>
    <x v="5"/>
    <n v="1.2729999999999997"/>
    <x v="914"/>
    <x v="70"/>
    <x v="334"/>
    <x v="2"/>
    <x v="914"/>
    <n v="4.761904761904761"/>
    <n v="1.2729999999999997"/>
    <n v="5.2"/>
  </r>
  <r>
    <s v="887-42-0517"/>
    <x v="1"/>
    <x v="1"/>
    <x v="1"/>
    <x v="0"/>
    <x v="3"/>
    <n v="83.14"/>
    <x v="0"/>
    <n v="29.098999999999933"/>
    <x v="915"/>
    <x v="8"/>
    <x v="359"/>
    <x v="2"/>
    <x v="915"/>
    <n v="4.7619047619047512"/>
    <n v="29.098999999999933"/>
    <n v="6.6"/>
  </r>
  <r>
    <s v="457-12-0244"/>
    <x v="1"/>
    <x v="1"/>
    <x v="0"/>
    <x v="0"/>
    <x v="3"/>
    <n v="35.22"/>
    <x v="3"/>
    <n v="10.566000000000003"/>
    <x v="916"/>
    <x v="86"/>
    <x v="497"/>
    <x v="0"/>
    <x v="916"/>
    <n v="4.7619047619047628"/>
    <n v="10.566000000000003"/>
    <n v="6.5"/>
  </r>
  <r>
    <s v="226-34-0034"/>
    <x v="2"/>
    <x v="2"/>
    <x v="1"/>
    <x v="0"/>
    <x v="1"/>
    <n v="13.78"/>
    <x v="7"/>
    <n v="2.7560000000000002"/>
    <x v="917"/>
    <x v="8"/>
    <x v="498"/>
    <x v="0"/>
    <x v="917"/>
    <n v="4.7619047619047628"/>
    <n v="2.7560000000000002"/>
    <n v="9"/>
  </r>
  <r>
    <s v="321-49-7382"/>
    <x v="2"/>
    <x v="2"/>
    <x v="0"/>
    <x v="1"/>
    <x v="3"/>
    <n v="88.31"/>
    <x v="8"/>
    <n v="4.4154999999999944"/>
    <x v="918"/>
    <x v="42"/>
    <x v="180"/>
    <x v="2"/>
    <x v="918"/>
    <n v="4.7619047619047556"/>
    <n v="4.4154999999999944"/>
    <n v="5.2"/>
  </r>
  <r>
    <s v="397-25-8725"/>
    <x v="0"/>
    <x v="0"/>
    <x v="0"/>
    <x v="0"/>
    <x v="0"/>
    <n v="39.619999999999997"/>
    <x v="9"/>
    <n v="17.829000000000008"/>
    <x v="919"/>
    <x v="50"/>
    <x v="297"/>
    <x v="2"/>
    <x v="919"/>
    <n v="4.7619047619047645"/>
    <n v="17.829000000000008"/>
    <n v="6.8"/>
  </r>
  <r>
    <s v="431-66-2305"/>
    <x v="2"/>
    <x v="2"/>
    <x v="1"/>
    <x v="0"/>
    <x v="1"/>
    <n v="88.25"/>
    <x v="9"/>
    <n v="39.712499999999977"/>
    <x v="920"/>
    <x v="42"/>
    <x v="259"/>
    <x v="2"/>
    <x v="920"/>
    <n v="4.7619047619047592"/>
    <n v="39.712499999999977"/>
    <n v="7.6"/>
  </r>
  <r>
    <s v="825-94-5922"/>
    <x v="2"/>
    <x v="2"/>
    <x v="1"/>
    <x v="1"/>
    <x v="3"/>
    <n v="25.31"/>
    <x v="5"/>
    <n v="2.5310000000000059"/>
    <x v="921"/>
    <x v="22"/>
    <x v="206"/>
    <x v="0"/>
    <x v="921"/>
    <n v="4.7619047619047725"/>
    <n v="2.5310000000000059"/>
    <n v="7.2"/>
  </r>
  <r>
    <s v="641-62-7288"/>
    <x v="2"/>
    <x v="2"/>
    <x v="1"/>
    <x v="1"/>
    <x v="2"/>
    <n v="99.92"/>
    <x v="3"/>
    <n v="29.975999999999999"/>
    <x v="922"/>
    <x v="62"/>
    <x v="499"/>
    <x v="0"/>
    <x v="922"/>
    <n v="4.7619047619047619"/>
    <n v="29.975999999999999"/>
    <n v="7.1"/>
  </r>
  <r>
    <s v="756-93-1854"/>
    <x v="1"/>
    <x v="1"/>
    <x v="0"/>
    <x v="0"/>
    <x v="5"/>
    <n v="83.35"/>
    <x v="5"/>
    <n v="8.335000000000008"/>
    <x v="923"/>
    <x v="30"/>
    <x v="500"/>
    <x v="2"/>
    <x v="923"/>
    <n v="4.7619047619047663"/>
    <n v="8.335000000000008"/>
    <n v="9.5"/>
  </r>
  <r>
    <s v="243-55-8457"/>
    <x v="0"/>
    <x v="0"/>
    <x v="1"/>
    <x v="0"/>
    <x v="4"/>
    <n v="74.44"/>
    <x v="4"/>
    <n v="37.220000000000027"/>
    <x v="924"/>
    <x v="33"/>
    <x v="335"/>
    <x v="0"/>
    <x v="924"/>
    <n v="4.7619047619047654"/>
    <n v="37.220000000000027"/>
    <n v="5.0999999999999996"/>
  </r>
  <r>
    <s v="458-10-8612"/>
    <x v="1"/>
    <x v="1"/>
    <x v="1"/>
    <x v="1"/>
    <x v="0"/>
    <n v="64.08"/>
    <x v="0"/>
    <n v="22.427999999999997"/>
    <x v="671"/>
    <x v="40"/>
    <x v="62"/>
    <x v="0"/>
    <x v="671"/>
    <n v="4.7619047619047619"/>
    <n v="22.427999999999997"/>
    <n v="7.6"/>
  </r>
  <r>
    <s v="501-61-1753"/>
    <x v="2"/>
    <x v="2"/>
    <x v="1"/>
    <x v="0"/>
    <x v="2"/>
    <n v="63.15"/>
    <x v="3"/>
    <n v="18.94500000000005"/>
    <x v="925"/>
    <x v="75"/>
    <x v="181"/>
    <x v="0"/>
    <x v="925"/>
    <n v="4.7619047619047743"/>
    <n v="18.94500000000005"/>
    <n v="9.8000000000000007"/>
  </r>
  <r>
    <s v="235-06-8510"/>
    <x v="1"/>
    <x v="1"/>
    <x v="0"/>
    <x v="1"/>
    <x v="2"/>
    <n v="85.72"/>
    <x v="6"/>
    <n v="12.858000000000004"/>
    <x v="926"/>
    <x v="46"/>
    <x v="123"/>
    <x v="0"/>
    <x v="926"/>
    <n v="4.7619047619047432"/>
    <n v="12.857999999999947"/>
    <n v="5.0999999999999996"/>
  </r>
  <r>
    <s v="433-08-7822"/>
    <x v="1"/>
    <x v="1"/>
    <x v="1"/>
    <x v="0"/>
    <x v="0"/>
    <n v="78.89"/>
    <x v="0"/>
    <n v="27.611499999999978"/>
    <x v="927"/>
    <x v="0"/>
    <x v="28"/>
    <x v="0"/>
    <x v="927"/>
    <n v="4.7619047619047583"/>
    <n v="27.611499999999978"/>
    <n v="7.5"/>
  </r>
  <r>
    <s v="361-85-2571"/>
    <x v="0"/>
    <x v="0"/>
    <x v="1"/>
    <x v="0"/>
    <x v="3"/>
    <n v="89.48"/>
    <x v="1"/>
    <n v="22.369999999999948"/>
    <x v="928"/>
    <x v="73"/>
    <x v="392"/>
    <x v="1"/>
    <x v="928"/>
    <n v="4.7619047619047628"/>
    <n v="22.370000000000005"/>
    <n v="7.4"/>
  </r>
  <r>
    <s v="131-70-8179"/>
    <x v="0"/>
    <x v="0"/>
    <x v="0"/>
    <x v="0"/>
    <x v="0"/>
    <n v="92.09"/>
    <x v="6"/>
    <n v="13.813500000000033"/>
    <x v="929"/>
    <x v="21"/>
    <x v="501"/>
    <x v="1"/>
    <x v="929"/>
    <n v="4.7619047619047734"/>
    <n v="13.813500000000033"/>
    <n v="4.2"/>
  </r>
  <r>
    <s v="500-02-2261"/>
    <x v="1"/>
    <x v="1"/>
    <x v="1"/>
    <x v="0"/>
    <x v="4"/>
    <n v="57.29"/>
    <x v="3"/>
    <n v="17.187000000000012"/>
    <x v="930"/>
    <x v="76"/>
    <x v="72"/>
    <x v="0"/>
    <x v="930"/>
    <n v="4.7619047619047654"/>
    <n v="17.187000000000012"/>
    <n v="5.9"/>
  </r>
  <r>
    <s v="720-72-2436"/>
    <x v="0"/>
    <x v="0"/>
    <x v="1"/>
    <x v="1"/>
    <x v="4"/>
    <n v="66.52"/>
    <x v="7"/>
    <n v="13.30400000000003"/>
    <x v="931"/>
    <x v="22"/>
    <x v="92"/>
    <x v="0"/>
    <x v="931"/>
    <n v="4.7619047619047725"/>
    <n v="13.30400000000003"/>
    <n v="6.9"/>
  </r>
  <r>
    <s v="702-83-5291"/>
    <x v="1"/>
    <x v="1"/>
    <x v="0"/>
    <x v="1"/>
    <x v="5"/>
    <n v="99.82"/>
    <x v="9"/>
    <n v="44.919000000000096"/>
    <x v="932"/>
    <x v="39"/>
    <x v="100"/>
    <x v="1"/>
    <x v="932"/>
    <n v="4.7619047619047601"/>
    <n v="44.918999999999983"/>
    <n v="6.6"/>
  </r>
  <r>
    <s v="809-69-9497"/>
    <x v="0"/>
    <x v="0"/>
    <x v="1"/>
    <x v="0"/>
    <x v="2"/>
    <n v="45.68"/>
    <x v="4"/>
    <n v="22.839999999999975"/>
    <x v="933"/>
    <x v="64"/>
    <x v="171"/>
    <x v="0"/>
    <x v="933"/>
    <n v="4.7619047619047565"/>
    <n v="22.839999999999975"/>
    <n v="5.7"/>
  </r>
  <r>
    <s v="449-16-6770"/>
    <x v="0"/>
    <x v="0"/>
    <x v="1"/>
    <x v="1"/>
    <x v="0"/>
    <n v="50.79"/>
    <x v="1"/>
    <n v="12.697499999999991"/>
    <x v="934"/>
    <x v="88"/>
    <x v="222"/>
    <x v="2"/>
    <x v="934"/>
    <n v="4.7619047619047592"/>
    <n v="12.697499999999991"/>
    <n v="5.3"/>
  </r>
  <r>
    <s v="333-23-2632"/>
    <x v="0"/>
    <x v="0"/>
    <x v="0"/>
    <x v="1"/>
    <x v="0"/>
    <n v="10.08"/>
    <x v="0"/>
    <n v="3.5279999999999916"/>
    <x v="935"/>
    <x v="61"/>
    <x v="253"/>
    <x v="1"/>
    <x v="935"/>
    <n v="4.7619047619047512"/>
    <n v="3.5279999999999916"/>
    <n v="4.2"/>
  </r>
  <r>
    <s v="489-82-1237"/>
    <x v="0"/>
    <x v="0"/>
    <x v="1"/>
    <x v="0"/>
    <x v="1"/>
    <n v="93.88"/>
    <x v="0"/>
    <n v="32.858000000000061"/>
    <x v="936"/>
    <x v="0"/>
    <x v="159"/>
    <x v="2"/>
    <x v="936"/>
    <n v="4.7619047619047707"/>
    <n v="32.858000000000061"/>
    <n v="7.3"/>
  </r>
  <r>
    <s v="859-97-6048"/>
    <x v="1"/>
    <x v="1"/>
    <x v="0"/>
    <x v="1"/>
    <x v="1"/>
    <n v="84.25"/>
    <x v="5"/>
    <n v="8.4250000000000114"/>
    <x v="937"/>
    <x v="58"/>
    <x v="385"/>
    <x v="2"/>
    <x v="937"/>
    <n v="4.7619047619047681"/>
    <n v="8.4250000000000114"/>
    <n v="5.3"/>
  </r>
  <r>
    <s v="676-10-2200"/>
    <x v="2"/>
    <x v="2"/>
    <x v="0"/>
    <x v="1"/>
    <x v="5"/>
    <n v="53.78"/>
    <x v="8"/>
    <n v="2.6890000000000001"/>
    <x v="938"/>
    <x v="36"/>
    <x v="430"/>
    <x v="0"/>
    <x v="938"/>
    <n v="4.7619047619047619"/>
    <n v="2.6890000000000001"/>
    <n v="4.7"/>
  </r>
  <r>
    <s v="373-88-1424"/>
    <x v="1"/>
    <x v="1"/>
    <x v="0"/>
    <x v="1"/>
    <x v="2"/>
    <n v="35.81"/>
    <x v="1"/>
    <n v="8.9524999999999864"/>
    <x v="939"/>
    <x v="10"/>
    <x v="114"/>
    <x v="0"/>
    <x v="939"/>
    <n v="4.7619047619047548"/>
    <n v="8.9524999999999864"/>
    <n v="7.9"/>
  </r>
  <r>
    <s v="365-16-4334"/>
    <x v="2"/>
    <x v="2"/>
    <x v="1"/>
    <x v="0"/>
    <x v="4"/>
    <n v="26.43"/>
    <x v="2"/>
    <n v="10.572000000000003"/>
    <x v="940"/>
    <x v="7"/>
    <x v="442"/>
    <x v="0"/>
    <x v="940"/>
    <n v="4.7619047619047628"/>
    <n v="10.572000000000003"/>
    <n v="8.9"/>
  </r>
  <r>
    <s v="503-21-4385"/>
    <x v="2"/>
    <x v="2"/>
    <x v="0"/>
    <x v="1"/>
    <x v="0"/>
    <n v="39.909999999999997"/>
    <x v="6"/>
    <n v="5.9865000000000066"/>
    <x v="941"/>
    <x v="81"/>
    <x v="343"/>
    <x v="0"/>
    <x v="941"/>
    <n v="4.7619047619047556"/>
    <n v="5.9864999999999924"/>
    <n v="9.3000000000000007"/>
  </r>
  <r>
    <s v="305-89-2768"/>
    <x v="2"/>
    <x v="2"/>
    <x v="0"/>
    <x v="0"/>
    <x v="2"/>
    <n v="21.09"/>
    <x v="6"/>
    <n v="5.7150000000000034"/>
    <x v="942"/>
    <x v="51"/>
    <x v="362"/>
    <x v="0"/>
    <x v="942"/>
    <n v="4.7619047619047565"/>
    <n v="3.2849999999999966"/>
    <n v="4.7"/>
  </r>
  <r>
    <s v="574-80-1489"/>
    <x v="2"/>
    <x v="2"/>
    <x v="0"/>
    <x v="0"/>
    <x v="4"/>
    <n v="62.85"/>
    <x v="7"/>
    <n v="12.570000000000022"/>
    <x v="156"/>
    <x v="6"/>
    <x v="93"/>
    <x v="0"/>
    <x v="156"/>
    <n v="4.761904761904769"/>
    <n v="12.570000000000022"/>
    <n v="8.6999999999999993"/>
  </r>
  <r>
    <s v="784-08-0310"/>
    <x v="1"/>
    <x v="1"/>
    <x v="0"/>
    <x v="0"/>
    <x v="4"/>
    <n v="21.04"/>
    <x v="7"/>
    <n v="4.2079999999999984"/>
    <x v="943"/>
    <x v="50"/>
    <x v="139"/>
    <x v="1"/>
    <x v="943"/>
    <n v="4.7619047619047601"/>
    <n v="4.2079999999999984"/>
    <n v="7.6"/>
  </r>
  <r>
    <s v="200-40-6154"/>
    <x v="2"/>
    <x v="2"/>
    <x v="0"/>
    <x v="1"/>
    <x v="2"/>
    <n v="65.91"/>
    <x v="3"/>
    <n v="19.773000000000025"/>
    <x v="944"/>
    <x v="57"/>
    <x v="393"/>
    <x v="1"/>
    <x v="944"/>
    <n v="4.7619047619047681"/>
    <n v="19.773000000000025"/>
    <n v="5.7"/>
  </r>
  <r>
    <s v="846-10-0341"/>
    <x v="0"/>
    <x v="0"/>
    <x v="1"/>
    <x v="0"/>
    <x v="5"/>
    <n v="42.57"/>
    <x v="0"/>
    <n v="14.899499999999989"/>
    <x v="945"/>
    <x v="47"/>
    <x v="159"/>
    <x v="1"/>
    <x v="945"/>
    <n v="4.7619047619047583"/>
    <n v="14.899499999999989"/>
    <n v="6.8"/>
  </r>
  <r>
    <s v="577-34-7579"/>
    <x v="1"/>
    <x v="1"/>
    <x v="0"/>
    <x v="1"/>
    <x v="4"/>
    <n v="50.49"/>
    <x v="9"/>
    <n v="22.720499999999959"/>
    <x v="946"/>
    <x v="8"/>
    <x v="361"/>
    <x v="1"/>
    <x v="946"/>
    <n v="4.761904761904753"/>
    <n v="22.720499999999959"/>
    <n v="5.4"/>
  </r>
  <r>
    <s v="430-02-3888"/>
    <x v="2"/>
    <x v="2"/>
    <x v="1"/>
    <x v="1"/>
    <x v="1"/>
    <n v="46.02"/>
    <x v="3"/>
    <n v="13.805999999999983"/>
    <x v="947"/>
    <x v="13"/>
    <x v="57"/>
    <x v="1"/>
    <x v="947"/>
    <n v="4.7619047619047556"/>
    <n v="13.805999999999983"/>
    <n v="7.1"/>
  </r>
  <r>
    <s v="867-47-1948"/>
    <x v="1"/>
    <x v="1"/>
    <x v="1"/>
    <x v="0"/>
    <x v="2"/>
    <n v="15.08"/>
    <x v="4"/>
    <n v="15.099999999999994"/>
    <x v="948"/>
    <x v="51"/>
    <x v="348"/>
    <x v="1"/>
    <x v="948"/>
    <n v="4.7619047619047654"/>
    <n v="7.9000000000000057"/>
    <n v="7.8"/>
  </r>
  <r>
    <s v="384-59-6655"/>
    <x v="0"/>
    <x v="0"/>
    <x v="0"/>
    <x v="0"/>
    <x v="4"/>
    <n v="98.66"/>
    <x v="9"/>
    <n v="44.397000000000048"/>
    <x v="949"/>
    <x v="88"/>
    <x v="133"/>
    <x v="1"/>
    <x v="949"/>
    <n v="4.7619047619047548"/>
    <n v="44.396999999999935"/>
    <n v="8.4"/>
  </r>
  <r>
    <s v="256-58-3609"/>
    <x v="1"/>
    <x v="1"/>
    <x v="0"/>
    <x v="1"/>
    <x v="5"/>
    <n v="91.98"/>
    <x v="8"/>
    <n v="4.5989999999999895"/>
    <x v="950"/>
    <x v="79"/>
    <x v="406"/>
    <x v="1"/>
    <x v="950"/>
    <n v="4.7619047619047512"/>
    <n v="4.5989999999999895"/>
    <n v="9.8000000000000007"/>
  </r>
  <r>
    <s v="324-92-3863"/>
    <x v="0"/>
    <x v="0"/>
    <x v="0"/>
    <x v="1"/>
    <x v="1"/>
    <n v="20.89"/>
    <x v="5"/>
    <n v="2.0889999999999986"/>
    <x v="951"/>
    <x v="63"/>
    <x v="40"/>
    <x v="1"/>
    <x v="951"/>
    <n v="4.7619047619047592"/>
    <n v="2.0889999999999986"/>
    <n v="9.8000000000000007"/>
  </r>
  <r>
    <s v="593-08-5916"/>
    <x v="0"/>
    <x v="0"/>
    <x v="1"/>
    <x v="0"/>
    <x v="5"/>
    <n v="15.05"/>
    <x v="8"/>
    <n v="1.2249999999999979"/>
    <x v="952"/>
    <x v="35"/>
    <x v="502"/>
    <x v="2"/>
    <x v="952"/>
    <n v="7.5268817204300955"/>
    <n v="1.2249999999999979"/>
    <n v="7.4"/>
  </r>
  <r>
    <s v="364-34-2972"/>
    <x v="1"/>
    <x v="1"/>
    <x v="0"/>
    <x v="1"/>
    <x v="1"/>
    <n v="96.82"/>
    <x v="6"/>
    <n v="14.523000000000025"/>
    <x v="953"/>
    <x v="73"/>
    <x v="291"/>
    <x v="1"/>
    <x v="953"/>
    <n v="4.7619047619047699"/>
    <n v="14.523000000000025"/>
    <n v="6.7"/>
  </r>
  <r>
    <s v="794-42-3736"/>
    <x v="2"/>
    <x v="2"/>
    <x v="1"/>
    <x v="1"/>
    <x v="4"/>
    <n v="33.33"/>
    <x v="5"/>
    <n v="3.3329999999999984"/>
    <x v="954"/>
    <x v="53"/>
    <x v="400"/>
    <x v="2"/>
    <x v="954"/>
    <n v="4.7619047619047601"/>
    <n v="3.3329999999999984"/>
    <n v="6.4"/>
  </r>
  <r>
    <s v="172-42-8274"/>
    <x v="2"/>
    <x v="2"/>
    <x v="1"/>
    <x v="0"/>
    <x v="1"/>
    <n v="38.270000000000003"/>
    <x v="5"/>
    <n v="3.8269999999999982"/>
    <x v="955"/>
    <x v="22"/>
    <x v="503"/>
    <x v="2"/>
    <x v="955"/>
    <n v="4.7619047619047592"/>
    <n v="3.8269999999999982"/>
    <n v="5.8"/>
  </r>
  <r>
    <s v="558-60-5016"/>
    <x v="0"/>
    <x v="0"/>
    <x v="1"/>
    <x v="0"/>
    <x v="2"/>
    <n v="33.299999999999997"/>
    <x v="9"/>
    <n v="14.985000000000014"/>
    <x v="956"/>
    <x v="31"/>
    <x v="398"/>
    <x v="0"/>
    <x v="956"/>
    <n v="4.7619047619047663"/>
    <n v="14.985000000000014"/>
    <n v="7.2"/>
  </r>
  <r>
    <s v="195-06-0432"/>
    <x v="0"/>
    <x v="0"/>
    <x v="0"/>
    <x v="1"/>
    <x v="2"/>
    <n v="81.010000000000005"/>
    <x v="6"/>
    <n v="12.15149999999997"/>
    <x v="957"/>
    <x v="50"/>
    <x v="197"/>
    <x v="2"/>
    <x v="957"/>
    <n v="4.7619047619047619"/>
    <n v="12.151499999999999"/>
    <n v="9.3000000000000007"/>
  </r>
  <r>
    <s v="605-03-2706"/>
    <x v="0"/>
    <x v="0"/>
    <x v="1"/>
    <x v="0"/>
    <x v="0"/>
    <n v="15.08"/>
    <x v="6"/>
    <n v="4.5300000000000011"/>
    <x v="958"/>
    <x v="5"/>
    <x v="454"/>
    <x v="1"/>
    <x v="958"/>
    <n v="4.7619047619047707"/>
    <n v="2.3700000000000045"/>
    <n v="9.5"/>
  </r>
  <r>
    <s v="214-30-2776"/>
    <x v="2"/>
    <x v="2"/>
    <x v="0"/>
    <x v="0"/>
    <x v="1"/>
    <n v="34.49"/>
    <x v="1"/>
    <n v="8.6224999999999739"/>
    <x v="959"/>
    <x v="16"/>
    <x v="143"/>
    <x v="2"/>
    <x v="959"/>
    <n v="4.7619047619047636"/>
    <n v="8.6225000000000023"/>
    <n v="9"/>
  </r>
  <r>
    <s v="746-04-1077"/>
    <x v="2"/>
    <x v="2"/>
    <x v="0"/>
    <x v="0"/>
    <x v="4"/>
    <n v="84.63"/>
    <x v="4"/>
    <n v="42.315000000000055"/>
    <x v="960"/>
    <x v="17"/>
    <x v="150"/>
    <x v="2"/>
    <x v="960"/>
    <n v="4.7619047619047681"/>
    <n v="42.315000000000055"/>
    <n v="9"/>
  </r>
  <r>
    <s v="448-34-8700"/>
    <x v="2"/>
    <x v="2"/>
    <x v="0"/>
    <x v="1"/>
    <x v="2"/>
    <n v="36.909999999999997"/>
    <x v="0"/>
    <n v="12.918499999999995"/>
    <x v="961"/>
    <x v="34"/>
    <x v="477"/>
    <x v="0"/>
    <x v="961"/>
    <n v="4.7619047619047601"/>
    <n v="12.918499999999995"/>
    <n v="6.7"/>
  </r>
  <r>
    <s v="452-04-8808"/>
    <x v="2"/>
    <x v="2"/>
    <x v="1"/>
    <x v="1"/>
    <x v="1"/>
    <n v="87.08"/>
    <x v="0"/>
    <n v="30.478000000000065"/>
    <x v="962"/>
    <x v="53"/>
    <x v="504"/>
    <x v="1"/>
    <x v="962"/>
    <n v="4.7619047619047716"/>
    <n v="30.478000000000065"/>
    <n v="5.5"/>
  </r>
  <r>
    <s v="531-56-4728"/>
    <x v="0"/>
    <x v="0"/>
    <x v="1"/>
    <x v="1"/>
    <x v="2"/>
    <n v="80.08"/>
    <x v="6"/>
    <n v="12.012"/>
    <x v="963"/>
    <x v="48"/>
    <x v="406"/>
    <x v="1"/>
    <x v="963"/>
    <n v="4.7619047619047619"/>
    <n v="12.012"/>
    <n v="5.4"/>
  </r>
  <r>
    <s v="744-82-9138"/>
    <x v="1"/>
    <x v="1"/>
    <x v="1"/>
    <x v="1"/>
    <x v="5"/>
    <n v="86.13"/>
    <x v="5"/>
    <n v="8.6129999999999995"/>
    <x v="964"/>
    <x v="13"/>
    <x v="422"/>
    <x v="1"/>
    <x v="964"/>
    <n v="4.7619047619047619"/>
    <n v="8.6129999999999995"/>
    <n v="8.1999999999999993"/>
  </r>
  <r>
    <s v="883-69-1285"/>
    <x v="2"/>
    <x v="2"/>
    <x v="0"/>
    <x v="1"/>
    <x v="5"/>
    <n v="49.92"/>
    <x v="5"/>
    <n v="4.9919999999999902"/>
    <x v="965"/>
    <x v="43"/>
    <x v="479"/>
    <x v="2"/>
    <x v="965"/>
    <n v="4.761904761904753"/>
    <n v="4.9919999999999902"/>
    <n v="7"/>
  </r>
  <r>
    <s v="221-25-5073"/>
    <x v="0"/>
    <x v="0"/>
    <x v="1"/>
    <x v="0"/>
    <x v="4"/>
    <n v="74.66"/>
    <x v="7"/>
    <n v="14.932000000000016"/>
    <x v="966"/>
    <x v="31"/>
    <x v="17"/>
    <x v="1"/>
    <x v="966"/>
    <n v="4.7619047619047672"/>
    <n v="14.932000000000016"/>
    <n v="8.5"/>
  </r>
  <r>
    <s v="518-71-6847"/>
    <x v="2"/>
    <x v="2"/>
    <x v="0"/>
    <x v="1"/>
    <x v="4"/>
    <n v="26.06"/>
    <x v="3"/>
    <n v="11.220000000000027"/>
    <x v="967"/>
    <x v="84"/>
    <x v="50"/>
    <x v="0"/>
    <x v="967"/>
    <n v="4.7619047619047725"/>
    <n v="7.9800000000000182"/>
    <n v="4.9000000000000004"/>
  </r>
  <r>
    <s v="156-20-0370"/>
    <x v="2"/>
    <x v="2"/>
    <x v="1"/>
    <x v="0"/>
    <x v="1"/>
    <n v="25.45"/>
    <x v="8"/>
    <n v="1.2725000000000009"/>
    <x v="968"/>
    <x v="24"/>
    <x v="397"/>
    <x v="2"/>
    <x v="968"/>
    <n v="4.7619047619047654"/>
    <n v="1.2725000000000009"/>
    <n v="5.0999999999999996"/>
  </r>
  <r>
    <s v="151-33-7434"/>
    <x v="2"/>
    <x v="2"/>
    <x v="1"/>
    <x v="0"/>
    <x v="4"/>
    <n v="67.77"/>
    <x v="8"/>
    <n v="3.3885000000000076"/>
    <x v="969"/>
    <x v="87"/>
    <x v="413"/>
    <x v="2"/>
    <x v="969"/>
    <n v="4.7619047619047716"/>
    <n v="3.3885000000000076"/>
    <n v="6.5"/>
  </r>
  <r>
    <s v="728-47-9078"/>
    <x v="1"/>
    <x v="1"/>
    <x v="0"/>
    <x v="1"/>
    <x v="4"/>
    <n v="59.59"/>
    <x v="7"/>
    <n v="11.917999999999978"/>
    <x v="970"/>
    <x v="64"/>
    <x v="69"/>
    <x v="1"/>
    <x v="970"/>
    <n v="4.761904761904753"/>
    <n v="11.917999999999978"/>
    <n v="9.8000000000000007"/>
  </r>
  <r>
    <s v="809-46-1866"/>
    <x v="0"/>
    <x v="0"/>
    <x v="1"/>
    <x v="1"/>
    <x v="0"/>
    <n v="58.15"/>
    <x v="7"/>
    <n v="11.629999999999995"/>
    <x v="971"/>
    <x v="54"/>
    <x v="292"/>
    <x v="1"/>
    <x v="971"/>
    <n v="4.7619047619047601"/>
    <n v="11.629999999999995"/>
    <n v="8.4"/>
  </r>
  <r>
    <s v="139-32-4183"/>
    <x v="0"/>
    <x v="0"/>
    <x v="0"/>
    <x v="0"/>
    <x v="3"/>
    <n v="97.48"/>
    <x v="9"/>
    <n v="43.865999999999985"/>
    <x v="972"/>
    <x v="86"/>
    <x v="401"/>
    <x v="0"/>
    <x v="972"/>
    <n v="4.7619047619047601"/>
    <n v="43.865999999999985"/>
    <n v="7.4"/>
  </r>
  <r>
    <s v="148-41-7930"/>
    <x v="1"/>
    <x v="1"/>
    <x v="1"/>
    <x v="1"/>
    <x v="0"/>
    <n v="99.96"/>
    <x v="0"/>
    <n v="34.986000000000104"/>
    <x v="973"/>
    <x v="54"/>
    <x v="373"/>
    <x v="1"/>
    <x v="973"/>
    <n v="4.7619047619047601"/>
    <n v="34.98599999999999"/>
    <n v="6.1"/>
  </r>
  <r>
    <s v="189-40-5216"/>
    <x v="1"/>
    <x v="1"/>
    <x v="1"/>
    <x v="1"/>
    <x v="1"/>
    <n v="96.37"/>
    <x v="0"/>
    <n v="33.729499999999916"/>
    <x v="974"/>
    <x v="51"/>
    <x v="335"/>
    <x v="1"/>
    <x v="974"/>
    <n v="4.7619047619047503"/>
    <n v="33.729499999999916"/>
    <n v="6"/>
  </r>
  <r>
    <s v="374-38-5555"/>
    <x v="2"/>
    <x v="2"/>
    <x v="1"/>
    <x v="0"/>
    <x v="5"/>
    <n v="63.71"/>
    <x v="1"/>
    <n v="15.927500000000009"/>
    <x v="975"/>
    <x v="13"/>
    <x v="171"/>
    <x v="0"/>
    <x v="975"/>
    <n v="4.7619047619047645"/>
    <n v="15.927500000000009"/>
    <n v="8.5"/>
  </r>
  <r>
    <s v="764-44-8999"/>
    <x v="2"/>
    <x v="2"/>
    <x v="1"/>
    <x v="0"/>
    <x v="0"/>
    <n v="14.76"/>
    <x v="5"/>
    <n v="1.4759999999999991"/>
    <x v="976"/>
    <x v="67"/>
    <x v="51"/>
    <x v="0"/>
    <x v="976"/>
    <n v="4.7619047619047592"/>
    <n v="1.4759999999999991"/>
    <n v="4.3"/>
  </r>
  <r>
    <s v="552-44-5977"/>
    <x v="2"/>
    <x v="2"/>
    <x v="0"/>
    <x v="1"/>
    <x v="0"/>
    <n v="62"/>
    <x v="2"/>
    <n v="24.799999999999955"/>
    <x v="977"/>
    <x v="75"/>
    <x v="168"/>
    <x v="2"/>
    <x v="977"/>
    <n v="4.761904761904753"/>
    <n v="24.799999999999955"/>
    <n v="6.2"/>
  </r>
  <r>
    <s v="267-62-7380"/>
    <x v="1"/>
    <x v="1"/>
    <x v="0"/>
    <x v="1"/>
    <x v="1"/>
    <n v="82.34"/>
    <x v="4"/>
    <n v="41.169999999999959"/>
    <x v="978"/>
    <x v="14"/>
    <x v="505"/>
    <x v="0"/>
    <x v="978"/>
    <n v="4.7619047619047699"/>
    <n v="41.170000000000073"/>
    <n v="4.3"/>
  </r>
  <r>
    <s v="430-53-4718"/>
    <x v="2"/>
    <x v="2"/>
    <x v="0"/>
    <x v="1"/>
    <x v="0"/>
    <n v="75.37"/>
    <x v="2"/>
    <n v="30.147999999999911"/>
    <x v="979"/>
    <x v="26"/>
    <x v="52"/>
    <x v="2"/>
    <x v="979"/>
    <n v="4.7619047619047485"/>
    <n v="30.147999999999911"/>
    <n v="8.4"/>
  </r>
  <r>
    <s v="886-18-2897"/>
    <x v="0"/>
    <x v="0"/>
    <x v="1"/>
    <x v="0"/>
    <x v="4"/>
    <n v="56.56"/>
    <x v="1"/>
    <n v="14.139999999999986"/>
    <x v="980"/>
    <x v="23"/>
    <x v="216"/>
    <x v="2"/>
    <x v="980"/>
    <n v="4.7619047619047574"/>
    <n v="14.139999999999986"/>
    <n v="4.5"/>
  </r>
  <r>
    <s v="602-16-6955"/>
    <x v="2"/>
    <x v="2"/>
    <x v="1"/>
    <x v="0"/>
    <x v="3"/>
    <n v="76.599999999999994"/>
    <x v="4"/>
    <n v="38.299999999999955"/>
    <x v="981"/>
    <x v="46"/>
    <x v="397"/>
    <x v="0"/>
    <x v="981"/>
    <n v="4.7619047619047565"/>
    <n v="38.299999999999955"/>
    <n v="6"/>
  </r>
  <r>
    <s v="745-74-0715"/>
    <x v="0"/>
    <x v="0"/>
    <x v="1"/>
    <x v="1"/>
    <x v="1"/>
    <n v="58.03"/>
    <x v="5"/>
    <n v="5.8029999999999973"/>
    <x v="982"/>
    <x v="24"/>
    <x v="351"/>
    <x v="0"/>
    <x v="982"/>
    <n v="4.7619047619047592"/>
    <n v="5.8029999999999973"/>
    <n v="8.8000000000000007"/>
  </r>
  <r>
    <s v="690-01-6631"/>
    <x v="2"/>
    <x v="2"/>
    <x v="1"/>
    <x v="1"/>
    <x v="5"/>
    <n v="17.489999999999998"/>
    <x v="4"/>
    <n v="8.745000000000033"/>
    <x v="983"/>
    <x v="70"/>
    <x v="476"/>
    <x v="0"/>
    <x v="983"/>
    <n v="4.7619047619047645"/>
    <n v="8.7450000000000045"/>
    <n v="6.6"/>
  </r>
  <r>
    <s v="652-49-6720"/>
    <x v="1"/>
    <x v="1"/>
    <x v="0"/>
    <x v="0"/>
    <x v="1"/>
    <n v="60.95"/>
    <x v="8"/>
    <n v="3.0474999999999994"/>
    <x v="984"/>
    <x v="67"/>
    <x v="335"/>
    <x v="0"/>
    <x v="984"/>
    <n v="4.761904761904761"/>
    <n v="3.0474999999999994"/>
    <n v="5.9"/>
  </r>
  <r>
    <s v="233-67-5758"/>
    <x v="1"/>
    <x v="1"/>
    <x v="1"/>
    <x v="1"/>
    <x v="0"/>
    <n v="40.35"/>
    <x v="8"/>
    <n v="2.0174999999999983"/>
    <x v="985"/>
    <x v="71"/>
    <x v="190"/>
    <x v="0"/>
    <x v="985"/>
    <n v="4.7619047619047583"/>
    <n v="2.0174999999999983"/>
    <n v="6.2"/>
  </r>
  <r>
    <s v="303-96-2227"/>
    <x v="2"/>
    <x v="2"/>
    <x v="1"/>
    <x v="0"/>
    <x v="2"/>
    <n v="97.38"/>
    <x v="4"/>
    <n v="48.690000000000055"/>
    <x v="986"/>
    <x v="22"/>
    <x v="361"/>
    <x v="0"/>
    <x v="986"/>
    <n v="4.7619047619047672"/>
    <n v="48.690000000000055"/>
    <n v="4.4000000000000004"/>
  </r>
  <r>
    <s v="727-02-1313"/>
    <x v="0"/>
    <x v="0"/>
    <x v="0"/>
    <x v="1"/>
    <x v="4"/>
    <n v="31.84"/>
    <x v="8"/>
    <n v="1.5920000000000023"/>
    <x v="987"/>
    <x v="57"/>
    <x v="93"/>
    <x v="1"/>
    <x v="987"/>
    <n v="4.761904761904769"/>
    <n v="1.5920000000000023"/>
    <n v="7.7"/>
  </r>
  <r>
    <s v="347-56-2442"/>
    <x v="0"/>
    <x v="0"/>
    <x v="1"/>
    <x v="1"/>
    <x v="2"/>
    <n v="65.819999999999993"/>
    <x v="8"/>
    <n v="3.291000000000011"/>
    <x v="988"/>
    <x v="70"/>
    <x v="439"/>
    <x v="1"/>
    <x v="988"/>
    <n v="4.7619047619047778"/>
    <n v="3.291000000000011"/>
    <n v="4.0999999999999996"/>
  </r>
  <r>
    <s v="849-09-3807"/>
    <x v="0"/>
    <x v="0"/>
    <x v="0"/>
    <x v="0"/>
    <x v="5"/>
    <n v="88.34"/>
    <x v="0"/>
    <n v="30.918999999999983"/>
    <x v="989"/>
    <x v="67"/>
    <x v="360"/>
    <x v="1"/>
    <x v="989"/>
    <n v="4.7619047619047592"/>
    <n v="30.918999999999983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gridDropZones="1" multipleFieldFilters="0" chartFormat="9">
  <location ref="J15:L20" firstHeaderRow="1" firstDataRow="2" firstDataCol="1"/>
  <pivotFields count="19"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2" outline="0" showAll="0"/>
    <pivotField compact="0" numFmtId="2" outline="0" showAll="0"/>
    <pivotField compact="0" numFmtId="14" outline="0" showAll="0"/>
    <pivotField compact="0" numFmtId="20" outline="0" showAll="0"/>
    <pivotField compact="0" outline="0" showAll="0"/>
    <pivotField compact="0" outline="0" showAll="0"/>
    <pivotField compact="0" numFmtId="2" outline="0" showAll="0"/>
    <pivotField dataField="1" compact="0" numFmtId="2" outline="0" showAll="0"/>
    <pivotField compact="0" outline="0" showAll="0"/>
    <pivotField compact="0" outline="0" showAll="0" defaultSubtotal="0"/>
    <pivotField compact="0" outlin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-во товаров" fld="7" baseField="1" baseItem="0" numFmtId="3"/>
    <dataField name="Общая прибыль" fld="15" baseField="1" baseItem="0" numFmtId="3"/>
  </dataFields>
  <formats count="23"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-2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1" type="button" dataOnly="0" labelOnly="1" outline="0" axis="axisRow" fieldPosition="0"/>
    </format>
    <format dxfId="11">
      <pivotArea dataOnly="0" labelOnly="1" outline="0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field="-2" type="button" dataOnly="0" labelOnly="1" outline="0" axis="axisCol" fieldPosition="0"/>
    </format>
    <format dxfId="4">
      <pivotArea type="topRight" dataOnly="0" labelOnly="1" outline="0" fieldPosition="0"/>
    </format>
    <format dxfId="3">
      <pivotArea field="1" type="button" dataOnly="0" labelOnly="1" outline="0" axis="axisRow" fieldPosition="0"/>
    </format>
    <format dxfId="2">
      <pivotArea dataOnly="0" labelOnly="1" outline="0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4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gridDropZones="1" multipleFieldFilters="0" chartFormat="24">
  <location ref="A15:D23" firstHeaderRow="1" firstDataRow="2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5"/>
        <item x="4"/>
        <item x="0"/>
        <item x="2"/>
        <item x="3"/>
        <item t="default"/>
      </items>
    </pivotField>
    <pivotField compact="0" outline="0" showAll="0"/>
    <pivotField compact="0" outline="0" showAll="0"/>
    <pivotField compact="0" numFmtId="2" outline="0" showAll="0"/>
    <pivotField dataField="1" compact="0" numFmtId="2" outline="0" showAll="0"/>
    <pivotField compact="0" numFmtId="14" outline="0" showAll="0"/>
    <pivotField compact="0" numFmtId="20" outline="0" showAll="0"/>
    <pivotField compact="0" outline="0" showAll="0"/>
    <pivotField dataField="1" compact="0" outline="0" showAll="0"/>
    <pivotField compact="0" numFmtId="2" outline="0" showAll="0"/>
    <pivotField dataField="1" compact="0" numFmtId="2" outline="0" showAll="0"/>
    <pivotField compact="0" outline="0" showAll="0"/>
    <pivotField compact="0" outline="0" showAll="0" defaultSubtotal="0"/>
    <pivotField compact="0" outline="0" showAll="0" defaultSubtota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Общая выручка" fld="9" baseField="5" baseItem="0" numFmtId="3"/>
    <dataField name="Общая себестоимость" fld="13" baseField="5" baseItem="0"/>
    <dataField name="Общая прибыль" fld="15" baseField="5" baseItem="0"/>
  </dataFields>
  <formats count="22">
    <format dxfId="44">
      <pivotArea outline="0" collapsedLevelsAreSubtotals="1" fieldPosition="0"/>
    </format>
    <format dxfId="43">
      <pivotArea outline="0" collapsedLevelsAreSubtotals="1" fieldPosition="0"/>
    </format>
    <format dxfId="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-2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5" type="button" dataOnly="0" labelOnly="1" outline="0" axis="axisRow" fieldPosition="0"/>
    </format>
    <format dxfId="35">
      <pivotArea dataOnly="0" labelOnly="1" outline="0" fieldPosition="0">
        <references count="1">
          <reference field="5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">
      <pivotArea dataOnly="0" outline="0" fieldPosition="0">
        <references count="1">
          <reference field="4294967294" count="1">
            <x v="1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-2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5" type="button" dataOnly="0" labelOnly="1" outline="0" axis="axisRow" fieldPosition="0"/>
    </format>
    <format dxfId="25">
      <pivotArea dataOnly="0" labelOnly="1" outline="0" fieldPosition="0">
        <references count="1">
          <reference field="5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gridDropZones="1" multipleFieldFilters="0" chartFormat="28">
  <location ref="A3:D11" firstHeaderRow="1" firstDataRow="2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7">
        <item x="1"/>
        <item x="5"/>
        <item x="4"/>
        <item x="0"/>
        <item x="2"/>
        <item x="3"/>
        <item t="default"/>
      </items>
    </pivotField>
    <pivotField compact="0" outline="0" showAll="0"/>
    <pivotField compact="0" outline="0" showAll="0"/>
    <pivotField compact="0" numFmtId="2" outline="0" showAll="0"/>
    <pivotField dataField="1" compact="0" numFmtId="2" outline="0" showAll="0"/>
    <pivotField compact="0" numFmtId="14" outline="0" showAll="0"/>
    <pivotField compact="0" numFmtId="2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outline="0" showAll="0"/>
    <pivotField compact="0" outline="0" showAll="0" defaultSubtotal="0"/>
    <pivotField compact="0" outline="0" showAll="0" defaultSubtota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Общая выручка" fld="9" baseField="5" baseItem="0" numFmtId="3"/>
  </dataFields>
  <formats count="23">
    <format dxfId="67">
      <pivotArea outline="0" collapsedLevelsAreSubtotals="1" fieldPosition="0"/>
    </format>
    <format dxfId="66">
      <pivotArea outline="0" collapsedLevelsAreSubtotals="1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type="origin" dataOnly="0" labelOnly="1" outline="0" fieldPosition="0"/>
    </format>
    <format dxfId="62">
      <pivotArea field="4" type="button" dataOnly="0" labelOnly="1" outline="0" axis="axisCol" fieldPosition="0"/>
    </format>
    <format dxfId="61">
      <pivotArea type="topRight" dataOnly="0" labelOnly="1" outline="0" fieldPosition="0"/>
    </format>
    <format dxfId="60">
      <pivotArea field="5" type="button" dataOnly="0" labelOnly="1" outline="0" axis="axisRow" fieldPosition="0"/>
    </format>
    <format dxfId="59">
      <pivotArea dataOnly="0" labelOnly="1" outline="0" fieldPosition="0">
        <references count="1">
          <reference field="5" count="0"/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4" count="0"/>
        </references>
      </pivotArea>
    </format>
    <format dxfId="56">
      <pivotArea dataOnly="0" labelOnly="1" grandCol="1" outline="0" fieldPosition="0"/>
    </format>
    <format dxfId="55">
      <pivotArea type="origin" dataOnly="0" labelOnly="1" outline="0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field="4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5" type="button" dataOnly="0" labelOnly="1" outline="0" axis="axisRow" fieldPosition="0"/>
    </format>
    <format dxfId="48">
      <pivotArea dataOnly="0" labelOnly="1" outline="0" fieldPosition="0">
        <references count="1">
          <reference field="5" count="0"/>
        </references>
      </pivotArea>
    </format>
    <format dxfId="47">
      <pivotArea dataOnly="0" labelOnly="1" grandRow="1" outline="0" fieldPosition="0"/>
    </format>
    <format dxfId="46">
      <pivotArea dataOnly="0" labelOnly="1" outline="0" fieldPosition="0">
        <references count="1">
          <reference field="4" count="0"/>
        </references>
      </pivotArea>
    </format>
    <format dxfId="45">
      <pivotArea dataOnly="0" labelOnly="1" grandCol="1" outline="0" fieldPosition="0"/>
    </format>
  </formats>
  <chartFormats count="7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7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7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10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gridDropZones="1" multipleFieldFilters="0" chartFormat="8">
  <location ref="F27:H40" firstHeaderRow="2" firstDataRow="2" firstDataCol="2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dataField="1" compact="0" numFmtId="2" outline="0" showAll="0"/>
    <pivotField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compact="0" numFmtId="20" outline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compact="0" outline="0" showAll="0"/>
    <pivotField compact="0" outline="0" showAll="0"/>
    <pivotField compact="0" numFmtId="2" outline="0" showAll="0"/>
    <pivotField compact="0" numFmtId="2" outline="0" showAll="0"/>
    <pivotField compact="0" outline="0" showAll="0"/>
    <pivotField axis="axisRow" compact="0" outline="0"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7"/>
    <field x="11"/>
  </rowFields>
  <rowItems count="12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Общая выручка" fld="9" baseField="17" baseItem="11" numFmtId="3"/>
  </dataFields>
  <formats count="21">
    <format dxfId="88">
      <pivotArea outline="0" collapsedLevelsAreSubtotals="1" fieldPosition="0"/>
    </format>
    <format dxfId="87">
      <pivotArea outline="0" collapsedLevelsAreSubtotals="1" fieldPosition="0"/>
    </format>
    <format dxfId="86">
      <pivotArea outline="0" collapsedLevelsAreSubtotals="1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type="topRight" dataOnly="0" labelOnly="1" outline="0" fieldPosition="0"/>
    </format>
    <format dxfId="81">
      <pivotArea field="17" type="button" dataOnly="0" labelOnly="1" outline="0" axis="axisRow" fieldPosition="0"/>
    </format>
    <format dxfId="80">
      <pivotArea field="11" type="button" dataOnly="0" labelOnly="1" outline="0" axis="axisRow" fieldPosition="1"/>
    </format>
    <format dxfId="79">
      <pivotArea dataOnly="0" labelOnly="1" outline="0" fieldPosition="0">
        <references count="1">
          <reference field="17" count="11"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78">
      <pivotArea dataOnly="0" labelOnly="1" grandRow="1" outline="0" fieldPosition="0"/>
    </format>
    <format dxfId="77">
      <pivotArea type="topRight" dataOnly="0" labelOnly="1" outline="0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type="origin" dataOnly="0" labelOnly="1" outline="0" fieldPosition="0"/>
    </format>
    <format dxfId="73">
      <pivotArea type="topRight" dataOnly="0" labelOnly="1" outline="0" fieldPosition="0"/>
    </format>
    <format dxfId="72">
      <pivotArea field="17" type="button" dataOnly="0" labelOnly="1" outline="0" axis="axisRow" fieldPosition="0"/>
    </format>
    <format dxfId="71">
      <pivotArea field="11" type="button" dataOnly="0" labelOnly="1" outline="0" axis="axisRow" fieldPosition="1"/>
    </format>
    <format dxfId="70">
      <pivotArea dataOnly="0" labelOnly="1" outline="0" fieldPosition="0">
        <references count="1">
          <reference field="17" count="11"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69">
      <pivotArea dataOnly="0" labelOnly="1" grandRow="1" outline="0" fieldPosition="0"/>
    </format>
    <format dxfId="68">
      <pivotArea type="topRight" dataOnly="0" labelOnly="1" outline="0" fieldPosition="0"/>
    </format>
  </formats>
  <conditionalFormats count="2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1" count="44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4"/>
              <x v="15"/>
              <x v="16"/>
              <x v="18"/>
              <x v="19"/>
              <x v="20"/>
              <x v="21"/>
              <x v="22"/>
              <x v="23"/>
              <x v="24"/>
              <x v="25"/>
              <x v="28"/>
              <x v="31"/>
              <x v="32"/>
              <x v="34"/>
              <x v="36"/>
              <x v="37"/>
              <x v="38"/>
              <x v="39"/>
              <x v="42"/>
              <x v="43"/>
              <x v="44"/>
              <x v="45"/>
              <x v="46"/>
              <x v="49"/>
              <x v="51"/>
              <x v="52"/>
              <x v="54"/>
              <x v="56"/>
              <x v="57"/>
              <x v="58"/>
              <x v="59"/>
              <x v="60"/>
            </reference>
            <reference field="17" count="1" selected="0">
              <x v="19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1" count="43" selected="0">
              <x v="1"/>
              <x v="4"/>
              <x v="5"/>
              <x v="6"/>
              <x v="7"/>
              <x v="9"/>
              <x v="12"/>
              <x v="13"/>
              <x v="14"/>
              <x v="15"/>
              <x v="16"/>
              <x v="17"/>
              <x v="20"/>
              <x v="21"/>
              <x v="22"/>
              <x v="23"/>
              <x v="25"/>
              <x v="26"/>
              <x v="27"/>
              <x v="28"/>
              <x v="29"/>
              <x v="30"/>
              <x v="31"/>
              <x v="32"/>
              <x v="34"/>
              <x v="36"/>
              <x v="37"/>
              <x v="39"/>
              <x v="41"/>
              <x v="42"/>
              <x v="43"/>
              <x v="44"/>
              <x v="45"/>
              <x v="46"/>
              <x v="48"/>
              <x v="49"/>
              <x v="50"/>
              <x v="51"/>
              <x v="52"/>
              <x v="54"/>
              <x v="56"/>
              <x v="58"/>
              <x v="59"/>
            </reference>
            <reference field="17" count="1" selected="0">
              <x v="15"/>
            </reference>
          </references>
        </pivotArea>
      </pivotAreas>
    </conditionalFormat>
  </conditionalFormats>
  <chartFormats count="1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 таблица6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gridDropZones="1" multipleFieldFilters="0">
  <location ref="I3:J7" firstHeaderRow="2" firstDataRow="2" firstDataCol="1"/>
  <pivotFields count="19"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numFmtId="20" outline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compact="0" outline="0" showAll="0"/>
    <pivotField compact="0" outline="0" showAll="0"/>
    <pivotField compact="0" numFmtId="2" outline="0" showAll="0"/>
    <pivotField compact="0" numFmtId="2" outline="0" showAll="0"/>
    <pivotField compact="0" outline="0" showAll="0"/>
    <pivotField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Общая выручка по типу клиента" fld="0" subtotal="count" baseField="3" baseItem="0"/>
  </dataFields>
  <formats count="18">
    <format dxfId="106">
      <pivotArea outline="0" collapsedLevelsAreSubtotals="1" fieldPosition="0"/>
    </format>
    <format dxfId="105">
      <pivotArea outline="0" collapsedLevelsAreSubtotals="1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type="topRight" dataOnly="0" labelOnly="1" outline="0" fieldPosition="0"/>
    </format>
    <format dxfId="100">
      <pivotArea field="3" type="button" dataOnly="0" labelOnly="1" outline="0" axis="axisRow" fieldPosition="0"/>
    </format>
    <format dxfId="99">
      <pivotArea dataOnly="0" labelOnly="1" outline="0" fieldPosition="0">
        <references count="1">
          <reference field="3" count="0"/>
        </references>
      </pivotArea>
    </format>
    <format dxfId="98">
      <pivotArea dataOnly="0" labelOnly="1" grandRow="1" outline="0" fieldPosition="0"/>
    </format>
    <format dxfId="97">
      <pivotArea type="topRight" dataOnly="0" labelOnly="1" outline="0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type="topRight" dataOnly="0" labelOnly="1" outline="0" fieldPosition="0"/>
    </format>
    <format dxfId="92">
      <pivotArea field="3" type="button" dataOnly="0" labelOnly="1" outline="0" axis="axisRow" fieldPosition="0"/>
    </format>
    <format dxfId="91">
      <pivotArea dataOnly="0" labelOnly="1" outline="0" fieldPosition="0">
        <references count="1">
          <reference field="3" count="0"/>
        </references>
      </pivotArea>
    </format>
    <format dxfId="90">
      <pivotArea dataOnly="0" labelOnly="1" grandRow="1" outline="0" fieldPosition="0"/>
    </format>
    <format dxfId="89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Сводная таблица7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gridDropZones="1" multipleFieldFilters="0" chartFormat="12">
  <location ref="A27:B32" firstHeaderRow="2" firstDataRow="2" firstDataCol="1"/>
  <pivotFields count="1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14" outline="0" showAll="0"/>
    <pivotField compact="0" numFmtId="2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numFmtId="2" outline="0" showAll="0"/>
    <pivotField compact="0" numFmtId="2" outline="0" showAll="0"/>
    <pivotField compact="0" outline="0" showAll="0"/>
    <pivotField compact="0" outline="0" showAll="0" defaultSubtotal="0"/>
    <pivotField compact="0" outline="0" showAll="0" defaultSubtota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 клиентов" fld="0" subtotal="count" baseField="12" baseItem="0"/>
  </dataFields>
  <formats count="16">
    <format dxfId="122">
      <pivotArea type="all" dataOnly="0" outline="0" fieldPosition="0"/>
    </format>
    <format dxfId="121">
      <pivotArea outline="0" collapsedLevelsAreSubtotals="1" fieldPosition="0"/>
    </format>
    <format dxfId="120">
      <pivotArea type="origin" dataOnly="0" labelOnly="1" outline="0" fieldPosition="0"/>
    </format>
    <format dxfId="119">
      <pivotArea type="topRight" dataOnly="0" labelOnly="1" outline="0" fieldPosition="0"/>
    </format>
    <format dxfId="118">
      <pivotArea field="12" type="button" dataOnly="0" labelOnly="1" outline="0" axis="axisRow" fieldPosition="0"/>
    </format>
    <format dxfId="117">
      <pivotArea dataOnly="0" labelOnly="1" outline="0" fieldPosition="0">
        <references count="1">
          <reference field="12" count="0"/>
        </references>
      </pivotArea>
    </format>
    <format dxfId="116">
      <pivotArea dataOnly="0" labelOnly="1" grandRow="1" outline="0" fieldPosition="0"/>
    </format>
    <format dxfId="115">
      <pivotArea type="topRight" dataOnly="0" labelOnly="1" outline="0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type="origin" dataOnly="0" labelOnly="1" outline="0" fieldPosition="0"/>
    </format>
    <format dxfId="111">
      <pivotArea type="topRight" dataOnly="0" labelOnly="1" outline="0" fieldPosition="0"/>
    </format>
    <format dxfId="110">
      <pivotArea field="12" type="button" dataOnly="0" labelOnly="1" outline="0" axis="axisRow" fieldPosition="0"/>
    </format>
    <format dxfId="109">
      <pivotArea dataOnly="0" labelOnly="1" outline="0" fieldPosition="0">
        <references count="1">
          <reference field="12" count="0"/>
        </references>
      </pivotArea>
    </format>
    <format dxfId="108">
      <pivotArea dataOnly="0" labelOnly="1" grandRow="1" outline="0" fieldPosition="0"/>
    </format>
    <format dxfId="107">
      <pivotArea type="topRight" dataOnly="0" labelOnly="1" outline="0" fieldPosition="0"/>
    </format>
  </formats>
  <chartFormats count="4">
    <chartFormat chart="11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Сводная таблица8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gridDropZones="1" multipleFieldFilters="0" chartFormat="20">
  <location ref="J27:K41" firstHeaderRow="2" firstDataRow="2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dataField="1" compact="0" numFmtId="2" outline="0" showAll="0"/>
    <pivotField compact="0" numFmtId="14" outline="0" showAll="0"/>
    <pivotField compact="0" numFmtId="2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outline="0" showAll="0"/>
    <pivotField compact="0" outline="0" showAll="0" defaultSubtota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Общая выручка" fld="9" baseField="18" baseItem="1" numFmtId="3"/>
  </dataFields>
  <formats count="18">
    <format dxfId="140">
      <pivotArea outline="0" collapsedLevelsAreSubtotals="1" fieldPosition="0"/>
    </format>
    <format dxfId="139">
      <pivotArea outline="0" collapsedLevelsAreSubtotals="1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type="origin" dataOnly="0" labelOnly="1" outline="0" fieldPosition="0"/>
    </format>
    <format dxfId="135">
      <pivotArea type="topRight" dataOnly="0" labelOnly="1" outline="0" fieldPosition="0"/>
    </format>
    <format dxfId="134">
      <pivotArea field="18" type="button" dataOnly="0" labelOnly="1" outline="0" axis="axisRow" fieldPosition="0"/>
    </format>
    <format dxfId="133">
      <pivotArea dataOnly="0" labelOnly="1" outline="0" fieldPosition="0">
        <references count="1">
          <reference field="1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32">
      <pivotArea dataOnly="0" labelOnly="1" grandRow="1" outline="0" fieldPosition="0"/>
    </format>
    <format dxfId="131">
      <pivotArea type="topRight" dataOnly="0" labelOnly="1" outline="0" fieldPosition="0"/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type="origin" dataOnly="0" labelOnly="1" outline="0" fieldPosition="0"/>
    </format>
    <format dxfId="127">
      <pivotArea type="topRight" dataOnly="0" labelOnly="1" outline="0" fieldPosition="0"/>
    </format>
    <format dxfId="126">
      <pivotArea field="18" type="button" dataOnly="0" labelOnly="1" outline="0" axis="axisRow" fieldPosition="0"/>
    </format>
    <format dxfId="125">
      <pivotArea dataOnly="0" labelOnly="1" outline="0" fieldPosition="0">
        <references count="1">
          <reference field="1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24">
      <pivotArea dataOnly="0" labelOnly="1" grandRow="1" outline="0" fieldPosition="0"/>
    </format>
    <format dxfId="123">
      <pivotArea type="topRight" dataOnly="0" labelOnly="1" outline="0" fieldPosition="0"/>
    </format>
  </formats>
  <chartFormats count="3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gridDropZones="1" multipleFieldFilters="0" chartFormat="19">
  <location ref="F3:G7" firstHeaderRow="2" firstDataRow="2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2" outline="0" showAll="0"/>
    <pivotField dataField="1" compact="0" numFmtId="2" outline="0" showAll="0"/>
    <pivotField compact="0" numFmtId="14" outline="0" showAll="0"/>
    <pivotField compact="0" numFmtId="2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outline="0" showAll="0"/>
    <pivotField compact="0" outline="0" showAll="0" defaultSubtotal="0"/>
    <pivotField compact="0" outline="0" showAll="0" defaultSubtota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Общая выручка по гендеру" fld="9" baseField="4" baseItem="0" numFmtId="3"/>
  </dataFields>
  <formats count="19">
    <format dxfId="159">
      <pivotArea outline="0" collapsedLevelsAreSubtotals="1" fieldPosition="0"/>
    </format>
    <format dxfId="158">
      <pivotArea outline="0" collapsedLevelsAreSubtotals="1" fieldPosition="0"/>
    </format>
    <format dxfId="157">
      <pivotArea outline="0" collapsedLevelsAreSubtotals="1" fieldPosition="0"/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type="origin" dataOnly="0" labelOnly="1" outline="0" fieldPosition="0"/>
    </format>
    <format dxfId="153">
      <pivotArea type="topRight" dataOnly="0" labelOnly="1" outline="0" fieldPosition="0"/>
    </format>
    <format dxfId="152">
      <pivotArea field="4" type="button" dataOnly="0" labelOnly="1" outline="0" axis="axisRow" fieldPosition="0"/>
    </format>
    <format dxfId="151">
      <pivotArea dataOnly="0" labelOnly="1" outline="0" fieldPosition="0">
        <references count="1">
          <reference field="4" count="0"/>
        </references>
      </pivotArea>
    </format>
    <format dxfId="150">
      <pivotArea dataOnly="0" labelOnly="1" grandRow="1" outline="0" fieldPosition="0"/>
    </format>
    <format dxfId="149">
      <pivotArea type="topRight" dataOnly="0" labelOnly="1" outline="0" fieldPosition="0"/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type="origin" dataOnly="0" labelOnly="1" outline="0" fieldPosition="0"/>
    </format>
    <format dxfId="145">
      <pivotArea type="topRight" dataOnly="0" labelOnly="1" outline="0" fieldPosition="0"/>
    </format>
    <format dxfId="144">
      <pivotArea field="4" type="button" dataOnly="0" labelOnly="1" outline="0" axis="axisRow" fieldPosition="0"/>
    </format>
    <format dxfId="143">
      <pivotArea dataOnly="0" labelOnly="1" outline="0" fieldPosition="0">
        <references count="1">
          <reference field="4" count="0"/>
        </references>
      </pivotArea>
    </format>
    <format dxfId="142">
      <pivotArea dataOnly="0" labelOnly="1" grandRow="1" outline="0" fieldPosition="0"/>
    </format>
    <format dxfId="141">
      <pivotArea type="topRight" dataOnly="0" labelOnly="1" outline="0" fieldPosition="0"/>
    </format>
  </formats>
  <chartFormats count="3">
    <chartFormat chart="18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8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gridDropZones="1" multipleFieldFilters="0" chartFormat="38">
  <location ref="F15:H20" firstHeaderRow="1" firstDataRow="2" firstDataCol="1"/>
  <pivotFields count="19"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2" outline="0" showAll="0"/>
    <pivotField compact="0" numFmtId="2" outline="0" showAll="0"/>
    <pivotField compact="0" numFmtId="14" outline="0" showAll="0"/>
    <pivotField compact="0" numFmtId="20" outline="0" showAll="0"/>
    <pivotField compact="0" outline="0" showAll="0"/>
    <pivotField compact="0" outline="0" showAll="0"/>
    <pivotField compact="0" numFmtId="2" outline="0" showAll="0"/>
    <pivotField dataField="1" compact="0" numFmtId="2" outline="0" showAll="0"/>
    <pivotField compact="0" outline="0" showAll="0"/>
    <pivotField compact="0" outline="0" showAll="0" defaultSubtotal="0"/>
    <pivotField compact="0" outlin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-во товаров" fld="7" baseField="2" baseItem="0" numFmtId="3"/>
    <dataField name="Общая прибыль" fld="15" baseField="2" baseItem="0" numFmtId="3"/>
  </dataFields>
  <formats count="23">
    <format dxfId="1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type="origin" dataOnly="0" labelOnly="1" outline="0" fieldPosition="0"/>
    </format>
    <format dxfId="174">
      <pivotArea field="-2" type="button" dataOnly="0" labelOnly="1" outline="0" axis="axisCol" fieldPosition="0"/>
    </format>
    <format dxfId="173">
      <pivotArea type="topRight" dataOnly="0" labelOnly="1" outline="0" fieldPosition="0"/>
    </format>
    <format dxfId="172">
      <pivotArea field="2" type="button" dataOnly="0" labelOnly="1" outline="0" axis="axisRow" fieldPosition="0"/>
    </format>
    <format dxfId="171">
      <pivotArea dataOnly="0" labelOnly="1" outline="0" fieldPosition="0">
        <references count="1">
          <reference field="2" count="0"/>
        </references>
      </pivotArea>
    </format>
    <format dxfId="170">
      <pivotArea dataOnly="0" labelOnly="1" grandRow="1" outline="0" fieldPosition="0"/>
    </format>
    <format dxfId="1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type="origin" dataOnly="0" labelOnly="1" outline="0" fieldPosition="0"/>
    </format>
    <format dxfId="165">
      <pivotArea field="-2" type="button" dataOnly="0" labelOnly="1" outline="0" axis="axisCol" fieldPosition="0"/>
    </format>
    <format dxfId="164">
      <pivotArea type="topRight" dataOnly="0" labelOnly="1" outline="0" fieldPosition="0"/>
    </format>
    <format dxfId="163">
      <pivotArea field="2" type="button" dataOnly="0" labelOnly="1" outline="0" axis="axisRow" fieldPosition="0"/>
    </format>
    <format dxfId="162">
      <pivotArea dataOnly="0" labelOnly="1" outline="0" fieldPosition="0">
        <references count="1">
          <reference field="2" count="0"/>
        </references>
      </pivotArea>
    </format>
    <format dxfId="161">
      <pivotArea dataOnly="0" labelOnly="1" grandRow="1" outline="0" fieldPosition="0"/>
    </format>
    <format dxfId="1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3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Таблица1" displayName="Таблица1" ref="A1:Q1001" totalsRowShown="0">
  <autoFilter ref="A1:Q1001"/>
  <tableColumns count="17">
    <tableColumn id="1" name="Invoice ID"/>
    <tableColumn id="2" name="Branch"/>
    <tableColumn id="3" name="City"/>
    <tableColumn id="4" name="Customer type"/>
    <tableColumn id="5" name="Gender"/>
    <tableColumn id="6" name="Product line"/>
    <tableColumn id="7" name="Unit price">
      <calculatedColumnFormula>VALUE(IF(AND(ISERR(FIND(".",'Raw Data'!G2)),LEN('Raw Data'!G2)=5), IF(YEAR('Raw Data'!G2)=2026,CONCATENATE(DAY('Raw Data'!G2),".",IF(LEN(MONTH('Raw Data'!G2))=2,MONTH('Raw Data'!G2),CONCATENATE("0",MONTH('Raw Data'!G2)))),CONCATENATE(MONTH('Raw Data'!G2),".",RIGHT(YEAR('Raw Data'!G2),2))),'Raw Data'!G2))</calculatedColumnFormula>
    </tableColumn>
    <tableColumn id="8" name="Quantity">
      <calculatedColumnFormula>'Raw Data'!H2</calculatedColumnFormula>
    </tableColumn>
    <tableColumn id="9" name="Tax 5%" dataDxfId="188">
      <calculatedColumnFormula>J2-G2*H2</calculatedColumnFormula>
    </tableColumn>
    <tableColumn id="10" name="Total" dataDxfId="187">
      <calculatedColumnFormula>'Raw Data'!J2</calculatedColumnFormula>
    </tableColumn>
    <tableColumn id="11" name="Date" dataDxfId="186">
      <calculatedColumnFormula>VALUE(IFERROR(VALUE('Raw Data'!K2),CONCATENATE(MID('Raw Data'!K2,3,2),".","0",LEFT('Raw Data'!K2,1),".", RIGHT('Raw Data'!K2,4))))</calculatedColumnFormula>
    </tableColumn>
    <tableColumn id="12" name="Time" dataDxfId="185">
      <calculatedColumnFormula>'Raw Data'!L2</calculatedColumnFormula>
    </tableColumn>
    <tableColumn id="13" name="Payment"/>
    <tableColumn id="14" name="Cogs">
      <calculatedColumnFormula>VALUE(IF(AND(ISERR(FIND(".",'Raw Data'!N2)),LEN('Raw Data'!N2)=5), IF(YEAR('Raw Data'!N2)=2026,CONCATENATE(DAY('Raw Data'!N2),".",IF(LEN(MONTH('Raw Data'!N2))=2,MONTH('Raw Data'!N2),CONCATENATE("0",MONTH('Raw Data'!N2)))),CONCATENATE(MONTH('Raw Data'!N2),".",RIGHT(YEAR('Raw Data'!N2),2))),'Raw Data'!N2))</calculatedColumnFormula>
    </tableColumn>
    <tableColumn id="15" name="Gross margin percentage" dataDxfId="184">
      <calculatedColumnFormula>P2/J2*100</calculatedColumnFormula>
    </tableColumn>
    <tableColumn id="16" name="Gross income" dataDxfId="183">
      <calculatedColumnFormula>J2-N2</calculatedColumnFormula>
    </tableColumn>
    <tableColumn id="17" name="Rating">
      <calculatedColumnFormula>VALUE(IF(AND(ISERR(FIND(".",'Raw Data'!Q2)),LEN('Raw Data'!Q2)=5), IF(YEAR('Raw Data'!Q2)=2026,CONCATENATE(DAY('Raw Data'!Q2),".",IF(LEN(MONTH('Raw Data'!Q2))=2,MONTH('Raw Data'!Q2),CONCATENATE(MONTH('Raw Data'!Q2)))),CONCATENATE(MONTH('Raw Data'!Q2),".",RIGHT(YEAR('Raw Data'!Q2),2))),'Raw Data'!Q2))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P28"/>
  <sheetViews>
    <sheetView tabSelected="1" workbookViewId="0">
      <selection activeCell="L25" sqref="L25"/>
    </sheetView>
  </sheetViews>
  <sheetFormatPr defaultRowHeight="14.5"/>
  <sheetData>
    <row r="1" spans="1:16">
      <c r="A1" s="40" t="s">
        <v>1176</v>
      </c>
    </row>
    <row r="2" spans="1:16">
      <c r="A2" s="39" t="s">
        <v>1161</v>
      </c>
    </row>
    <row r="3" spans="1:16">
      <c r="A3" s="38"/>
    </row>
    <row r="4" spans="1:16">
      <c r="A4" s="40" t="s">
        <v>1177</v>
      </c>
    </row>
    <row r="5" spans="1:16">
      <c r="A5" s="39" t="s">
        <v>1178</v>
      </c>
    </row>
    <row r="6" spans="1:16">
      <c r="A6" s="38"/>
    </row>
    <row r="7" spans="1:16">
      <c r="A7" s="40" t="s">
        <v>1179</v>
      </c>
    </row>
    <row r="8" spans="1:16">
      <c r="A8" s="39" t="s">
        <v>1162</v>
      </c>
    </row>
    <row r="9" spans="1:16">
      <c r="A9" s="38"/>
    </row>
    <row r="10" spans="1:16">
      <c r="A10" s="40" t="s">
        <v>1180</v>
      </c>
    </row>
    <row r="11" spans="1:16" ht="15.5">
      <c r="A11" s="39" t="s">
        <v>1163</v>
      </c>
      <c r="P11" s="9"/>
    </row>
    <row r="12" spans="1:16" ht="15.5">
      <c r="A12" s="39" t="s">
        <v>1181</v>
      </c>
      <c r="P12" s="9"/>
    </row>
    <row r="13" spans="1:16">
      <c r="A13" s="39" t="s">
        <v>1164</v>
      </c>
      <c r="P13" s="8"/>
    </row>
    <row r="14" spans="1:16">
      <c r="A14" s="39" t="s">
        <v>1165</v>
      </c>
      <c r="P14" s="8"/>
    </row>
    <row r="15" spans="1:16" ht="14.5" customHeight="1">
      <c r="A15" s="39" t="s">
        <v>1166</v>
      </c>
      <c r="P15" s="12"/>
    </row>
    <row r="16" spans="1:16" ht="14.5" customHeight="1">
      <c r="A16" s="38"/>
      <c r="P16" s="12"/>
    </row>
    <row r="17" spans="1:1">
      <c r="A17" s="40" t="s">
        <v>1152</v>
      </c>
    </row>
    <row r="18" spans="1:1">
      <c r="A18" s="39" t="s">
        <v>1167</v>
      </c>
    </row>
    <row r="19" spans="1:1">
      <c r="A19" s="39" t="s">
        <v>1168</v>
      </c>
    </row>
    <row r="20" spans="1:1">
      <c r="A20" s="39" t="s">
        <v>1169</v>
      </c>
    </row>
    <row r="21" spans="1:1">
      <c r="A21" s="39" t="s">
        <v>1170</v>
      </c>
    </row>
    <row r="22" spans="1:1">
      <c r="A22" s="39" t="s">
        <v>1171</v>
      </c>
    </row>
    <row r="23" spans="1:1">
      <c r="A23" s="38"/>
    </row>
    <row r="24" spans="1:1">
      <c r="A24" s="40" t="s">
        <v>1160</v>
      </c>
    </row>
    <row r="25" spans="1:1">
      <c r="A25" s="39" t="s">
        <v>1172</v>
      </c>
    </row>
    <row r="26" spans="1:1">
      <c r="A26" s="39" t="s">
        <v>1173</v>
      </c>
    </row>
    <row r="27" spans="1:1">
      <c r="A27" s="39" t="s">
        <v>1174</v>
      </c>
    </row>
    <row r="28" spans="1:1">
      <c r="A28" s="39" t="s">
        <v>1175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1001"/>
  <sheetViews>
    <sheetView workbookViewId="0">
      <selection activeCell="D11" sqref="D11"/>
    </sheetView>
  </sheetViews>
  <sheetFormatPr defaultRowHeight="14.5"/>
  <cols>
    <col min="11" max="11" width="9.90625" bestFit="1" customWidth="1"/>
    <col min="18" max="18" width="9.9062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T1" t="s">
        <v>1</v>
      </c>
      <c r="U1" t="s">
        <v>2</v>
      </c>
      <c r="V1" t="s">
        <v>3</v>
      </c>
      <c r="W1" t="s">
        <v>4</v>
      </c>
      <c r="X1" t="s">
        <v>5</v>
      </c>
    </row>
    <row r="2" spans="1:24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 s="3">
        <v>46031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 s="4">
        <v>30011</v>
      </c>
      <c r="J3">
        <v>80.22</v>
      </c>
      <c r="K3" s="1">
        <v>43680</v>
      </c>
      <c r="L3" s="2">
        <v>0.4368055555555555</v>
      </c>
      <c r="M3" t="s">
        <v>29</v>
      </c>
      <c r="N3">
        <v>76.400000000000006</v>
      </c>
      <c r="O3">
        <v>4.7619047620000003</v>
      </c>
      <c r="P3" s="4">
        <v>30011</v>
      </c>
      <c r="Q3" s="3">
        <v>46182</v>
      </c>
      <c r="R3" s="4"/>
      <c r="T3" t="s">
        <v>25</v>
      </c>
      <c r="U3" t="s">
        <v>26</v>
      </c>
      <c r="V3" t="s">
        <v>27</v>
      </c>
      <c r="W3" t="s">
        <v>30</v>
      </c>
      <c r="X3" t="s">
        <v>28</v>
      </c>
    </row>
    <row r="4" spans="1:24">
      <c r="A4" t="s">
        <v>31</v>
      </c>
      <c r="B4" t="s">
        <v>18</v>
      </c>
      <c r="C4" t="s">
        <v>19</v>
      </c>
      <c r="D4" t="s">
        <v>27</v>
      </c>
      <c r="E4" t="s">
        <v>30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 s="3">
        <v>46119</v>
      </c>
      <c r="T4" t="s">
        <v>34</v>
      </c>
      <c r="U4" t="s">
        <v>35</v>
      </c>
      <c r="X4" t="s">
        <v>32</v>
      </c>
    </row>
    <row r="5" spans="1:24">
      <c r="A5" t="s">
        <v>36</v>
      </c>
      <c r="B5" t="s">
        <v>18</v>
      </c>
      <c r="C5" t="s">
        <v>19</v>
      </c>
      <c r="D5" t="s">
        <v>20</v>
      </c>
      <c r="E5" t="s">
        <v>30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5" t="s">
        <v>37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 s="3">
        <v>46120</v>
      </c>
      <c r="X5" t="s">
        <v>38</v>
      </c>
    </row>
    <row r="6" spans="1:24">
      <c r="A6" t="s">
        <v>39</v>
      </c>
      <c r="B6" t="s">
        <v>18</v>
      </c>
      <c r="C6" t="s">
        <v>19</v>
      </c>
      <c r="D6" t="s">
        <v>27</v>
      </c>
      <c r="E6" t="s">
        <v>30</v>
      </c>
      <c r="F6" t="s">
        <v>38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 s="3">
        <v>46086</v>
      </c>
      <c r="X6" t="s">
        <v>40</v>
      </c>
    </row>
    <row r="7" spans="1:24">
      <c r="A7" t="s">
        <v>41</v>
      </c>
      <c r="B7" t="s">
        <v>25</v>
      </c>
      <c r="C7" t="s">
        <v>26</v>
      </c>
      <c r="D7" t="s">
        <v>27</v>
      </c>
      <c r="E7" t="s">
        <v>30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42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 s="3">
        <v>46026</v>
      </c>
      <c r="X7" t="s">
        <v>43</v>
      </c>
    </row>
    <row r="8" spans="1:24">
      <c r="A8" t="s">
        <v>44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45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 s="3">
        <v>46239</v>
      </c>
    </row>
    <row r="9" spans="1:24">
      <c r="A9" t="s">
        <v>46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t="s">
        <v>47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24">
      <c r="A10" t="s">
        <v>48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 s="3">
        <v>46060</v>
      </c>
    </row>
    <row r="11" spans="1:24">
      <c r="A11" t="s">
        <v>49</v>
      </c>
      <c r="B11" t="s">
        <v>34</v>
      </c>
      <c r="C11" t="s">
        <v>35</v>
      </c>
      <c r="D11" t="s">
        <v>20</v>
      </c>
      <c r="E11" t="s">
        <v>21</v>
      </c>
      <c r="F11" t="s">
        <v>40</v>
      </c>
      <c r="G11">
        <v>54.84</v>
      </c>
      <c r="H11">
        <v>3</v>
      </c>
      <c r="I11">
        <v>8.2260000000000009</v>
      </c>
      <c r="J11">
        <v>172.74600000000001</v>
      </c>
      <c r="K11" t="s">
        <v>50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 s="3">
        <v>46270</v>
      </c>
    </row>
    <row r="12" spans="1:24">
      <c r="A12" t="s">
        <v>51</v>
      </c>
      <c r="B12" t="s">
        <v>34</v>
      </c>
      <c r="C12" t="s">
        <v>35</v>
      </c>
      <c r="D12" t="s">
        <v>20</v>
      </c>
      <c r="E12" t="s">
        <v>21</v>
      </c>
      <c r="F12" t="s">
        <v>43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 s="3">
        <v>46146</v>
      </c>
    </row>
    <row r="13" spans="1:24">
      <c r="A13" t="s">
        <v>52</v>
      </c>
      <c r="B13" t="s">
        <v>34</v>
      </c>
      <c r="C13" t="s">
        <v>35</v>
      </c>
      <c r="D13" t="s">
        <v>20</v>
      </c>
      <c r="E13" t="s">
        <v>30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 s="3">
        <v>46240</v>
      </c>
    </row>
    <row r="14" spans="1:24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 s="4">
        <v>27699</v>
      </c>
      <c r="J14">
        <v>246.48750000000001</v>
      </c>
      <c r="K14" s="1">
        <v>43801</v>
      </c>
      <c r="L14" s="2">
        <v>0.43402777777777773</v>
      </c>
      <c r="M14" t="s">
        <v>23</v>
      </c>
      <c r="N14">
        <v>234.75</v>
      </c>
      <c r="O14">
        <v>4.7619047620000003</v>
      </c>
      <c r="P14" s="4">
        <v>27699</v>
      </c>
      <c r="Q14" s="3">
        <v>46029</v>
      </c>
    </row>
    <row r="15" spans="1:24">
      <c r="A15" t="s">
        <v>54</v>
      </c>
      <c r="B15" t="s">
        <v>18</v>
      </c>
      <c r="C15" t="s">
        <v>19</v>
      </c>
      <c r="D15" t="s">
        <v>27</v>
      </c>
      <c r="E15" t="s">
        <v>30</v>
      </c>
      <c r="F15" t="s">
        <v>40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 s="3">
        <v>46061</v>
      </c>
    </row>
    <row r="16" spans="1:24">
      <c r="A16" t="s">
        <v>55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56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 s="3">
        <v>46208</v>
      </c>
    </row>
    <row r="17" spans="1:18">
      <c r="A17" t="s">
        <v>57</v>
      </c>
      <c r="B17" t="s">
        <v>34</v>
      </c>
      <c r="C17" t="s">
        <v>35</v>
      </c>
      <c r="D17" t="s">
        <v>20</v>
      </c>
      <c r="E17" t="s">
        <v>21</v>
      </c>
      <c r="F17" t="s">
        <v>38</v>
      </c>
      <c r="G17">
        <v>93.72</v>
      </c>
      <c r="H17">
        <v>6</v>
      </c>
      <c r="I17">
        <v>28.116</v>
      </c>
      <c r="J17">
        <v>590.43600000000004</v>
      </c>
      <c r="K17" t="s">
        <v>58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 s="3">
        <v>46146</v>
      </c>
    </row>
    <row r="18" spans="1:18">
      <c r="A18" t="s">
        <v>59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0.4604166666666667</v>
      </c>
      <c r="M18" t="s">
        <v>33</v>
      </c>
      <c r="N18">
        <v>482.51</v>
      </c>
      <c r="O18">
        <v>4.7619047620000003</v>
      </c>
      <c r="P18">
        <v>24.125499999999999</v>
      </c>
      <c r="Q18" s="3">
        <v>46177</v>
      </c>
    </row>
    <row r="19" spans="1:18">
      <c r="A19" t="s">
        <v>60</v>
      </c>
      <c r="B19" t="s">
        <v>18</v>
      </c>
      <c r="C19" t="s">
        <v>19</v>
      </c>
      <c r="D19" t="s">
        <v>27</v>
      </c>
      <c r="E19" t="s">
        <v>30</v>
      </c>
      <c r="F19" t="s">
        <v>38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33</v>
      </c>
      <c r="N19">
        <v>435.66</v>
      </c>
      <c r="O19">
        <v>4.7619047620000003</v>
      </c>
      <c r="P19">
        <v>21.783000000000001</v>
      </c>
      <c r="Q19" s="3">
        <v>46271</v>
      </c>
    </row>
    <row r="20" spans="1:18">
      <c r="A20" t="s">
        <v>61</v>
      </c>
      <c r="B20" t="s">
        <v>18</v>
      </c>
      <c r="C20" t="s">
        <v>19</v>
      </c>
      <c r="D20" t="s">
        <v>27</v>
      </c>
      <c r="E20" t="s">
        <v>30</v>
      </c>
      <c r="F20" t="s">
        <v>40</v>
      </c>
      <c r="G20">
        <v>54.67</v>
      </c>
      <c r="H20">
        <v>3</v>
      </c>
      <c r="I20" s="4">
        <v>38565</v>
      </c>
      <c r="J20">
        <v>172.2105</v>
      </c>
      <c r="K20" t="s">
        <v>62</v>
      </c>
      <c r="L20" s="2">
        <v>0.75</v>
      </c>
      <c r="M20" t="s">
        <v>33</v>
      </c>
      <c r="N20">
        <v>164.01</v>
      </c>
      <c r="O20">
        <v>4.7619047620000003</v>
      </c>
      <c r="P20" s="4">
        <v>38565</v>
      </c>
      <c r="Q20" s="3">
        <v>46181</v>
      </c>
    </row>
    <row r="21" spans="1:18">
      <c r="A21" t="s">
        <v>63</v>
      </c>
      <c r="B21" t="s">
        <v>34</v>
      </c>
      <c r="C21" t="s">
        <v>35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 s="3">
        <v>46085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 s="3">
        <v>46085</v>
      </c>
      <c r="Q21" s="3">
        <v>46116</v>
      </c>
      <c r="R21" s="3"/>
    </row>
    <row r="22" spans="1:18">
      <c r="A22" t="s">
        <v>64</v>
      </c>
      <c r="B22" t="s">
        <v>25</v>
      </c>
      <c r="C22" t="s">
        <v>26</v>
      </c>
      <c r="D22" t="s">
        <v>20</v>
      </c>
      <c r="E22" t="s">
        <v>30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45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 s="3">
        <v>46238</v>
      </c>
    </row>
    <row r="23" spans="1:18">
      <c r="A23" t="s">
        <v>65</v>
      </c>
      <c r="B23" t="s">
        <v>34</v>
      </c>
      <c r="C23" t="s">
        <v>35</v>
      </c>
      <c r="D23" t="s">
        <v>27</v>
      </c>
      <c r="E23" t="s">
        <v>30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 s="3">
        <v>46027</v>
      </c>
    </row>
    <row r="24" spans="1:18">
      <c r="A24" t="s">
        <v>66</v>
      </c>
      <c r="B24" t="s">
        <v>34</v>
      </c>
      <c r="C24" t="s">
        <v>35</v>
      </c>
      <c r="D24" t="s">
        <v>27</v>
      </c>
      <c r="E24" t="s">
        <v>30</v>
      </c>
      <c r="F24" t="s">
        <v>32</v>
      </c>
      <c r="G24">
        <v>33.200000000000003</v>
      </c>
      <c r="H24">
        <v>2</v>
      </c>
      <c r="I24" s="4">
        <v>11749</v>
      </c>
      <c r="J24">
        <v>69.72</v>
      </c>
      <c r="K24" t="s">
        <v>67</v>
      </c>
      <c r="L24" s="2">
        <v>0.51388888888888895</v>
      </c>
      <c r="M24" t="s">
        <v>33</v>
      </c>
      <c r="N24">
        <v>66.400000000000006</v>
      </c>
      <c r="O24">
        <v>4.7619047620000003</v>
      </c>
      <c r="P24" s="4">
        <v>11749</v>
      </c>
      <c r="Q24" s="3">
        <v>46116</v>
      </c>
    </row>
    <row r="25" spans="1:18">
      <c r="A25" t="s">
        <v>68</v>
      </c>
      <c r="B25" t="s">
        <v>18</v>
      </c>
      <c r="C25" t="s">
        <v>19</v>
      </c>
      <c r="D25" t="s">
        <v>27</v>
      </c>
      <c r="E25" t="s">
        <v>30</v>
      </c>
      <c r="F25" t="s">
        <v>28</v>
      </c>
      <c r="G25">
        <v>34.56</v>
      </c>
      <c r="H25">
        <v>5</v>
      </c>
      <c r="I25" s="4">
        <v>23590</v>
      </c>
      <c r="J25">
        <v>181.44</v>
      </c>
      <c r="K25" t="s">
        <v>69</v>
      </c>
      <c r="L25" s="2">
        <v>0.46875</v>
      </c>
      <c r="M25" t="s">
        <v>23</v>
      </c>
      <c r="N25">
        <v>172.8</v>
      </c>
      <c r="O25">
        <v>4.7619047620000003</v>
      </c>
      <c r="P25" s="4">
        <v>23590</v>
      </c>
      <c r="Q25" s="3">
        <v>46274</v>
      </c>
    </row>
    <row r="26" spans="1:18">
      <c r="A26" t="s">
        <v>70</v>
      </c>
      <c r="B26" t="s">
        <v>18</v>
      </c>
      <c r="C26" t="s">
        <v>19</v>
      </c>
      <c r="D26" t="s">
        <v>20</v>
      </c>
      <c r="E26" t="s">
        <v>30</v>
      </c>
      <c r="F26" t="s">
        <v>38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8">
      <c r="A27" t="s">
        <v>71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t="s">
        <v>72</v>
      </c>
      <c r="L27" s="2">
        <v>0.80555555555555547</v>
      </c>
      <c r="M27" t="s">
        <v>33</v>
      </c>
      <c r="N27">
        <v>420.72</v>
      </c>
      <c r="O27">
        <v>4.7619047620000003</v>
      </c>
      <c r="P27">
        <v>21.036000000000001</v>
      </c>
      <c r="Q27" s="3">
        <v>46150</v>
      </c>
    </row>
    <row r="28" spans="1:18">
      <c r="A28" t="s">
        <v>73</v>
      </c>
      <c r="B28" t="s">
        <v>34</v>
      </c>
      <c r="C28" t="s">
        <v>35</v>
      </c>
      <c r="D28" t="s">
        <v>27</v>
      </c>
      <c r="E28" t="s">
        <v>30</v>
      </c>
      <c r="F28" t="s">
        <v>43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 s="3">
        <v>46209</v>
      </c>
    </row>
    <row r="29" spans="1:18">
      <c r="A29" t="s">
        <v>74</v>
      </c>
      <c r="B29" t="s">
        <v>18</v>
      </c>
      <c r="C29" t="s">
        <v>19</v>
      </c>
      <c r="D29" t="s">
        <v>27</v>
      </c>
      <c r="E29" t="s">
        <v>21</v>
      </c>
      <c r="F29" t="s">
        <v>43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 s="3">
        <v>46210</v>
      </c>
    </row>
    <row r="30" spans="1:18">
      <c r="A30" t="s">
        <v>75</v>
      </c>
      <c r="B30" t="s">
        <v>34</v>
      </c>
      <c r="C30" t="s">
        <v>35</v>
      </c>
      <c r="D30" t="s">
        <v>27</v>
      </c>
      <c r="E30" t="s">
        <v>21</v>
      </c>
      <c r="F30" t="s">
        <v>40</v>
      </c>
      <c r="G30">
        <v>88.36</v>
      </c>
      <c r="H30">
        <v>5</v>
      </c>
      <c r="I30" s="3">
        <v>46287</v>
      </c>
      <c r="J30">
        <v>463.89</v>
      </c>
      <c r="K30" t="s">
        <v>76</v>
      </c>
      <c r="L30" s="2">
        <v>0.82500000000000007</v>
      </c>
      <c r="M30" t="s">
        <v>29</v>
      </c>
      <c r="N30">
        <v>441.8</v>
      </c>
      <c r="O30">
        <v>4.7619047620000003</v>
      </c>
      <c r="P30" s="3">
        <v>46287</v>
      </c>
      <c r="Q30" s="3">
        <v>46182</v>
      </c>
    </row>
    <row r="31" spans="1:18">
      <c r="A31" t="s">
        <v>77</v>
      </c>
      <c r="B31" t="s">
        <v>18</v>
      </c>
      <c r="C31" t="s">
        <v>19</v>
      </c>
      <c r="D31" t="s">
        <v>27</v>
      </c>
      <c r="E31" t="s">
        <v>30</v>
      </c>
      <c r="F31" t="s">
        <v>22</v>
      </c>
      <c r="G31">
        <v>24.89</v>
      </c>
      <c r="H31">
        <v>9</v>
      </c>
      <c r="I31" s="4">
        <v>38657</v>
      </c>
      <c r="J31">
        <v>235.2105</v>
      </c>
      <c r="K31" t="s">
        <v>67</v>
      </c>
      <c r="L31" s="2">
        <v>0.65</v>
      </c>
      <c r="M31" t="s">
        <v>29</v>
      </c>
      <c r="N31">
        <v>224.01</v>
      </c>
      <c r="O31">
        <v>4.7619047620000003</v>
      </c>
      <c r="P31" s="4">
        <v>38657</v>
      </c>
      <c r="Q31" s="3">
        <v>46119</v>
      </c>
    </row>
    <row r="32" spans="1:18">
      <c r="A32" t="s">
        <v>78</v>
      </c>
      <c r="B32" t="s">
        <v>34</v>
      </c>
      <c r="C32" t="s">
        <v>35</v>
      </c>
      <c r="D32" t="s">
        <v>27</v>
      </c>
      <c r="E32" t="s">
        <v>30</v>
      </c>
      <c r="F32" t="s">
        <v>43</v>
      </c>
      <c r="G32">
        <v>94.13</v>
      </c>
      <c r="H32">
        <v>5</v>
      </c>
      <c r="I32">
        <v>23.532499999999999</v>
      </c>
      <c r="J32">
        <v>494.1825</v>
      </c>
      <c r="K32" t="s">
        <v>45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 s="3">
        <v>46238</v>
      </c>
    </row>
    <row r="33" spans="1:17">
      <c r="A33" t="s">
        <v>79</v>
      </c>
      <c r="B33" t="s">
        <v>34</v>
      </c>
      <c r="C33" t="s">
        <v>35</v>
      </c>
      <c r="D33" t="s">
        <v>20</v>
      </c>
      <c r="E33" t="s">
        <v>30</v>
      </c>
      <c r="F33" t="s">
        <v>38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80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 s="3">
        <v>46146</v>
      </c>
    </row>
    <row r="34" spans="1:17">
      <c r="A34" t="s">
        <v>81</v>
      </c>
      <c r="B34" t="s">
        <v>34</v>
      </c>
      <c r="C34" t="s">
        <v>35</v>
      </c>
      <c r="D34" t="s">
        <v>27</v>
      </c>
      <c r="E34" t="s">
        <v>30</v>
      </c>
      <c r="F34" t="s">
        <v>38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 s="3">
        <v>46027</v>
      </c>
    </row>
    <row r="35" spans="1:17">
      <c r="A35" t="s">
        <v>82</v>
      </c>
      <c r="B35" t="s">
        <v>18</v>
      </c>
      <c r="C35" t="s">
        <v>19</v>
      </c>
      <c r="D35" t="s">
        <v>27</v>
      </c>
      <c r="E35" t="s">
        <v>30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67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 s="3">
        <v>46027</v>
      </c>
    </row>
    <row r="36" spans="1:17">
      <c r="A36" t="s">
        <v>83</v>
      </c>
      <c r="B36" t="s">
        <v>25</v>
      </c>
      <c r="C36" t="s">
        <v>26</v>
      </c>
      <c r="D36" t="s">
        <v>20</v>
      </c>
      <c r="E36" t="s">
        <v>21</v>
      </c>
      <c r="F36" t="s">
        <v>40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 s="3">
        <v>46149</v>
      </c>
    </row>
    <row r="37" spans="1:17">
      <c r="A37" t="s">
        <v>84</v>
      </c>
      <c r="B37" t="s">
        <v>25</v>
      </c>
      <c r="C37" t="s">
        <v>26</v>
      </c>
      <c r="D37" t="s">
        <v>20</v>
      </c>
      <c r="E37" t="s">
        <v>21</v>
      </c>
      <c r="F37" t="s">
        <v>38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 s="3">
        <v>46240</v>
      </c>
    </row>
    <row r="38" spans="1:17">
      <c r="A38" t="s">
        <v>85</v>
      </c>
      <c r="B38" t="s">
        <v>18</v>
      </c>
      <c r="C38" t="s">
        <v>19</v>
      </c>
      <c r="D38" t="s">
        <v>20</v>
      </c>
      <c r="E38" t="s">
        <v>30</v>
      </c>
      <c r="F38" t="s">
        <v>38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>
      <c r="A39" t="s">
        <v>86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58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 s="3">
        <v>46207</v>
      </c>
    </row>
    <row r="40" spans="1:17">
      <c r="A40" t="s">
        <v>87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88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 s="3">
        <v>46180</v>
      </c>
    </row>
    <row r="41" spans="1:17">
      <c r="A41" t="s">
        <v>89</v>
      </c>
      <c r="B41" t="s">
        <v>34</v>
      </c>
      <c r="C41" t="s">
        <v>35</v>
      </c>
      <c r="D41" t="s">
        <v>20</v>
      </c>
      <c r="E41" t="s">
        <v>30</v>
      </c>
      <c r="F41" t="s">
        <v>32</v>
      </c>
      <c r="G41" s="3">
        <v>46386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 s="3">
        <v>46210</v>
      </c>
    </row>
    <row r="42" spans="1:17">
      <c r="A42" t="s">
        <v>90</v>
      </c>
      <c r="B42" t="s">
        <v>34</v>
      </c>
      <c r="C42" t="s">
        <v>35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t="s">
        <v>91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 s="3">
        <v>46272</v>
      </c>
    </row>
    <row r="43" spans="1:17">
      <c r="A43" t="s">
        <v>92</v>
      </c>
      <c r="B43" t="s">
        <v>25</v>
      </c>
      <c r="C43" t="s">
        <v>26</v>
      </c>
      <c r="D43" t="s">
        <v>20</v>
      </c>
      <c r="E43" t="s">
        <v>30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 s="3">
        <v>46087</v>
      </c>
    </row>
    <row r="44" spans="1:17">
      <c r="A44" t="s">
        <v>93</v>
      </c>
      <c r="B44" t="s">
        <v>34</v>
      </c>
      <c r="C44" t="s">
        <v>35</v>
      </c>
      <c r="D44" t="s">
        <v>20</v>
      </c>
      <c r="E44" t="s">
        <v>21</v>
      </c>
      <c r="F44" t="s">
        <v>38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 s="3">
        <v>46178</v>
      </c>
    </row>
    <row r="45" spans="1:17">
      <c r="A45" t="s">
        <v>94</v>
      </c>
      <c r="B45" t="s">
        <v>25</v>
      </c>
      <c r="C45" t="s">
        <v>26</v>
      </c>
      <c r="D45" t="s">
        <v>20</v>
      </c>
      <c r="E45" t="s">
        <v>21</v>
      </c>
      <c r="F45" t="s">
        <v>40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 s="3">
        <v>46180</v>
      </c>
    </row>
    <row r="46" spans="1:17">
      <c r="A46" t="s">
        <v>95</v>
      </c>
      <c r="B46" t="s">
        <v>25</v>
      </c>
      <c r="C46" t="s">
        <v>26</v>
      </c>
      <c r="D46" t="s">
        <v>20</v>
      </c>
      <c r="E46" t="s">
        <v>30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96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 s="3">
        <v>46060</v>
      </c>
    </row>
    <row r="47" spans="1:17">
      <c r="A47" t="s">
        <v>97</v>
      </c>
      <c r="B47" t="s">
        <v>34</v>
      </c>
      <c r="C47" t="s">
        <v>35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 s="3">
        <v>46151</v>
      </c>
    </row>
    <row r="48" spans="1:17">
      <c r="A48" t="s">
        <v>98</v>
      </c>
      <c r="B48" t="s">
        <v>34</v>
      </c>
      <c r="C48" t="s">
        <v>35</v>
      </c>
      <c r="D48" t="s">
        <v>20</v>
      </c>
      <c r="E48" t="s">
        <v>30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99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 s="3">
        <v>46120</v>
      </c>
    </row>
    <row r="49" spans="1:17">
      <c r="A49" t="s">
        <v>100</v>
      </c>
      <c r="B49" t="s">
        <v>34</v>
      </c>
      <c r="C49" t="s">
        <v>35</v>
      </c>
      <c r="D49" t="s">
        <v>20</v>
      </c>
      <c r="E49" t="s">
        <v>21</v>
      </c>
      <c r="F49" t="s">
        <v>40</v>
      </c>
      <c r="G49" s="3">
        <v>46042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 s="3">
        <v>46026</v>
      </c>
    </row>
    <row r="50" spans="1:17">
      <c r="A50" t="s">
        <v>101</v>
      </c>
      <c r="B50" t="s">
        <v>34</v>
      </c>
      <c r="C50" t="s">
        <v>35</v>
      </c>
      <c r="D50" t="s">
        <v>20</v>
      </c>
      <c r="E50" t="s">
        <v>30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 s="3">
        <v>46030</v>
      </c>
    </row>
    <row r="51" spans="1:17">
      <c r="A51" t="s">
        <v>102</v>
      </c>
      <c r="B51" t="s">
        <v>25</v>
      </c>
      <c r="C51" t="s">
        <v>26</v>
      </c>
      <c r="D51" t="s">
        <v>20</v>
      </c>
      <c r="E51" t="s">
        <v>21</v>
      </c>
      <c r="F51" t="s">
        <v>43</v>
      </c>
      <c r="G51">
        <v>82.63</v>
      </c>
      <c r="H51">
        <v>10</v>
      </c>
      <c r="I51">
        <v>41.314999999999998</v>
      </c>
      <c r="J51">
        <v>867.61500000000001</v>
      </c>
      <c r="K51" t="s">
        <v>103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 s="3">
        <v>46272</v>
      </c>
    </row>
    <row r="52" spans="1:17">
      <c r="A52" t="s">
        <v>104</v>
      </c>
      <c r="B52" t="s">
        <v>25</v>
      </c>
      <c r="C52" t="s">
        <v>26</v>
      </c>
      <c r="D52" t="s">
        <v>20</v>
      </c>
      <c r="E52" t="s">
        <v>30</v>
      </c>
      <c r="F52" t="s">
        <v>40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 s="3">
        <v>46151</v>
      </c>
    </row>
    <row r="53" spans="1:17">
      <c r="A53" t="s">
        <v>105</v>
      </c>
      <c r="B53" t="s">
        <v>18</v>
      </c>
      <c r="C53" t="s">
        <v>19</v>
      </c>
      <c r="D53" t="s">
        <v>20</v>
      </c>
      <c r="E53" t="s">
        <v>21</v>
      </c>
      <c r="F53" t="s">
        <v>40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 s="3">
        <v>46150</v>
      </c>
    </row>
    <row r="54" spans="1:17">
      <c r="A54" t="s">
        <v>106</v>
      </c>
      <c r="B54" t="s">
        <v>34</v>
      </c>
      <c r="C54" t="s">
        <v>35</v>
      </c>
      <c r="D54" t="s">
        <v>20</v>
      </c>
      <c r="E54" t="s">
        <v>21</v>
      </c>
      <c r="F54" t="s">
        <v>43</v>
      </c>
      <c r="G54">
        <v>17.87</v>
      </c>
      <c r="H54">
        <v>4</v>
      </c>
      <c r="I54">
        <v>3.5739999999999998</v>
      </c>
      <c r="J54">
        <v>75.054000000000002</v>
      </c>
      <c r="K54" t="s">
        <v>72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 s="3">
        <v>46148</v>
      </c>
    </row>
    <row r="55" spans="1:17">
      <c r="A55" t="s">
        <v>107</v>
      </c>
      <c r="B55" t="s">
        <v>25</v>
      </c>
      <c r="C55" t="s">
        <v>26</v>
      </c>
      <c r="D55" t="s">
        <v>20</v>
      </c>
      <c r="E55" t="s">
        <v>30</v>
      </c>
      <c r="F55" t="s">
        <v>43</v>
      </c>
      <c r="G55">
        <v>15.43</v>
      </c>
      <c r="H55">
        <v>1</v>
      </c>
      <c r="I55">
        <v>0.77149999999999996</v>
      </c>
      <c r="J55">
        <v>16.201499999999999</v>
      </c>
      <c r="K55" t="s">
        <v>76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 s="3">
        <v>46028</v>
      </c>
    </row>
    <row r="56" spans="1:17">
      <c r="A56" t="s">
        <v>108</v>
      </c>
      <c r="B56" t="s">
        <v>34</v>
      </c>
      <c r="C56" t="s">
        <v>35</v>
      </c>
      <c r="D56" t="s">
        <v>27</v>
      </c>
      <c r="E56" t="s">
        <v>30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 s="3">
        <v>46148</v>
      </c>
    </row>
    <row r="57" spans="1:17">
      <c r="A57" t="s">
        <v>109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110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 s="3">
        <v>46061</v>
      </c>
    </row>
    <row r="58" spans="1:17">
      <c r="A58" t="s">
        <v>111</v>
      </c>
      <c r="B58" t="s">
        <v>18</v>
      </c>
      <c r="C58" t="s">
        <v>19</v>
      </c>
      <c r="D58" t="s">
        <v>20</v>
      </c>
      <c r="E58" t="s">
        <v>30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t="s">
        <v>112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 s="3">
        <v>46239</v>
      </c>
    </row>
    <row r="59" spans="1:17">
      <c r="A59" t="s">
        <v>113</v>
      </c>
      <c r="B59" t="s">
        <v>18</v>
      </c>
      <c r="C59" t="s">
        <v>19</v>
      </c>
      <c r="D59" t="s">
        <v>27</v>
      </c>
      <c r="E59" t="s">
        <v>30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 s="3">
        <v>46179</v>
      </c>
    </row>
    <row r="60" spans="1:17">
      <c r="A60" t="s">
        <v>114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 s="3">
        <v>46117</v>
      </c>
    </row>
    <row r="61" spans="1:17">
      <c r="A61" t="s">
        <v>116</v>
      </c>
      <c r="B61" t="s">
        <v>25</v>
      </c>
      <c r="C61" t="s">
        <v>26</v>
      </c>
      <c r="D61" t="s">
        <v>27</v>
      </c>
      <c r="E61" t="s">
        <v>30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 s="3">
        <v>46090</v>
      </c>
    </row>
    <row r="62" spans="1:17">
      <c r="A62" t="s">
        <v>117</v>
      </c>
      <c r="B62" t="s">
        <v>25</v>
      </c>
      <c r="C62" t="s">
        <v>26</v>
      </c>
      <c r="D62" t="s">
        <v>20</v>
      </c>
      <c r="E62" t="s">
        <v>21</v>
      </c>
      <c r="F62" t="s">
        <v>38</v>
      </c>
      <c r="G62">
        <v>24.74</v>
      </c>
      <c r="H62">
        <v>3</v>
      </c>
      <c r="I62">
        <v>3.7109999999999999</v>
      </c>
      <c r="J62">
        <v>77.930999999999997</v>
      </c>
      <c r="K62" t="s">
        <v>118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>
      <c r="A63" t="s">
        <v>119</v>
      </c>
      <c r="B63" t="s">
        <v>25</v>
      </c>
      <c r="C63" t="s">
        <v>26</v>
      </c>
      <c r="D63" t="s">
        <v>27</v>
      </c>
      <c r="E63" t="s">
        <v>30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t="s">
        <v>47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>
      <c r="A64" t="s">
        <v>120</v>
      </c>
      <c r="B64" t="s">
        <v>34</v>
      </c>
      <c r="C64" t="s">
        <v>35</v>
      </c>
      <c r="D64" t="s">
        <v>20</v>
      </c>
      <c r="E64" t="s">
        <v>21</v>
      </c>
      <c r="F64" t="s">
        <v>38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>
      <c r="A65" t="s">
        <v>121</v>
      </c>
      <c r="B65" t="s">
        <v>18</v>
      </c>
      <c r="C65" t="s">
        <v>19</v>
      </c>
      <c r="D65" t="s">
        <v>20</v>
      </c>
      <c r="E65" t="s">
        <v>30</v>
      </c>
      <c r="F65" t="s">
        <v>38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0.51874999999999993</v>
      </c>
      <c r="M65" t="s">
        <v>33</v>
      </c>
      <c r="N65">
        <v>158.1</v>
      </c>
      <c r="O65">
        <v>4.7619047620000003</v>
      </c>
      <c r="P65">
        <v>7.9050000000000002</v>
      </c>
      <c r="Q65" s="3">
        <v>46181</v>
      </c>
    </row>
    <row r="66" spans="1:17">
      <c r="A66" t="s">
        <v>122</v>
      </c>
      <c r="B66" t="s">
        <v>34</v>
      </c>
      <c r="C66" t="s">
        <v>35</v>
      </c>
      <c r="D66" t="s">
        <v>20</v>
      </c>
      <c r="E66" t="s">
        <v>30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123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 s="3">
        <v>46180</v>
      </c>
    </row>
    <row r="67" spans="1:17">
      <c r="A67" t="s">
        <v>124</v>
      </c>
      <c r="B67" t="s">
        <v>18</v>
      </c>
      <c r="C67" t="s">
        <v>19</v>
      </c>
      <c r="D67" t="s">
        <v>20</v>
      </c>
      <c r="E67" t="s">
        <v>30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125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 s="3">
        <v>46239</v>
      </c>
    </row>
    <row r="68" spans="1:17">
      <c r="A68" t="s">
        <v>126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 s="3">
        <v>46209</v>
      </c>
    </row>
    <row r="69" spans="1:17">
      <c r="A69" t="s">
        <v>127</v>
      </c>
      <c r="B69" t="s">
        <v>34</v>
      </c>
      <c r="C69" t="s">
        <v>35</v>
      </c>
      <c r="D69" t="s">
        <v>20</v>
      </c>
      <c r="E69" t="s">
        <v>21</v>
      </c>
      <c r="F69" t="s">
        <v>43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 s="3">
        <v>46274</v>
      </c>
    </row>
    <row r="70" spans="1:17">
      <c r="A70" t="s">
        <v>128</v>
      </c>
      <c r="B70" t="s">
        <v>18</v>
      </c>
      <c r="C70" t="s">
        <v>19</v>
      </c>
      <c r="D70" t="s">
        <v>27</v>
      </c>
      <c r="E70" t="s">
        <v>30</v>
      </c>
      <c r="F70" t="s">
        <v>38</v>
      </c>
      <c r="G70">
        <v>78.77</v>
      </c>
      <c r="H70">
        <v>10</v>
      </c>
      <c r="I70">
        <v>39.384999999999998</v>
      </c>
      <c r="J70">
        <v>827.08500000000004</v>
      </c>
      <c r="K70" t="s">
        <v>129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 s="3">
        <v>46118</v>
      </c>
    </row>
    <row r="71" spans="1:17">
      <c r="A71" t="s">
        <v>130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 s="3">
        <v>46085</v>
      </c>
    </row>
    <row r="72" spans="1:17">
      <c r="A72" t="s">
        <v>131</v>
      </c>
      <c r="B72" t="s">
        <v>25</v>
      </c>
      <c r="C72" t="s">
        <v>26</v>
      </c>
      <c r="D72" t="s">
        <v>27</v>
      </c>
      <c r="E72" t="s">
        <v>30</v>
      </c>
      <c r="F72" t="s">
        <v>40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 s="3">
        <v>46182</v>
      </c>
    </row>
    <row r="73" spans="1:17">
      <c r="A73" t="s">
        <v>132</v>
      </c>
      <c r="B73" t="s">
        <v>25</v>
      </c>
      <c r="C73" t="s">
        <v>26</v>
      </c>
      <c r="D73" t="s">
        <v>27</v>
      </c>
      <c r="E73" t="s">
        <v>30</v>
      </c>
      <c r="F73" t="s">
        <v>43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 s="3">
        <v>46270</v>
      </c>
    </row>
    <row r="74" spans="1:17">
      <c r="A74" t="s">
        <v>133</v>
      </c>
      <c r="B74" t="s">
        <v>34</v>
      </c>
      <c r="C74" t="s">
        <v>35</v>
      </c>
      <c r="D74" t="s">
        <v>20</v>
      </c>
      <c r="E74" t="s">
        <v>21</v>
      </c>
      <c r="F74" t="s">
        <v>40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>
      <c r="A75" t="s">
        <v>134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 s="3">
        <v>46211</v>
      </c>
    </row>
    <row r="76" spans="1:17">
      <c r="A76" t="s">
        <v>135</v>
      </c>
      <c r="B76" t="s">
        <v>18</v>
      </c>
      <c r="C76" t="s">
        <v>19</v>
      </c>
      <c r="D76" t="s">
        <v>27</v>
      </c>
      <c r="E76" t="s">
        <v>30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t="s">
        <v>136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 s="3">
        <v>46121</v>
      </c>
    </row>
    <row r="77" spans="1:17">
      <c r="A77" t="s">
        <v>137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 s="3">
        <v>46117</v>
      </c>
    </row>
    <row r="78" spans="1:17">
      <c r="A78" t="s">
        <v>139</v>
      </c>
      <c r="B78" t="s">
        <v>25</v>
      </c>
      <c r="C78" t="s">
        <v>26</v>
      </c>
      <c r="D78" t="s">
        <v>20</v>
      </c>
      <c r="E78" t="s">
        <v>30</v>
      </c>
      <c r="F78" t="s">
        <v>43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 s="3">
        <v>46181</v>
      </c>
    </row>
    <row r="79" spans="1:17">
      <c r="A79" t="s">
        <v>140</v>
      </c>
      <c r="B79" t="s">
        <v>18</v>
      </c>
      <c r="C79" t="s">
        <v>19</v>
      </c>
      <c r="D79" t="s">
        <v>20</v>
      </c>
      <c r="E79" t="s">
        <v>21</v>
      </c>
      <c r="F79" t="s">
        <v>43</v>
      </c>
      <c r="G79" s="3">
        <v>46042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 s="3">
        <v>46208</v>
      </c>
    </row>
    <row r="80" spans="1:17">
      <c r="A80" t="s">
        <v>141</v>
      </c>
      <c r="B80" t="s">
        <v>25</v>
      </c>
      <c r="C80" t="s">
        <v>26</v>
      </c>
      <c r="D80" t="s">
        <v>20</v>
      </c>
      <c r="E80" t="s">
        <v>21</v>
      </c>
      <c r="F80" t="s">
        <v>40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 s="3">
        <v>46179</v>
      </c>
    </row>
    <row r="81" spans="1:17">
      <c r="A81" t="s">
        <v>142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136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>
      <c r="A82" t="s">
        <v>143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62</v>
      </c>
      <c r="L82" s="2">
        <v>0.61249999999999993</v>
      </c>
      <c r="M82" t="s">
        <v>33</v>
      </c>
      <c r="N82">
        <v>595.14</v>
      </c>
      <c r="O82">
        <v>4.7619047620000003</v>
      </c>
      <c r="P82">
        <v>29.757000000000001</v>
      </c>
      <c r="Q82" s="3">
        <v>46147</v>
      </c>
    </row>
    <row r="83" spans="1:17">
      <c r="A83" t="s">
        <v>144</v>
      </c>
      <c r="B83" t="s">
        <v>34</v>
      </c>
      <c r="C83" t="s">
        <v>35</v>
      </c>
      <c r="D83" t="s">
        <v>27</v>
      </c>
      <c r="E83" t="s">
        <v>21</v>
      </c>
      <c r="F83" t="s">
        <v>40</v>
      </c>
      <c r="G83">
        <v>96.68</v>
      </c>
      <c r="H83">
        <v>3</v>
      </c>
      <c r="I83">
        <v>14.502000000000001</v>
      </c>
      <c r="J83">
        <v>304.54199999999997</v>
      </c>
      <c r="K83" t="s">
        <v>145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 s="3">
        <v>46118</v>
      </c>
    </row>
    <row r="84" spans="1:17">
      <c r="A84" t="s">
        <v>146</v>
      </c>
      <c r="B84" t="s">
        <v>25</v>
      </c>
      <c r="C84" t="s">
        <v>26</v>
      </c>
      <c r="D84" t="s">
        <v>27</v>
      </c>
      <c r="E84" t="s">
        <v>30</v>
      </c>
      <c r="F84" t="s">
        <v>40</v>
      </c>
      <c r="G84">
        <v>19.25</v>
      </c>
      <c r="H84">
        <v>8</v>
      </c>
      <c r="I84" s="3">
        <v>46210</v>
      </c>
      <c r="J84">
        <v>161.69999999999999</v>
      </c>
      <c r="K84" t="s">
        <v>147</v>
      </c>
      <c r="L84" s="2">
        <v>0.77569444444444446</v>
      </c>
      <c r="M84" t="s">
        <v>23</v>
      </c>
      <c r="N84">
        <v>154</v>
      </c>
      <c r="O84">
        <v>4.7619047620000003</v>
      </c>
      <c r="P84" s="3">
        <v>46210</v>
      </c>
      <c r="Q84" s="3">
        <v>46179</v>
      </c>
    </row>
    <row r="85" spans="1:17">
      <c r="A85" t="s">
        <v>148</v>
      </c>
      <c r="B85" t="s">
        <v>25</v>
      </c>
      <c r="C85" t="s">
        <v>26</v>
      </c>
      <c r="D85" t="s">
        <v>20</v>
      </c>
      <c r="E85" t="s">
        <v>21</v>
      </c>
      <c r="F85" t="s">
        <v>40</v>
      </c>
      <c r="G85">
        <v>80.36</v>
      </c>
      <c r="H85">
        <v>4</v>
      </c>
      <c r="I85">
        <v>16.071999999999999</v>
      </c>
      <c r="J85">
        <v>337.512</v>
      </c>
      <c r="K85" t="s">
        <v>149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 s="3">
        <v>46089</v>
      </c>
    </row>
    <row r="86" spans="1:17">
      <c r="A86" t="s">
        <v>150</v>
      </c>
      <c r="B86" t="s">
        <v>25</v>
      </c>
      <c r="C86" t="s">
        <v>26</v>
      </c>
      <c r="D86" t="s">
        <v>20</v>
      </c>
      <c r="E86" t="s">
        <v>30</v>
      </c>
      <c r="F86" t="s">
        <v>38</v>
      </c>
      <c r="G86">
        <v>48.91</v>
      </c>
      <c r="H86">
        <v>5</v>
      </c>
      <c r="I86" s="4">
        <v>27729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 s="4">
        <v>27729</v>
      </c>
      <c r="Q86" s="3">
        <v>46179</v>
      </c>
    </row>
    <row r="87" spans="1:17">
      <c r="A87" t="s">
        <v>151</v>
      </c>
      <c r="B87" t="s">
        <v>25</v>
      </c>
      <c r="C87" t="s">
        <v>26</v>
      </c>
      <c r="D87" t="s">
        <v>27</v>
      </c>
      <c r="E87" t="s">
        <v>21</v>
      </c>
      <c r="F87" t="s">
        <v>38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>
      <c r="A88" t="s">
        <v>152</v>
      </c>
      <c r="B88" t="s">
        <v>25</v>
      </c>
      <c r="C88" t="s">
        <v>26</v>
      </c>
      <c r="D88" t="s">
        <v>27</v>
      </c>
      <c r="E88" t="s">
        <v>30</v>
      </c>
      <c r="F88" t="s">
        <v>43</v>
      </c>
      <c r="G88">
        <v>76.52</v>
      </c>
      <c r="H88">
        <v>5</v>
      </c>
      <c r="I88">
        <v>19.13</v>
      </c>
      <c r="J88">
        <v>401.73</v>
      </c>
      <c r="K88" t="s">
        <v>42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 s="3">
        <v>46274</v>
      </c>
    </row>
    <row r="89" spans="1:17">
      <c r="A89" t="s">
        <v>153</v>
      </c>
      <c r="B89" t="s">
        <v>18</v>
      </c>
      <c r="C89" t="s">
        <v>19</v>
      </c>
      <c r="D89" t="s">
        <v>20</v>
      </c>
      <c r="E89" t="s">
        <v>30</v>
      </c>
      <c r="F89" t="s">
        <v>40</v>
      </c>
      <c r="G89">
        <v>49.38</v>
      </c>
      <c r="H89">
        <v>7</v>
      </c>
      <c r="I89">
        <v>17.283000000000001</v>
      </c>
      <c r="J89">
        <v>362.94299999999998</v>
      </c>
      <c r="K89" t="s">
        <v>112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 s="3">
        <v>46088</v>
      </c>
    </row>
    <row r="90" spans="1:17">
      <c r="A90" t="s">
        <v>154</v>
      </c>
      <c r="B90" t="s">
        <v>18</v>
      </c>
      <c r="C90" t="s">
        <v>19</v>
      </c>
      <c r="D90" t="s">
        <v>27</v>
      </c>
      <c r="E90" t="s">
        <v>30</v>
      </c>
      <c r="F90" t="s">
        <v>38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 s="3">
        <v>46208</v>
      </c>
    </row>
    <row r="91" spans="1:17">
      <c r="A91" t="s">
        <v>155</v>
      </c>
      <c r="B91" t="s">
        <v>34</v>
      </c>
      <c r="C91" t="s">
        <v>35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99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 s="3">
        <v>46028</v>
      </c>
    </row>
    <row r="92" spans="1:17">
      <c r="A92" t="s">
        <v>156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t="s">
        <v>147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 s="3">
        <v>46029</v>
      </c>
    </row>
    <row r="93" spans="1:17">
      <c r="A93" t="s">
        <v>157</v>
      </c>
      <c r="B93" t="s">
        <v>25</v>
      </c>
      <c r="C93" t="s">
        <v>26</v>
      </c>
      <c r="D93" t="s">
        <v>27</v>
      </c>
      <c r="E93" t="s">
        <v>21</v>
      </c>
      <c r="F93" t="s">
        <v>38</v>
      </c>
      <c r="G93">
        <v>44.86</v>
      </c>
      <c r="H93">
        <v>10</v>
      </c>
      <c r="I93">
        <v>22.43</v>
      </c>
      <c r="J93">
        <v>471.03</v>
      </c>
      <c r="K93" t="s">
        <v>145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 s="3">
        <v>46061</v>
      </c>
    </row>
    <row r="94" spans="1:17">
      <c r="A94" t="s">
        <v>158</v>
      </c>
      <c r="B94" t="s">
        <v>18</v>
      </c>
      <c r="C94" t="s">
        <v>19</v>
      </c>
      <c r="D94" t="s">
        <v>20</v>
      </c>
      <c r="E94" t="s">
        <v>21</v>
      </c>
      <c r="F94" t="s">
        <v>38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 s="3">
        <v>46027</v>
      </c>
    </row>
    <row r="95" spans="1:17">
      <c r="A95" t="s">
        <v>159</v>
      </c>
      <c r="B95" t="s">
        <v>34</v>
      </c>
      <c r="C95" t="s">
        <v>35</v>
      </c>
      <c r="D95" t="s">
        <v>20</v>
      </c>
      <c r="E95" t="s">
        <v>30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 s="3">
        <v>46181</v>
      </c>
    </row>
    <row r="96" spans="1:17">
      <c r="A96" t="s">
        <v>160</v>
      </c>
      <c r="B96" t="s">
        <v>25</v>
      </c>
      <c r="C96" t="s">
        <v>26</v>
      </c>
      <c r="D96" t="s">
        <v>27</v>
      </c>
      <c r="E96" t="s">
        <v>30</v>
      </c>
      <c r="F96" t="s">
        <v>22</v>
      </c>
      <c r="G96">
        <v>89.75</v>
      </c>
      <c r="H96">
        <v>1</v>
      </c>
      <c r="I96" s="4">
        <v>27485</v>
      </c>
      <c r="J96">
        <v>94.237499999999997</v>
      </c>
      <c r="K96" s="1">
        <v>43618</v>
      </c>
      <c r="L96" s="2">
        <v>0.83680555555555547</v>
      </c>
      <c r="M96" t="s">
        <v>33</v>
      </c>
      <c r="N96">
        <v>89.75</v>
      </c>
      <c r="O96">
        <v>4.7619047620000003</v>
      </c>
      <c r="P96" s="4">
        <v>27485</v>
      </c>
      <c r="Q96" s="3">
        <v>46179</v>
      </c>
    </row>
    <row r="97" spans="1:18">
      <c r="A97" t="s">
        <v>161</v>
      </c>
      <c r="B97" t="s">
        <v>18</v>
      </c>
      <c r="C97" t="s">
        <v>19</v>
      </c>
      <c r="D97" t="s">
        <v>27</v>
      </c>
      <c r="E97" t="s">
        <v>30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 s="3">
        <v>46060</v>
      </c>
    </row>
    <row r="98" spans="1:18">
      <c r="A98" t="s">
        <v>162</v>
      </c>
      <c r="B98" t="s">
        <v>34</v>
      </c>
      <c r="C98" t="s">
        <v>35</v>
      </c>
      <c r="D98" t="s">
        <v>27</v>
      </c>
      <c r="E98" t="s">
        <v>30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56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 s="3">
        <v>46027</v>
      </c>
      <c r="R98" s="4"/>
    </row>
    <row r="99" spans="1:18">
      <c r="A99" t="s">
        <v>163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 s="4">
        <v>16772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 s="3">
        <v>46026</v>
      </c>
      <c r="R99" s="1"/>
    </row>
    <row r="100" spans="1:18">
      <c r="A100" t="s">
        <v>164</v>
      </c>
      <c r="B100" t="s">
        <v>18</v>
      </c>
      <c r="C100" t="s">
        <v>19</v>
      </c>
      <c r="D100" t="s">
        <v>27</v>
      </c>
      <c r="E100" t="s">
        <v>30</v>
      </c>
      <c r="F100" t="s">
        <v>40</v>
      </c>
      <c r="G100">
        <v>52.75</v>
      </c>
      <c r="H100">
        <v>3</v>
      </c>
      <c r="I100" s="4">
        <v>45839</v>
      </c>
      <c r="J100">
        <v>166.16249999999999</v>
      </c>
      <c r="K100" t="s">
        <v>88</v>
      </c>
      <c r="L100" s="2">
        <v>0.42777777777777781</v>
      </c>
      <c r="M100" t="s">
        <v>23</v>
      </c>
      <c r="N100">
        <v>158.25</v>
      </c>
      <c r="O100">
        <v>4.7619047620000003</v>
      </c>
      <c r="P100" s="4">
        <v>45839</v>
      </c>
      <c r="Q100" s="3">
        <v>46090</v>
      </c>
    </row>
    <row r="101" spans="1:18">
      <c r="A101" t="s">
        <v>165</v>
      </c>
      <c r="B101" t="s">
        <v>34</v>
      </c>
      <c r="C101" t="s">
        <v>35</v>
      </c>
      <c r="D101" t="s">
        <v>27</v>
      </c>
      <c r="E101" t="s">
        <v>30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 s="3">
        <v>46119</v>
      </c>
    </row>
    <row r="102" spans="1:18">
      <c r="A102" t="s">
        <v>166</v>
      </c>
      <c r="B102" t="s">
        <v>25</v>
      </c>
      <c r="C102" t="s">
        <v>26</v>
      </c>
      <c r="D102" t="s">
        <v>20</v>
      </c>
      <c r="E102" t="s">
        <v>30</v>
      </c>
      <c r="F102" t="s">
        <v>43</v>
      </c>
      <c r="G102">
        <v>48.71</v>
      </c>
      <c r="H102">
        <v>1</v>
      </c>
      <c r="I102" s="4">
        <v>20121</v>
      </c>
      <c r="J102">
        <v>51.145499999999998</v>
      </c>
      <c r="K102" t="s">
        <v>167</v>
      </c>
      <c r="L102" s="2">
        <v>0.80555555555555547</v>
      </c>
      <c r="M102" t="s">
        <v>29</v>
      </c>
      <c r="N102">
        <v>48.71</v>
      </c>
      <c r="O102">
        <v>4.7619047620000003</v>
      </c>
      <c r="P102" s="4">
        <v>20121</v>
      </c>
      <c r="Q102" s="3">
        <v>46026</v>
      </c>
    </row>
    <row r="103" spans="1:18">
      <c r="A103" t="s">
        <v>168</v>
      </c>
      <c r="B103" t="s">
        <v>25</v>
      </c>
      <c r="C103" t="s">
        <v>26</v>
      </c>
      <c r="D103" t="s">
        <v>27</v>
      </c>
      <c r="E103" t="s">
        <v>30</v>
      </c>
      <c r="F103" t="s">
        <v>43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 s="3">
        <v>46060</v>
      </c>
    </row>
    <row r="104" spans="1:18">
      <c r="A104" t="s">
        <v>169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 s="3">
        <v>46226</v>
      </c>
      <c r="H104">
        <v>9</v>
      </c>
      <c r="I104" s="4">
        <v>42278</v>
      </c>
      <c r="J104">
        <v>218.01150000000001</v>
      </c>
      <c r="K104" s="1">
        <v>43467</v>
      </c>
      <c r="L104" s="2">
        <v>0.4770833333333333</v>
      </c>
      <c r="M104" t="s">
        <v>29</v>
      </c>
      <c r="N104">
        <v>207.63</v>
      </c>
      <c r="O104">
        <v>4.7619047620000003</v>
      </c>
      <c r="P104" s="4">
        <v>42278</v>
      </c>
      <c r="Q104" s="3">
        <v>46269</v>
      </c>
    </row>
    <row r="105" spans="1:18">
      <c r="A105" t="s">
        <v>170</v>
      </c>
      <c r="B105" t="s">
        <v>18</v>
      </c>
      <c r="C105" t="s">
        <v>19</v>
      </c>
      <c r="D105" t="s">
        <v>27</v>
      </c>
      <c r="E105" t="s">
        <v>30</v>
      </c>
      <c r="F105" t="s">
        <v>40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171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 s="3">
        <v>46274</v>
      </c>
    </row>
    <row r="106" spans="1:18">
      <c r="A106" t="s">
        <v>172</v>
      </c>
      <c r="B106" t="s">
        <v>34</v>
      </c>
      <c r="C106" t="s">
        <v>35</v>
      </c>
      <c r="D106" t="s">
        <v>27</v>
      </c>
      <c r="E106" t="s">
        <v>30</v>
      </c>
      <c r="F106" t="s">
        <v>22</v>
      </c>
      <c r="G106">
        <v>30.35</v>
      </c>
      <c r="H106">
        <v>7</v>
      </c>
      <c r="I106" s="4">
        <v>45931</v>
      </c>
      <c r="J106">
        <v>223.07249999999999</v>
      </c>
      <c r="K106" t="s">
        <v>103</v>
      </c>
      <c r="L106" s="2">
        <v>0.7631944444444444</v>
      </c>
      <c r="M106" t="s">
        <v>29</v>
      </c>
      <c r="N106">
        <v>212.45</v>
      </c>
      <c r="O106">
        <v>4.7619047620000003</v>
      </c>
      <c r="P106" s="4">
        <v>45931</v>
      </c>
      <c r="Q106">
        <v>8</v>
      </c>
    </row>
    <row r="107" spans="1:18">
      <c r="A107" t="s">
        <v>173</v>
      </c>
      <c r="B107" t="s">
        <v>18</v>
      </c>
      <c r="C107" t="s">
        <v>19</v>
      </c>
      <c r="D107" t="s">
        <v>20</v>
      </c>
      <c r="E107" t="s">
        <v>30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 s="3">
        <v>46088</v>
      </c>
    </row>
    <row r="108" spans="1:18">
      <c r="A108" t="s">
        <v>174</v>
      </c>
      <c r="B108" t="s">
        <v>25</v>
      </c>
      <c r="C108" t="s">
        <v>26</v>
      </c>
      <c r="D108" t="s">
        <v>27</v>
      </c>
      <c r="E108" t="s">
        <v>30</v>
      </c>
      <c r="F108" t="s">
        <v>43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0.87083333333333324</v>
      </c>
      <c r="M108" t="s">
        <v>33</v>
      </c>
      <c r="N108">
        <v>164.28</v>
      </c>
      <c r="O108">
        <v>4.7619047620000003</v>
      </c>
      <c r="P108">
        <v>8.2140000000000004</v>
      </c>
      <c r="Q108" s="3">
        <v>46272</v>
      </c>
    </row>
    <row r="109" spans="1:18">
      <c r="A109" t="s">
        <v>175</v>
      </c>
      <c r="B109" t="s">
        <v>18</v>
      </c>
      <c r="C109" t="s">
        <v>19</v>
      </c>
      <c r="D109" t="s">
        <v>27</v>
      </c>
      <c r="E109" t="s">
        <v>30</v>
      </c>
      <c r="F109" t="s">
        <v>38</v>
      </c>
      <c r="G109">
        <v>62.13</v>
      </c>
      <c r="H109">
        <v>6</v>
      </c>
      <c r="I109">
        <v>18.638999999999999</v>
      </c>
      <c r="J109">
        <v>391.41899999999998</v>
      </c>
      <c r="K109" t="s">
        <v>72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 s="3">
        <v>46119</v>
      </c>
    </row>
    <row r="110" spans="1:18">
      <c r="A110" t="s">
        <v>176</v>
      </c>
      <c r="B110" t="s">
        <v>25</v>
      </c>
      <c r="C110" t="s">
        <v>26</v>
      </c>
      <c r="D110" t="s">
        <v>27</v>
      </c>
      <c r="E110" t="s">
        <v>21</v>
      </c>
      <c r="F110" t="s">
        <v>40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177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 s="3">
        <v>46057</v>
      </c>
    </row>
    <row r="111" spans="1:18">
      <c r="A111" t="s">
        <v>178</v>
      </c>
      <c r="B111" t="s">
        <v>25</v>
      </c>
      <c r="C111" t="s">
        <v>26</v>
      </c>
      <c r="D111" t="s">
        <v>20</v>
      </c>
      <c r="E111" t="s">
        <v>30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 s="3">
        <v>46062</v>
      </c>
    </row>
    <row r="112" spans="1:18">
      <c r="A112" t="s">
        <v>179</v>
      </c>
      <c r="B112" t="s">
        <v>34</v>
      </c>
      <c r="C112" t="s">
        <v>35</v>
      </c>
      <c r="D112" t="s">
        <v>20</v>
      </c>
      <c r="E112" t="s">
        <v>21</v>
      </c>
      <c r="F112" t="s">
        <v>38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 s="3">
        <v>46177</v>
      </c>
    </row>
    <row r="113" spans="1:17">
      <c r="A113" t="s">
        <v>180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0.44513888888888892</v>
      </c>
      <c r="M113" t="s">
        <v>33</v>
      </c>
      <c r="N113">
        <v>294.63</v>
      </c>
      <c r="O113">
        <v>4.7619047620000003</v>
      </c>
      <c r="P113">
        <v>14.7315</v>
      </c>
      <c r="Q113" s="3">
        <v>46241</v>
      </c>
    </row>
    <row r="114" spans="1:17">
      <c r="A114" t="s">
        <v>181</v>
      </c>
      <c r="B114" t="s">
        <v>34</v>
      </c>
      <c r="C114" t="s">
        <v>35</v>
      </c>
      <c r="D114" t="s">
        <v>27</v>
      </c>
      <c r="E114" t="s">
        <v>21</v>
      </c>
      <c r="F114" t="s">
        <v>43</v>
      </c>
      <c r="G114">
        <v>72.84</v>
      </c>
      <c r="H114">
        <v>7</v>
      </c>
      <c r="I114">
        <v>25.494</v>
      </c>
      <c r="J114">
        <v>535.37400000000002</v>
      </c>
      <c r="K114" t="s">
        <v>118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 s="3">
        <v>46120</v>
      </c>
    </row>
    <row r="115" spans="1:17">
      <c r="A115" t="s">
        <v>182</v>
      </c>
      <c r="B115" t="s">
        <v>18</v>
      </c>
      <c r="C115" t="s">
        <v>19</v>
      </c>
      <c r="D115" t="s">
        <v>20</v>
      </c>
      <c r="E115" t="s">
        <v>30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183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 s="3">
        <v>46085</v>
      </c>
    </row>
    <row r="116" spans="1:17">
      <c r="A116" t="s">
        <v>184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 s="3">
        <v>46151</v>
      </c>
    </row>
    <row r="117" spans="1:17">
      <c r="A117" t="s">
        <v>185</v>
      </c>
      <c r="B117" t="s">
        <v>25</v>
      </c>
      <c r="C117" t="s">
        <v>26</v>
      </c>
      <c r="D117" t="s">
        <v>27</v>
      </c>
      <c r="E117" t="s">
        <v>21</v>
      </c>
      <c r="F117" t="s">
        <v>43</v>
      </c>
      <c r="G117" s="3">
        <v>46080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0.54236111111111118</v>
      </c>
      <c r="M117" t="s">
        <v>33</v>
      </c>
      <c r="N117">
        <v>81.06</v>
      </c>
      <c r="O117">
        <v>4.7619047620000003</v>
      </c>
      <c r="P117">
        <v>4.0529999999999999</v>
      </c>
      <c r="Q117" s="3">
        <v>46029</v>
      </c>
    </row>
    <row r="118" spans="1:17">
      <c r="A118" t="s">
        <v>186</v>
      </c>
      <c r="B118" t="s">
        <v>34</v>
      </c>
      <c r="C118" t="s">
        <v>35</v>
      </c>
      <c r="D118" t="s">
        <v>20</v>
      </c>
      <c r="E118" t="s">
        <v>30</v>
      </c>
      <c r="F118" t="s">
        <v>43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 s="3">
        <v>46086</v>
      </c>
    </row>
    <row r="119" spans="1:17">
      <c r="A119" t="s">
        <v>187</v>
      </c>
      <c r="B119" t="s">
        <v>34</v>
      </c>
      <c r="C119" t="s">
        <v>35</v>
      </c>
      <c r="D119" t="s">
        <v>20</v>
      </c>
      <c r="E119" t="s">
        <v>30</v>
      </c>
      <c r="F119" t="s">
        <v>43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188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 s="3">
        <v>46058</v>
      </c>
    </row>
    <row r="120" spans="1:17">
      <c r="A120" t="s">
        <v>189</v>
      </c>
      <c r="B120" t="s">
        <v>18</v>
      </c>
      <c r="C120" t="s">
        <v>19</v>
      </c>
      <c r="D120" t="s">
        <v>27</v>
      </c>
      <c r="E120" t="s">
        <v>21</v>
      </c>
      <c r="F120" t="s">
        <v>40</v>
      </c>
      <c r="G120" s="4">
        <v>35339</v>
      </c>
      <c r="H120">
        <v>10</v>
      </c>
      <c r="I120" s="4">
        <v>17654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 s="4">
        <v>17654</v>
      </c>
      <c r="Q120">
        <v>6</v>
      </c>
    </row>
    <row r="121" spans="1:17">
      <c r="A121" t="s">
        <v>190</v>
      </c>
      <c r="B121" t="s">
        <v>34</v>
      </c>
      <c r="C121" t="s">
        <v>35</v>
      </c>
      <c r="D121" t="s">
        <v>27</v>
      </c>
      <c r="E121" t="s">
        <v>30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t="s">
        <v>115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 s="3">
        <v>46026</v>
      </c>
    </row>
    <row r="122" spans="1:17">
      <c r="A122" t="s">
        <v>191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123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 s="3">
        <v>46058</v>
      </c>
    </row>
    <row r="123" spans="1:17">
      <c r="A123" t="s">
        <v>192</v>
      </c>
      <c r="B123" t="s">
        <v>25</v>
      </c>
      <c r="C123" t="s">
        <v>26</v>
      </c>
      <c r="D123" t="s">
        <v>20</v>
      </c>
      <c r="E123" t="s">
        <v>30</v>
      </c>
      <c r="F123" t="s">
        <v>38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 s="3">
        <v>46148</v>
      </c>
    </row>
    <row r="124" spans="1:17">
      <c r="A124" t="s">
        <v>193</v>
      </c>
      <c r="B124" t="s">
        <v>34</v>
      </c>
      <c r="C124" t="s">
        <v>35</v>
      </c>
      <c r="D124" t="s">
        <v>20</v>
      </c>
      <c r="E124" t="s">
        <v>30</v>
      </c>
      <c r="F124" t="s">
        <v>38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 s="3">
        <v>46057</v>
      </c>
    </row>
    <row r="125" spans="1:17">
      <c r="A125" t="s">
        <v>194</v>
      </c>
      <c r="B125" t="s">
        <v>25</v>
      </c>
      <c r="C125" t="s">
        <v>26</v>
      </c>
      <c r="D125" t="s">
        <v>20</v>
      </c>
      <c r="E125" t="s">
        <v>30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t="s">
        <v>125</v>
      </c>
      <c r="L125" s="2">
        <v>0.82777777777777783</v>
      </c>
      <c r="M125" t="s">
        <v>33</v>
      </c>
      <c r="N125">
        <v>511.28</v>
      </c>
      <c r="O125">
        <v>4.7619047620000003</v>
      </c>
      <c r="P125">
        <v>25.564</v>
      </c>
      <c r="Q125" s="3">
        <v>46177</v>
      </c>
    </row>
    <row r="126" spans="1:17">
      <c r="A126" t="s">
        <v>195</v>
      </c>
      <c r="B126" t="s">
        <v>34</v>
      </c>
      <c r="C126" t="s">
        <v>35</v>
      </c>
      <c r="D126" t="s">
        <v>20</v>
      </c>
      <c r="E126" t="s">
        <v>21</v>
      </c>
      <c r="F126" t="s">
        <v>43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 s="3">
        <v>46088</v>
      </c>
    </row>
    <row r="127" spans="1:17">
      <c r="A127" t="s">
        <v>196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 s="3">
        <v>46146</v>
      </c>
    </row>
    <row r="128" spans="1:17">
      <c r="A128" t="s">
        <v>197</v>
      </c>
      <c r="B128" t="s">
        <v>18</v>
      </c>
      <c r="C128" t="s">
        <v>19</v>
      </c>
      <c r="D128" t="s">
        <v>27</v>
      </c>
      <c r="E128" t="s">
        <v>21</v>
      </c>
      <c r="F128" t="s">
        <v>38</v>
      </c>
      <c r="G128">
        <v>32.25</v>
      </c>
      <c r="H128">
        <v>5</v>
      </c>
      <c r="I128">
        <v>8.0625</v>
      </c>
      <c r="J128">
        <v>169.3125</v>
      </c>
      <c r="K128" t="s">
        <v>37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>
      <c r="A129" t="s">
        <v>198</v>
      </c>
      <c r="B129" t="s">
        <v>25</v>
      </c>
      <c r="C129" t="s">
        <v>26</v>
      </c>
      <c r="D129" t="s">
        <v>27</v>
      </c>
      <c r="E129" t="s">
        <v>21</v>
      </c>
      <c r="F129" t="s">
        <v>43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 s="3">
        <v>46270</v>
      </c>
    </row>
    <row r="130" spans="1:17">
      <c r="A130" t="s">
        <v>199</v>
      </c>
      <c r="B130" t="s">
        <v>25</v>
      </c>
      <c r="C130" t="s">
        <v>26</v>
      </c>
      <c r="D130" t="s">
        <v>20</v>
      </c>
      <c r="E130" t="s">
        <v>21</v>
      </c>
      <c r="F130" t="s">
        <v>40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 s="3">
        <v>46150</v>
      </c>
    </row>
    <row r="131" spans="1:17">
      <c r="A131" t="s">
        <v>200</v>
      </c>
      <c r="B131" t="s">
        <v>34</v>
      </c>
      <c r="C131" t="s">
        <v>35</v>
      </c>
      <c r="D131" t="s">
        <v>27</v>
      </c>
      <c r="E131" t="s">
        <v>21</v>
      </c>
      <c r="F131" t="s">
        <v>38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 s="3">
        <v>46060</v>
      </c>
    </row>
    <row r="132" spans="1:17">
      <c r="A132" t="s">
        <v>201</v>
      </c>
      <c r="B132" t="s">
        <v>34</v>
      </c>
      <c r="C132" t="s">
        <v>35</v>
      </c>
      <c r="D132" t="s">
        <v>27</v>
      </c>
      <c r="E132" t="s">
        <v>21</v>
      </c>
      <c r="F132" t="s">
        <v>43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76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 s="3">
        <v>46149</v>
      </c>
    </row>
    <row r="133" spans="1:17">
      <c r="A133" t="s">
        <v>202</v>
      </c>
      <c r="B133" t="s">
        <v>18</v>
      </c>
      <c r="C133" t="s">
        <v>19</v>
      </c>
      <c r="D133" t="s">
        <v>20</v>
      </c>
      <c r="E133" t="s">
        <v>21</v>
      </c>
      <c r="F133" t="s">
        <v>38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 s="3">
        <v>46089</v>
      </c>
    </row>
    <row r="134" spans="1:17">
      <c r="A134" t="s">
        <v>203</v>
      </c>
      <c r="B134" t="s">
        <v>34</v>
      </c>
      <c r="C134" t="s">
        <v>35</v>
      </c>
      <c r="D134" t="s">
        <v>27</v>
      </c>
      <c r="E134" t="s">
        <v>21</v>
      </c>
      <c r="F134" t="s">
        <v>38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 s="3">
        <v>46119</v>
      </c>
    </row>
    <row r="135" spans="1:17">
      <c r="A135" t="s">
        <v>204</v>
      </c>
      <c r="B135" t="s">
        <v>34</v>
      </c>
      <c r="C135" t="s">
        <v>35</v>
      </c>
      <c r="D135" t="s">
        <v>20</v>
      </c>
      <c r="E135" t="s">
        <v>30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69</v>
      </c>
      <c r="L135" s="2">
        <v>0.61111111111111105</v>
      </c>
      <c r="M135" t="s">
        <v>33</v>
      </c>
      <c r="N135">
        <v>524.70000000000005</v>
      </c>
      <c r="O135">
        <v>4.7619047620000003</v>
      </c>
      <c r="P135">
        <v>26.234999999999999</v>
      </c>
      <c r="Q135" s="3">
        <v>46242</v>
      </c>
    </row>
    <row r="136" spans="1:17">
      <c r="A136" t="s">
        <v>205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 s="3">
        <v>46086</v>
      </c>
    </row>
    <row r="137" spans="1:17">
      <c r="A137" t="s">
        <v>206</v>
      </c>
      <c r="B137" t="s">
        <v>25</v>
      </c>
      <c r="C137" t="s">
        <v>26</v>
      </c>
      <c r="D137" t="s">
        <v>27</v>
      </c>
      <c r="E137" t="s">
        <v>30</v>
      </c>
      <c r="F137" t="s">
        <v>43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207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 s="3">
        <v>46059</v>
      </c>
    </row>
    <row r="138" spans="1:17">
      <c r="A138" t="s">
        <v>208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 s="4">
        <v>27546</v>
      </c>
      <c r="J138">
        <v>138.1275</v>
      </c>
      <c r="K138" t="s">
        <v>209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 s="4">
        <v>27546</v>
      </c>
      <c r="Q138" s="3">
        <v>46242</v>
      </c>
    </row>
    <row r="139" spans="1:17">
      <c r="A139" t="s">
        <v>210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t="s">
        <v>207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 s="3">
        <v>46243</v>
      </c>
    </row>
    <row r="140" spans="1:17">
      <c r="A140" t="s">
        <v>211</v>
      </c>
      <c r="B140" t="s">
        <v>34</v>
      </c>
      <c r="C140" t="s">
        <v>35</v>
      </c>
      <c r="D140" t="s">
        <v>27</v>
      </c>
      <c r="E140" t="s">
        <v>30</v>
      </c>
      <c r="F140" t="s">
        <v>38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 s="3">
        <v>46061</v>
      </c>
    </row>
    <row r="141" spans="1:17">
      <c r="A141" t="s">
        <v>213</v>
      </c>
      <c r="B141" t="s">
        <v>18</v>
      </c>
      <c r="C141" t="s">
        <v>19</v>
      </c>
      <c r="D141" t="s">
        <v>27</v>
      </c>
      <c r="E141" t="s">
        <v>30</v>
      </c>
      <c r="F141" t="s">
        <v>38</v>
      </c>
      <c r="G141">
        <v>72.5</v>
      </c>
      <c r="H141">
        <v>8</v>
      </c>
      <c r="I141">
        <v>29</v>
      </c>
      <c r="J141">
        <v>609</v>
      </c>
      <c r="K141" t="s">
        <v>96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 s="3">
        <v>46062</v>
      </c>
    </row>
    <row r="142" spans="1:17">
      <c r="A142" t="s">
        <v>214</v>
      </c>
      <c r="B142" t="s">
        <v>25</v>
      </c>
      <c r="C142" t="s">
        <v>26</v>
      </c>
      <c r="D142" t="s">
        <v>20</v>
      </c>
      <c r="E142" t="s">
        <v>21</v>
      </c>
      <c r="F142" t="s">
        <v>38</v>
      </c>
      <c r="G142">
        <v>89.8</v>
      </c>
      <c r="H142">
        <v>10</v>
      </c>
      <c r="I142">
        <v>44.9</v>
      </c>
      <c r="J142">
        <v>942.9</v>
      </c>
      <c r="K142" t="s">
        <v>147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 s="3">
        <v>46117</v>
      </c>
    </row>
    <row r="143" spans="1:17">
      <c r="A143" t="s">
        <v>215</v>
      </c>
      <c r="B143" t="s">
        <v>25</v>
      </c>
      <c r="C143" t="s">
        <v>26</v>
      </c>
      <c r="D143" t="s">
        <v>20</v>
      </c>
      <c r="E143" t="s">
        <v>30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76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 s="3">
        <v>46030</v>
      </c>
    </row>
    <row r="144" spans="1:17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 s="3">
        <v>46031</v>
      </c>
    </row>
    <row r="145" spans="1:17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40</v>
      </c>
      <c r="G145">
        <v>30.41</v>
      </c>
      <c r="H145">
        <v>1</v>
      </c>
      <c r="I145" s="4">
        <v>38353</v>
      </c>
      <c r="J145">
        <v>31.930499999999999</v>
      </c>
      <c r="K145" t="s">
        <v>218</v>
      </c>
      <c r="L145" s="2">
        <v>0.44166666666666665</v>
      </c>
      <c r="M145" t="s">
        <v>33</v>
      </c>
      <c r="N145">
        <v>30.41</v>
      </c>
      <c r="O145">
        <v>4.7619047620000003</v>
      </c>
      <c r="P145" s="4">
        <v>38353</v>
      </c>
      <c r="Q145" s="3">
        <v>46120</v>
      </c>
    </row>
    <row r="146" spans="1:17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t="s">
        <v>62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 s="3">
        <v>46151</v>
      </c>
    </row>
    <row r="148" spans="1:17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43</v>
      </c>
      <c r="G148">
        <v>30.14</v>
      </c>
      <c r="H148">
        <v>10</v>
      </c>
      <c r="I148" s="3">
        <v>46218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 s="3">
        <v>46218</v>
      </c>
      <c r="Q148" s="3">
        <v>46062</v>
      </c>
    </row>
    <row r="149" spans="1:17">
      <c r="A149" t="s">
        <v>222</v>
      </c>
      <c r="B149" t="s">
        <v>25</v>
      </c>
      <c r="C149" t="s">
        <v>26</v>
      </c>
      <c r="D149" t="s">
        <v>27</v>
      </c>
      <c r="E149" t="s">
        <v>30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 s="3">
        <v>46178</v>
      </c>
    </row>
    <row r="150" spans="1:17">
      <c r="A150" t="s">
        <v>223</v>
      </c>
      <c r="B150" t="s">
        <v>34</v>
      </c>
      <c r="C150" t="s">
        <v>35</v>
      </c>
      <c r="D150" t="s">
        <v>20</v>
      </c>
      <c r="E150" t="s">
        <v>30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 s="3">
        <v>46059</v>
      </c>
    </row>
    <row r="151" spans="1:17">
      <c r="A151" t="s">
        <v>224</v>
      </c>
      <c r="B151" t="s">
        <v>18</v>
      </c>
      <c r="C151" t="s">
        <v>19</v>
      </c>
      <c r="D151" t="s">
        <v>27</v>
      </c>
      <c r="E151" t="s">
        <v>30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112</v>
      </c>
      <c r="L151" s="2">
        <v>0.57500000000000007</v>
      </c>
      <c r="M151" t="s">
        <v>33</v>
      </c>
      <c r="N151">
        <v>259.68</v>
      </c>
      <c r="O151">
        <v>4.7619047620000003</v>
      </c>
      <c r="P151">
        <v>12.984</v>
      </c>
      <c r="Q151" s="3">
        <v>46269</v>
      </c>
    </row>
    <row r="152" spans="1:17">
      <c r="A152" t="s">
        <v>225</v>
      </c>
      <c r="B152" t="s">
        <v>34</v>
      </c>
      <c r="C152" t="s">
        <v>35</v>
      </c>
      <c r="D152" t="s">
        <v>20</v>
      </c>
      <c r="E152" t="s">
        <v>21</v>
      </c>
      <c r="F152" t="s">
        <v>43</v>
      </c>
      <c r="G152">
        <v>91.54</v>
      </c>
      <c r="H152">
        <v>4</v>
      </c>
      <c r="I152">
        <v>18.308</v>
      </c>
      <c r="J152">
        <v>384.46800000000002</v>
      </c>
      <c r="K152" t="s">
        <v>88</v>
      </c>
      <c r="L152" s="2">
        <v>0.80555555555555547</v>
      </c>
      <c r="M152" t="s">
        <v>33</v>
      </c>
      <c r="N152">
        <v>366.16</v>
      </c>
      <c r="O152">
        <v>4.7619047620000003</v>
      </c>
      <c r="P152">
        <v>18.308</v>
      </c>
      <c r="Q152" s="3">
        <v>46238</v>
      </c>
    </row>
    <row r="153" spans="1:17">
      <c r="A153" t="s">
        <v>226</v>
      </c>
      <c r="B153" t="s">
        <v>25</v>
      </c>
      <c r="C153" t="s">
        <v>26</v>
      </c>
      <c r="D153" t="s">
        <v>20</v>
      </c>
      <c r="E153" t="s">
        <v>30</v>
      </c>
      <c r="F153" t="s">
        <v>38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0.67152777777777783</v>
      </c>
      <c r="M153" t="s">
        <v>33</v>
      </c>
      <c r="N153">
        <v>241.92</v>
      </c>
      <c r="O153">
        <v>4.7619047620000003</v>
      </c>
      <c r="P153">
        <v>12.096</v>
      </c>
      <c r="Q153" s="3">
        <v>46088</v>
      </c>
    </row>
    <row r="154" spans="1:17">
      <c r="A154" t="s">
        <v>227</v>
      </c>
      <c r="B154" t="s">
        <v>18</v>
      </c>
      <c r="C154" t="s">
        <v>19</v>
      </c>
      <c r="D154" t="s">
        <v>27</v>
      </c>
      <c r="E154" t="s">
        <v>30</v>
      </c>
      <c r="F154" t="s">
        <v>43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 s="3">
        <v>46119</v>
      </c>
    </row>
    <row r="155" spans="1:17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40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 s="3">
        <v>46274</v>
      </c>
    </row>
    <row r="156" spans="1:17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38</v>
      </c>
      <c r="G156">
        <v>80.97</v>
      </c>
      <c r="H156">
        <v>8</v>
      </c>
      <c r="I156">
        <v>32.387999999999998</v>
      </c>
      <c r="J156">
        <v>680.14800000000002</v>
      </c>
      <c r="K156" t="s">
        <v>80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 s="3">
        <v>46090</v>
      </c>
    </row>
    <row r="157" spans="1:17">
      <c r="A157" t="s">
        <v>231</v>
      </c>
      <c r="B157" t="s">
        <v>18</v>
      </c>
      <c r="C157" t="s">
        <v>19</v>
      </c>
      <c r="D157" t="s">
        <v>20</v>
      </c>
      <c r="E157" t="s">
        <v>30</v>
      </c>
      <c r="F157" t="s">
        <v>40</v>
      </c>
      <c r="G157">
        <v>92.29</v>
      </c>
      <c r="H157">
        <v>5</v>
      </c>
      <c r="I157">
        <v>23.072500000000002</v>
      </c>
      <c r="J157">
        <v>484.52249999999998</v>
      </c>
      <c r="K157" t="s">
        <v>50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>
      <c r="A158" t="s">
        <v>232</v>
      </c>
      <c r="B158" t="s">
        <v>34</v>
      </c>
      <c r="C158" t="s">
        <v>35</v>
      </c>
      <c r="D158" t="s">
        <v>20</v>
      </c>
      <c r="E158" t="s">
        <v>30</v>
      </c>
      <c r="F158" t="s">
        <v>28</v>
      </c>
      <c r="G158">
        <v>72.17</v>
      </c>
      <c r="H158">
        <v>1</v>
      </c>
      <c r="I158" s="4">
        <v>31107</v>
      </c>
      <c r="J158">
        <v>75.778499999999994</v>
      </c>
      <c r="K158" s="1">
        <v>43556</v>
      </c>
      <c r="L158" s="2">
        <v>0.81944444444444453</v>
      </c>
      <c r="M158" t="s">
        <v>29</v>
      </c>
      <c r="N158">
        <v>72.17</v>
      </c>
      <c r="O158">
        <v>4.7619047620000003</v>
      </c>
      <c r="P158" s="4">
        <v>31107</v>
      </c>
      <c r="Q158" s="3">
        <v>46028</v>
      </c>
    </row>
    <row r="159" spans="1:17">
      <c r="A159" t="s">
        <v>233</v>
      </c>
      <c r="B159" t="s">
        <v>34</v>
      </c>
      <c r="C159" t="s">
        <v>35</v>
      </c>
      <c r="D159" t="s">
        <v>27</v>
      </c>
      <c r="E159" t="s">
        <v>30</v>
      </c>
      <c r="F159" t="s">
        <v>32</v>
      </c>
      <c r="G159">
        <v>50.28</v>
      </c>
      <c r="H159">
        <v>5</v>
      </c>
      <c r="I159" s="4">
        <v>21155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 s="4">
        <v>21155</v>
      </c>
      <c r="Q159" s="3">
        <v>46212</v>
      </c>
    </row>
    <row r="160" spans="1:17">
      <c r="A160" t="s">
        <v>234</v>
      </c>
      <c r="B160" t="s">
        <v>34</v>
      </c>
      <c r="C160" t="s">
        <v>35</v>
      </c>
      <c r="D160" t="s">
        <v>20</v>
      </c>
      <c r="E160" t="s">
        <v>30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>
      <c r="A161" t="s">
        <v>236</v>
      </c>
      <c r="B161" t="s">
        <v>34</v>
      </c>
      <c r="C161" t="s">
        <v>35</v>
      </c>
      <c r="D161" t="s">
        <v>27</v>
      </c>
      <c r="E161" t="s">
        <v>30</v>
      </c>
      <c r="F161" t="s">
        <v>38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112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40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183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 s="3">
        <v>46089</v>
      </c>
    </row>
    <row r="163" spans="1:17">
      <c r="A163" t="s">
        <v>238</v>
      </c>
      <c r="B163" t="s">
        <v>18</v>
      </c>
      <c r="C163" t="s">
        <v>19</v>
      </c>
      <c r="D163" t="s">
        <v>27</v>
      </c>
      <c r="E163" t="s">
        <v>30</v>
      </c>
      <c r="F163" t="s">
        <v>38</v>
      </c>
      <c r="G163">
        <v>63.69</v>
      </c>
      <c r="H163">
        <v>1</v>
      </c>
      <c r="I163">
        <v>3.1844999999999999</v>
      </c>
      <c r="J163">
        <v>66.874499999999998</v>
      </c>
      <c r="K163" t="s">
        <v>45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>
      <c r="A164" t="s">
        <v>239</v>
      </c>
      <c r="B164" t="s">
        <v>18</v>
      </c>
      <c r="C164" t="s">
        <v>19</v>
      </c>
      <c r="D164" t="s">
        <v>27</v>
      </c>
      <c r="E164" t="s">
        <v>30</v>
      </c>
      <c r="F164" t="s">
        <v>40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125</v>
      </c>
      <c r="L164" s="2">
        <v>0.8222222222222223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>
      <c r="A165" t="s">
        <v>240</v>
      </c>
      <c r="B165" t="s">
        <v>25</v>
      </c>
      <c r="C165" t="s">
        <v>26</v>
      </c>
      <c r="D165" t="s">
        <v>27</v>
      </c>
      <c r="E165" t="s">
        <v>30</v>
      </c>
      <c r="F165" t="s">
        <v>38</v>
      </c>
      <c r="G165">
        <v>76.400000000000006</v>
      </c>
      <c r="H165">
        <v>2</v>
      </c>
      <c r="I165" s="4">
        <v>23559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 s="4">
        <v>23559</v>
      </c>
      <c r="Q165" s="3">
        <v>46148</v>
      </c>
    </row>
    <row r="166" spans="1:17">
      <c r="A166" t="s">
        <v>242</v>
      </c>
      <c r="B166" t="s">
        <v>34</v>
      </c>
      <c r="C166" t="s">
        <v>35</v>
      </c>
      <c r="D166" t="s">
        <v>27</v>
      </c>
      <c r="E166" t="s">
        <v>30</v>
      </c>
      <c r="F166" t="s">
        <v>40</v>
      </c>
      <c r="G166">
        <v>39.9</v>
      </c>
      <c r="H166">
        <v>10</v>
      </c>
      <c r="I166">
        <v>19.95</v>
      </c>
      <c r="J166">
        <v>418.95</v>
      </c>
      <c r="K166" t="s">
        <v>50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 s="3">
        <v>46270</v>
      </c>
    </row>
    <row r="167" spans="1:17">
      <c r="A167" t="s">
        <v>243</v>
      </c>
      <c r="B167" t="s">
        <v>34</v>
      </c>
      <c r="C167" t="s">
        <v>35</v>
      </c>
      <c r="D167" t="s">
        <v>20</v>
      </c>
      <c r="E167" t="s">
        <v>30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45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 s="3">
        <v>46178</v>
      </c>
    </row>
    <row r="168" spans="1:17">
      <c r="A168" t="s">
        <v>244</v>
      </c>
      <c r="B168" t="s">
        <v>25</v>
      </c>
      <c r="C168" t="s">
        <v>26</v>
      </c>
      <c r="D168" t="s">
        <v>27</v>
      </c>
      <c r="E168" t="s">
        <v>30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t="s">
        <v>188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 s="3">
        <v>46238</v>
      </c>
    </row>
    <row r="169" spans="1:17">
      <c r="A169" t="s">
        <v>245</v>
      </c>
      <c r="B169" t="s">
        <v>18</v>
      </c>
      <c r="C169" t="s">
        <v>19</v>
      </c>
      <c r="D169" t="s">
        <v>27</v>
      </c>
      <c r="E169" t="s">
        <v>30</v>
      </c>
      <c r="F169" t="s">
        <v>43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0.68055555555555547</v>
      </c>
      <c r="M169" t="s">
        <v>33</v>
      </c>
      <c r="N169">
        <v>989.8</v>
      </c>
      <c r="O169">
        <v>4.7619047620000003</v>
      </c>
      <c r="P169">
        <v>49.49</v>
      </c>
      <c r="Q169" s="3">
        <v>46211</v>
      </c>
    </row>
    <row r="170" spans="1:17">
      <c r="A170" t="s">
        <v>246</v>
      </c>
      <c r="B170" t="s">
        <v>18</v>
      </c>
      <c r="C170" t="s">
        <v>19</v>
      </c>
      <c r="D170" t="s">
        <v>27</v>
      </c>
      <c r="E170" t="s">
        <v>30</v>
      </c>
      <c r="F170" t="s">
        <v>40</v>
      </c>
      <c r="G170">
        <v>51.28</v>
      </c>
      <c r="H170">
        <v>6</v>
      </c>
      <c r="I170">
        <v>15.384</v>
      </c>
      <c r="J170">
        <v>323.06400000000002</v>
      </c>
      <c r="K170" t="s">
        <v>183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 s="3">
        <v>46148</v>
      </c>
    </row>
    <row r="171" spans="1:17">
      <c r="A171" t="s">
        <v>247</v>
      </c>
      <c r="B171" t="s">
        <v>18</v>
      </c>
      <c r="C171" t="s">
        <v>19</v>
      </c>
      <c r="D171" t="s">
        <v>20</v>
      </c>
      <c r="E171" t="s">
        <v>30</v>
      </c>
      <c r="F171" t="s">
        <v>38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 s="3">
        <v>46150</v>
      </c>
    </row>
    <row r="172" spans="1:17">
      <c r="A172" t="s">
        <v>248</v>
      </c>
      <c r="B172" t="s">
        <v>18</v>
      </c>
      <c r="C172" t="s">
        <v>19</v>
      </c>
      <c r="D172" t="s">
        <v>27</v>
      </c>
      <c r="E172" t="s">
        <v>30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 s="3">
        <v>46147</v>
      </c>
    </row>
    <row r="173" spans="1:17">
      <c r="A173" t="s">
        <v>249</v>
      </c>
      <c r="B173" t="s">
        <v>34</v>
      </c>
      <c r="C173" t="s">
        <v>35</v>
      </c>
      <c r="D173" t="s">
        <v>20</v>
      </c>
      <c r="E173" t="s">
        <v>30</v>
      </c>
      <c r="F173" t="s">
        <v>40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145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 s="3">
        <v>46121</v>
      </c>
    </row>
    <row r="174" spans="1:17">
      <c r="A174" t="s">
        <v>250</v>
      </c>
      <c r="B174" t="s">
        <v>25</v>
      </c>
      <c r="C174" t="s">
        <v>26</v>
      </c>
      <c r="D174" t="s">
        <v>27</v>
      </c>
      <c r="E174" t="s">
        <v>30</v>
      </c>
      <c r="F174" t="s">
        <v>28</v>
      </c>
      <c r="G174">
        <v>20.85</v>
      </c>
      <c r="H174">
        <v>8</v>
      </c>
      <c r="I174" s="4">
        <v>12632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 s="4">
        <v>12632</v>
      </c>
      <c r="Q174" s="3">
        <v>46087</v>
      </c>
    </row>
    <row r="175" spans="1:17">
      <c r="A175" t="s">
        <v>251</v>
      </c>
      <c r="B175" t="s">
        <v>34</v>
      </c>
      <c r="C175" t="s">
        <v>35</v>
      </c>
      <c r="D175" t="s">
        <v>20</v>
      </c>
      <c r="E175" t="s">
        <v>30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183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 s="3">
        <v>46243</v>
      </c>
    </row>
    <row r="176" spans="1:17">
      <c r="A176" t="s">
        <v>252</v>
      </c>
      <c r="B176" t="s">
        <v>34</v>
      </c>
      <c r="C176" t="s">
        <v>35</v>
      </c>
      <c r="D176" t="s">
        <v>27</v>
      </c>
      <c r="E176" t="s">
        <v>30</v>
      </c>
      <c r="F176" t="s">
        <v>40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209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 s="3">
        <v>46211</v>
      </c>
    </row>
    <row r="177" spans="1:17">
      <c r="A177" t="s">
        <v>253</v>
      </c>
      <c r="B177" t="s">
        <v>18</v>
      </c>
      <c r="C177" t="s">
        <v>19</v>
      </c>
      <c r="D177" t="s">
        <v>20</v>
      </c>
      <c r="E177" t="s">
        <v>30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 s="3">
        <v>46242</v>
      </c>
    </row>
    <row r="178" spans="1:17">
      <c r="A178" t="s">
        <v>255</v>
      </c>
      <c r="B178" t="s">
        <v>18</v>
      </c>
      <c r="C178" t="s">
        <v>19</v>
      </c>
      <c r="D178" t="s">
        <v>20</v>
      </c>
      <c r="E178" t="s">
        <v>30</v>
      </c>
      <c r="F178" t="s">
        <v>40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33</v>
      </c>
      <c r="N178">
        <v>177.36</v>
      </c>
      <c r="O178">
        <v>4.7619047620000003</v>
      </c>
      <c r="P178">
        <v>8.8680000000000003</v>
      </c>
      <c r="Q178" s="3">
        <v>46182</v>
      </c>
    </row>
    <row r="179" spans="1:17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43</v>
      </c>
      <c r="G179">
        <v>22.51</v>
      </c>
      <c r="H179">
        <v>7</v>
      </c>
      <c r="I179" s="4">
        <v>31229</v>
      </c>
      <c r="J179">
        <v>165.4485</v>
      </c>
      <c r="K179" t="s">
        <v>257</v>
      </c>
      <c r="L179" s="2">
        <v>0.4513888888888889</v>
      </c>
      <c r="M179" t="s">
        <v>33</v>
      </c>
      <c r="N179">
        <v>157.57</v>
      </c>
      <c r="O179">
        <v>4.7619047620000003</v>
      </c>
      <c r="P179" s="4">
        <v>31229</v>
      </c>
      <c r="Q179" s="3">
        <v>46238</v>
      </c>
    </row>
    <row r="180" spans="1:17">
      <c r="A180" t="s">
        <v>258</v>
      </c>
      <c r="B180" t="s">
        <v>18</v>
      </c>
      <c r="C180" t="s">
        <v>19</v>
      </c>
      <c r="D180" t="s">
        <v>27</v>
      </c>
      <c r="E180" t="s">
        <v>30</v>
      </c>
      <c r="F180" t="s">
        <v>40</v>
      </c>
      <c r="G180">
        <v>73.88</v>
      </c>
      <c r="H180">
        <v>6</v>
      </c>
      <c r="I180">
        <v>22.164000000000001</v>
      </c>
      <c r="J180">
        <v>465.44400000000002</v>
      </c>
      <c r="K180" t="s">
        <v>88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 s="3">
        <v>46116</v>
      </c>
    </row>
    <row r="181" spans="1:17">
      <c r="A181" t="s">
        <v>259</v>
      </c>
      <c r="B181" t="s">
        <v>25</v>
      </c>
      <c r="C181" t="s">
        <v>26</v>
      </c>
      <c r="D181" t="s">
        <v>20</v>
      </c>
      <c r="E181" t="s">
        <v>30</v>
      </c>
      <c r="F181" t="s">
        <v>22</v>
      </c>
      <c r="G181">
        <v>86.8</v>
      </c>
      <c r="H181">
        <v>3</v>
      </c>
      <c r="I181" s="3">
        <v>46066</v>
      </c>
      <c r="J181">
        <v>273.42</v>
      </c>
      <c r="K181" t="s">
        <v>80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 s="3">
        <v>46066</v>
      </c>
      <c r="Q181" s="3">
        <v>46274</v>
      </c>
    </row>
    <row r="182" spans="1:17">
      <c r="A182" t="s">
        <v>260</v>
      </c>
      <c r="B182" t="s">
        <v>25</v>
      </c>
      <c r="C182" t="s">
        <v>26</v>
      </c>
      <c r="D182" t="s">
        <v>27</v>
      </c>
      <c r="E182" t="s">
        <v>30</v>
      </c>
      <c r="F182" t="s">
        <v>43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 s="3">
        <v>46208</v>
      </c>
    </row>
    <row r="183" spans="1:17">
      <c r="A183" t="s">
        <v>261</v>
      </c>
      <c r="B183" t="s">
        <v>25</v>
      </c>
      <c r="C183" t="s">
        <v>26</v>
      </c>
      <c r="D183" t="s">
        <v>20</v>
      </c>
      <c r="E183" t="s">
        <v>30</v>
      </c>
      <c r="F183" t="s">
        <v>40</v>
      </c>
      <c r="G183">
        <v>38.47</v>
      </c>
      <c r="H183">
        <v>8</v>
      </c>
      <c r="I183">
        <v>15.388</v>
      </c>
      <c r="J183">
        <v>323.14800000000002</v>
      </c>
      <c r="K183" t="s">
        <v>147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 s="3">
        <v>46210</v>
      </c>
    </row>
    <row r="184" spans="1:17">
      <c r="A184" t="s">
        <v>262</v>
      </c>
      <c r="B184" t="s">
        <v>18</v>
      </c>
      <c r="C184" t="s">
        <v>19</v>
      </c>
      <c r="D184" t="s">
        <v>20</v>
      </c>
      <c r="E184" t="s">
        <v>30</v>
      </c>
      <c r="F184" t="s">
        <v>38</v>
      </c>
      <c r="G184" s="3">
        <v>46157</v>
      </c>
      <c r="H184">
        <v>10</v>
      </c>
      <c r="I184" s="4">
        <v>27576</v>
      </c>
      <c r="J184">
        <v>162.75</v>
      </c>
      <c r="K184" t="s">
        <v>88</v>
      </c>
      <c r="L184" s="2">
        <v>0.4548611111111111</v>
      </c>
      <c r="M184" t="s">
        <v>23</v>
      </c>
      <c r="N184">
        <v>155</v>
      </c>
      <c r="O184">
        <v>4.7619047620000003</v>
      </c>
      <c r="P184" s="4">
        <v>27576</v>
      </c>
      <c r="Q184">
        <v>8</v>
      </c>
    </row>
    <row r="185" spans="1:17">
      <c r="A185" t="s">
        <v>263</v>
      </c>
      <c r="B185" t="s">
        <v>25</v>
      </c>
      <c r="C185" t="s">
        <v>26</v>
      </c>
      <c r="D185" t="s">
        <v>27</v>
      </c>
      <c r="E185" t="s">
        <v>30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76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 s="3">
        <v>46208</v>
      </c>
    </row>
    <row r="186" spans="1:17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38</v>
      </c>
      <c r="G186" s="4">
        <v>12754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 s="3">
        <v>46209</v>
      </c>
    </row>
    <row r="187" spans="1:17">
      <c r="A187" t="s">
        <v>265</v>
      </c>
      <c r="B187" t="s">
        <v>34</v>
      </c>
      <c r="C187" t="s">
        <v>35</v>
      </c>
      <c r="D187" t="s">
        <v>20</v>
      </c>
      <c r="E187" t="s">
        <v>30</v>
      </c>
      <c r="F187" t="s">
        <v>40</v>
      </c>
      <c r="G187" s="3">
        <v>46252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>
      <c r="A188" t="s">
        <v>266</v>
      </c>
      <c r="B188" t="s">
        <v>34</v>
      </c>
      <c r="C188" t="s">
        <v>35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 s="3">
        <v>46149</v>
      </c>
    </row>
    <row r="189" spans="1:17">
      <c r="A189" t="s">
        <v>267</v>
      </c>
      <c r="B189" t="s">
        <v>34</v>
      </c>
      <c r="C189" t="s">
        <v>35</v>
      </c>
      <c r="D189" t="s">
        <v>20</v>
      </c>
      <c r="E189" t="s">
        <v>30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>
      <c r="A190" t="s">
        <v>268</v>
      </c>
      <c r="B190" t="s">
        <v>18</v>
      </c>
      <c r="C190" t="s">
        <v>19</v>
      </c>
      <c r="D190" t="s">
        <v>27</v>
      </c>
      <c r="E190" t="s">
        <v>30</v>
      </c>
      <c r="F190" t="s">
        <v>32</v>
      </c>
      <c r="G190">
        <v>74.069999999999993</v>
      </c>
      <c r="H190">
        <v>1</v>
      </c>
      <c r="I190" s="4">
        <v>12844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 s="4">
        <v>12844</v>
      </c>
      <c r="Q190" s="3">
        <v>46274</v>
      </c>
    </row>
    <row r="191" spans="1:17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t="s">
        <v>80</v>
      </c>
      <c r="L191" s="2">
        <v>0.86805555555555547</v>
      </c>
      <c r="M191" t="s">
        <v>33</v>
      </c>
      <c r="N191">
        <v>279.24</v>
      </c>
      <c r="O191">
        <v>4.7619047620000003</v>
      </c>
      <c r="P191">
        <v>13.962</v>
      </c>
      <c r="Q191" s="3">
        <v>46270</v>
      </c>
    </row>
    <row r="192" spans="1:17">
      <c r="A192" t="s">
        <v>270</v>
      </c>
      <c r="B192" t="s">
        <v>34</v>
      </c>
      <c r="C192" t="s">
        <v>35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0.44375000000000003</v>
      </c>
      <c r="M192" t="s">
        <v>33</v>
      </c>
      <c r="N192">
        <v>231.12</v>
      </c>
      <c r="O192">
        <v>4.7619047620000003</v>
      </c>
      <c r="P192">
        <v>11.555999999999999</v>
      </c>
      <c r="Q192" s="3">
        <v>46060</v>
      </c>
    </row>
    <row r="193" spans="1:17">
      <c r="A193" t="s">
        <v>271</v>
      </c>
      <c r="B193" t="s">
        <v>34</v>
      </c>
      <c r="C193" t="s">
        <v>35</v>
      </c>
      <c r="D193" t="s">
        <v>27</v>
      </c>
      <c r="E193" t="s">
        <v>21</v>
      </c>
      <c r="F193" t="s">
        <v>43</v>
      </c>
      <c r="G193">
        <v>73.52</v>
      </c>
      <c r="H193">
        <v>2</v>
      </c>
      <c r="I193">
        <v>7.3520000000000003</v>
      </c>
      <c r="J193">
        <v>154.392</v>
      </c>
      <c r="K193" t="s">
        <v>58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 s="3">
        <v>46177</v>
      </c>
    </row>
    <row r="194" spans="1:17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40</v>
      </c>
      <c r="G194">
        <v>87.8</v>
      </c>
      <c r="H194">
        <v>9</v>
      </c>
      <c r="I194">
        <v>39.51</v>
      </c>
      <c r="J194">
        <v>829.71</v>
      </c>
      <c r="K194" t="s">
        <v>96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 s="3">
        <v>46062</v>
      </c>
    </row>
    <row r="195" spans="1:17">
      <c r="A195" t="s">
        <v>273</v>
      </c>
      <c r="B195" t="s">
        <v>34</v>
      </c>
      <c r="C195" t="s">
        <v>35</v>
      </c>
      <c r="D195" t="s">
        <v>27</v>
      </c>
      <c r="E195" t="s">
        <v>30</v>
      </c>
      <c r="F195" t="s">
        <v>32</v>
      </c>
      <c r="G195">
        <v>25.55</v>
      </c>
      <c r="H195">
        <v>4</v>
      </c>
      <c r="I195" s="3">
        <v>46331</v>
      </c>
      <c r="J195">
        <v>107.31</v>
      </c>
      <c r="K195" t="s">
        <v>145</v>
      </c>
      <c r="L195" s="2">
        <v>0.84930555555555554</v>
      </c>
      <c r="M195" t="s">
        <v>23</v>
      </c>
      <c r="N195">
        <v>102.2</v>
      </c>
      <c r="O195">
        <v>4.7619047620000003</v>
      </c>
      <c r="P195" s="3">
        <v>46331</v>
      </c>
      <c r="Q195" s="3">
        <v>46208</v>
      </c>
    </row>
    <row r="196" spans="1:17">
      <c r="A196" t="s">
        <v>274</v>
      </c>
      <c r="B196" t="s">
        <v>18</v>
      </c>
      <c r="C196" t="s">
        <v>19</v>
      </c>
      <c r="D196" t="s">
        <v>27</v>
      </c>
      <c r="E196" t="s">
        <v>30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 s="3">
        <v>46274</v>
      </c>
    </row>
    <row r="197" spans="1:17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43</v>
      </c>
      <c r="G197">
        <v>74.290000000000006</v>
      </c>
      <c r="H197">
        <v>1</v>
      </c>
      <c r="I197" s="4">
        <v>16497</v>
      </c>
      <c r="J197">
        <v>78.004499999999993</v>
      </c>
      <c r="K197" t="s">
        <v>138</v>
      </c>
      <c r="L197" s="2">
        <v>0.8125</v>
      </c>
      <c r="M197" t="s">
        <v>29</v>
      </c>
      <c r="N197">
        <v>74.290000000000006</v>
      </c>
      <c r="O197">
        <v>4.7619047620000003</v>
      </c>
      <c r="P197" s="4">
        <v>16497</v>
      </c>
      <c r="Q197">
        <v>5</v>
      </c>
    </row>
    <row r="198" spans="1:17">
      <c r="A198" t="s">
        <v>276</v>
      </c>
      <c r="B198" t="s">
        <v>25</v>
      </c>
      <c r="C198" t="s">
        <v>26</v>
      </c>
      <c r="D198" t="s">
        <v>20</v>
      </c>
      <c r="E198" t="s">
        <v>30</v>
      </c>
      <c r="F198" t="s">
        <v>22</v>
      </c>
      <c r="G198">
        <v>43.7</v>
      </c>
      <c r="H198">
        <v>2</v>
      </c>
      <c r="I198" s="4">
        <v>13606</v>
      </c>
      <c r="J198">
        <v>91.77</v>
      </c>
      <c r="K198" t="s">
        <v>167</v>
      </c>
      <c r="L198" s="2">
        <v>0.75208333333333333</v>
      </c>
      <c r="M198" t="s">
        <v>29</v>
      </c>
      <c r="N198">
        <v>87.4</v>
      </c>
      <c r="O198">
        <v>4.7619047620000003</v>
      </c>
      <c r="P198" s="4">
        <v>13606</v>
      </c>
      <c r="Q198" s="3">
        <v>46269</v>
      </c>
    </row>
    <row r="199" spans="1:17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 s="4">
        <v>16438</v>
      </c>
      <c r="J199">
        <v>26.554500000000001</v>
      </c>
      <c r="K199" t="s">
        <v>88</v>
      </c>
      <c r="L199" s="2">
        <v>0.42569444444444443</v>
      </c>
      <c r="M199" t="s">
        <v>23</v>
      </c>
      <c r="N199">
        <v>25.29</v>
      </c>
      <c r="O199">
        <v>4.7619047620000003</v>
      </c>
      <c r="P199" s="4">
        <v>16438</v>
      </c>
      <c r="Q199" s="3">
        <v>46028</v>
      </c>
    </row>
    <row r="200" spans="1:17">
      <c r="A200" t="s">
        <v>278</v>
      </c>
      <c r="B200" t="s">
        <v>25</v>
      </c>
      <c r="C200" t="s">
        <v>26</v>
      </c>
      <c r="D200" t="s">
        <v>27</v>
      </c>
      <c r="E200" t="s">
        <v>30</v>
      </c>
      <c r="F200" t="s">
        <v>22</v>
      </c>
      <c r="G200">
        <v>41.5</v>
      </c>
      <c r="H200">
        <v>4</v>
      </c>
      <c r="I200" s="3">
        <v>46089</v>
      </c>
      <c r="J200">
        <v>174.3</v>
      </c>
      <c r="K200" s="1">
        <v>43802</v>
      </c>
      <c r="L200" s="2">
        <v>0.83194444444444438</v>
      </c>
      <c r="M200" t="s">
        <v>33</v>
      </c>
      <c r="N200">
        <v>166</v>
      </c>
      <c r="O200">
        <v>4.7619047620000003</v>
      </c>
      <c r="P200" s="3">
        <v>46089</v>
      </c>
      <c r="Q200" s="3">
        <v>46061</v>
      </c>
    </row>
    <row r="201" spans="1:17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40</v>
      </c>
      <c r="G201">
        <v>71.39</v>
      </c>
      <c r="H201">
        <v>5</v>
      </c>
      <c r="I201">
        <v>17.8475</v>
      </c>
      <c r="J201">
        <v>374.79750000000001</v>
      </c>
      <c r="K201" t="s">
        <v>69</v>
      </c>
      <c r="L201" s="2">
        <v>0.83124999999999993</v>
      </c>
      <c r="M201" t="s">
        <v>33</v>
      </c>
      <c r="N201">
        <v>356.95</v>
      </c>
      <c r="O201">
        <v>4.7619047620000003</v>
      </c>
      <c r="P201">
        <v>17.8475</v>
      </c>
      <c r="Q201" s="3">
        <v>46147</v>
      </c>
    </row>
    <row r="202" spans="1:17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38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 s="3">
        <v>46240</v>
      </c>
    </row>
    <row r="203" spans="1:17">
      <c r="A203" t="s">
        <v>281</v>
      </c>
      <c r="B203" t="s">
        <v>34</v>
      </c>
      <c r="C203" t="s">
        <v>35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67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 s="3">
        <v>46179</v>
      </c>
    </row>
    <row r="204" spans="1:17">
      <c r="A204" t="s">
        <v>282</v>
      </c>
      <c r="B204" t="s">
        <v>25</v>
      </c>
      <c r="C204" t="s">
        <v>26</v>
      </c>
      <c r="D204" t="s">
        <v>27</v>
      </c>
      <c r="E204" t="s">
        <v>30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 s="3">
        <v>46243</v>
      </c>
    </row>
    <row r="205" spans="1:17">
      <c r="A205" t="s">
        <v>284</v>
      </c>
      <c r="B205" t="s">
        <v>34</v>
      </c>
      <c r="C205" t="s">
        <v>35</v>
      </c>
      <c r="D205" t="s">
        <v>20</v>
      </c>
      <c r="E205" t="s">
        <v>30</v>
      </c>
      <c r="F205" t="s">
        <v>22</v>
      </c>
      <c r="G205" s="3">
        <v>46290</v>
      </c>
      <c r="H205">
        <v>10</v>
      </c>
      <c r="I205" s="4">
        <v>35034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 s="4">
        <v>35034</v>
      </c>
      <c r="Q205" s="3">
        <v>46211</v>
      </c>
    </row>
    <row r="206" spans="1:17">
      <c r="A206" t="s">
        <v>285</v>
      </c>
      <c r="B206" t="s">
        <v>34</v>
      </c>
      <c r="C206" t="s">
        <v>35</v>
      </c>
      <c r="D206" t="s">
        <v>20</v>
      </c>
      <c r="E206" t="s">
        <v>30</v>
      </c>
      <c r="F206" t="s">
        <v>32</v>
      </c>
      <c r="G206">
        <v>17.77</v>
      </c>
      <c r="H206">
        <v>5</v>
      </c>
      <c r="I206" s="4">
        <v>45748</v>
      </c>
      <c r="J206">
        <v>93.292500000000004</v>
      </c>
      <c r="K206" t="s">
        <v>118</v>
      </c>
      <c r="L206" s="2">
        <v>0.52916666666666667</v>
      </c>
      <c r="M206" t="s">
        <v>33</v>
      </c>
      <c r="N206">
        <v>88.85</v>
      </c>
      <c r="O206">
        <v>4.7619047620000003</v>
      </c>
      <c r="P206" s="4">
        <v>45748</v>
      </c>
      <c r="Q206" s="3">
        <v>46117</v>
      </c>
    </row>
    <row r="207" spans="1:17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 s="3">
        <v>46104</v>
      </c>
      <c r="H207">
        <v>9</v>
      </c>
      <c r="I207" s="4">
        <v>13058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 s="4">
        <v>13058</v>
      </c>
      <c r="Q207" s="3">
        <v>46272</v>
      </c>
    </row>
    <row r="208" spans="1:17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 s="3">
        <v>46212</v>
      </c>
    </row>
    <row r="209" spans="1:17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 s="3">
        <v>46241</v>
      </c>
    </row>
    <row r="210" spans="1:17">
      <c r="A210" t="s">
        <v>290</v>
      </c>
      <c r="B210" t="s">
        <v>34</v>
      </c>
      <c r="C210" t="s">
        <v>35</v>
      </c>
      <c r="D210" t="s">
        <v>27</v>
      </c>
      <c r="E210" t="s">
        <v>21</v>
      </c>
      <c r="F210" t="s">
        <v>43</v>
      </c>
      <c r="G210">
        <v>30.37</v>
      </c>
      <c r="H210">
        <v>3</v>
      </c>
      <c r="I210" s="4">
        <v>20180</v>
      </c>
      <c r="J210">
        <v>95.665499999999994</v>
      </c>
      <c r="K210" t="s">
        <v>171</v>
      </c>
      <c r="L210" s="2">
        <v>0.57013888888888886</v>
      </c>
      <c r="M210" t="s">
        <v>23</v>
      </c>
      <c r="N210">
        <v>91.11</v>
      </c>
      <c r="O210">
        <v>4.7619047620000003</v>
      </c>
      <c r="P210" s="4">
        <v>20180</v>
      </c>
      <c r="Q210" s="3">
        <v>46027</v>
      </c>
    </row>
    <row r="211" spans="1:17">
      <c r="A211" t="s">
        <v>291</v>
      </c>
      <c r="B211" t="s">
        <v>34</v>
      </c>
      <c r="C211" t="s">
        <v>35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 s="3">
        <v>46148</v>
      </c>
    </row>
    <row r="212" spans="1:17">
      <c r="A212" t="s">
        <v>292</v>
      </c>
      <c r="B212" t="s">
        <v>18</v>
      </c>
      <c r="C212" t="s">
        <v>19</v>
      </c>
      <c r="D212" t="s">
        <v>27</v>
      </c>
      <c r="E212" t="s">
        <v>30</v>
      </c>
      <c r="F212" t="s">
        <v>28</v>
      </c>
      <c r="G212">
        <v>26.23</v>
      </c>
      <c r="H212">
        <v>9</v>
      </c>
      <c r="I212" s="4">
        <v>13089</v>
      </c>
      <c r="J212">
        <v>247.87350000000001</v>
      </c>
      <c r="K212" t="s">
        <v>76</v>
      </c>
      <c r="L212" s="2">
        <v>0.85</v>
      </c>
      <c r="M212" t="s">
        <v>23</v>
      </c>
      <c r="N212">
        <v>236.07</v>
      </c>
      <c r="O212">
        <v>4.7619047620000003</v>
      </c>
      <c r="P212" s="4">
        <v>13089</v>
      </c>
      <c r="Q212" s="3">
        <v>46270</v>
      </c>
    </row>
    <row r="213" spans="1:17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40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188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 s="3">
        <v>46242</v>
      </c>
    </row>
    <row r="214" spans="1:17">
      <c r="A214" t="s">
        <v>294</v>
      </c>
      <c r="B214" t="s">
        <v>34</v>
      </c>
      <c r="C214" t="s">
        <v>35</v>
      </c>
      <c r="D214" t="s">
        <v>27</v>
      </c>
      <c r="E214" t="s">
        <v>30</v>
      </c>
      <c r="F214" t="s">
        <v>32</v>
      </c>
      <c r="G214">
        <v>92.36</v>
      </c>
      <c r="H214">
        <v>5</v>
      </c>
      <c r="I214" s="3">
        <v>46288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 s="3">
        <v>46288</v>
      </c>
      <c r="Q214" s="3">
        <v>46269</v>
      </c>
    </row>
    <row r="215" spans="1:17">
      <c r="A215" t="s">
        <v>296</v>
      </c>
      <c r="B215" t="s">
        <v>34</v>
      </c>
      <c r="C215" t="s">
        <v>35</v>
      </c>
      <c r="D215" t="s">
        <v>27</v>
      </c>
      <c r="E215" t="s">
        <v>30</v>
      </c>
      <c r="F215" t="s">
        <v>38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 s="3">
        <v>46116</v>
      </c>
    </row>
    <row r="216" spans="1:17">
      <c r="A216" t="s">
        <v>297</v>
      </c>
      <c r="B216" t="s">
        <v>34</v>
      </c>
      <c r="C216" t="s">
        <v>35</v>
      </c>
      <c r="D216" t="s">
        <v>20</v>
      </c>
      <c r="E216" t="s">
        <v>21</v>
      </c>
      <c r="F216" t="s">
        <v>38</v>
      </c>
      <c r="G216">
        <v>29.61</v>
      </c>
      <c r="H216">
        <v>7</v>
      </c>
      <c r="I216" s="4">
        <v>13058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 s="4">
        <v>13058</v>
      </c>
      <c r="Q216" s="3">
        <v>46148</v>
      </c>
    </row>
    <row r="217" spans="1:17">
      <c r="A217" t="s">
        <v>298</v>
      </c>
      <c r="B217" t="s">
        <v>18</v>
      </c>
      <c r="C217" t="s">
        <v>19</v>
      </c>
      <c r="D217" t="s">
        <v>27</v>
      </c>
      <c r="E217" t="s">
        <v>30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72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 s="3">
        <v>46089</v>
      </c>
    </row>
    <row r="218" spans="1:17">
      <c r="A218" t="s">
        <v>299</v>
      </c>
      <c r="B218" t="s">
        <v>34</v>
      </c>
      <c r="C218" t="s">
        <v>35</v>
      </c>
      <c r="D218" t="s">
        <v>27</v>
      </c>
      <c r="E218" t="s">
        <v>21</v>
      </c>
      <c r="F218" t="s">
        <v>38</v>
      </c>
      <c r="G218">
        <v>24.77</v>
      </c>
      <c r="H218">
        <v>5</v>
      </c>
      <c r="I218" s="4">
        <v>45809</v>
      </c>
      <c r="J218">
        <v>130.04249999999999</v>
      </c>
      <c r="K218" t="s">
        <v>177</v>
      </c>
      <c r="L218" s="2">
        <v>0.76874999999999993</v>
      </c>
      <c r="M218" t="s">
        <v>29</v>
      </c>
      <c r="N218">
        <v>123.85</v>
      </c>
      <c r="O218">
        <v>4.7619047620000003</v>
      </c>
      <c r="P218" s="4">
        <v>45809</v>
      </c>
      <c r="Q218" s="3">
        <v>46150</v>
      </c>
    </row>
    <row r="219" spans="1:17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 s="3">
        <v>46147</v>
      </c>
    </row>
    <row r="220" spans="1:17">
      <c r="A220" t="s">
        <v>302</v>
      </c>
      <c r="B220" t="s">
        <v>34</v>
      </c>
      <c r="C220" t="s">
        <v>35</v>
      </c>
      <c r="D220" t="s">
        <v>27</v>
      </c>
      <c r="E220" t="s">
        <v>30</v>
      </c>
      <c r="F220" t="s">
        <v>43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 s="3">
        <v>46211</v>
      </c>
    </row>
    <row r="221" spans="1:17">
      <c r="A221" t="s">
        <v>303</v>
      </c>
      <c r="B221" t="s">
        <v>34</v>
      </c>
      <c r="C221" t="s">
        <v>35</v>
      </c>
      <c r="D221" t="s">
        <v>27</v>
      </c>
      <c r="E221" t="s">
        <v>21</v>
      </c>
      <c r="F221" t="s">
        <v>40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0.7909722222222223</v>
      </c>
      <c r="M221" t="s">
        <v>33</v>
      </c>
      <c r="N221">
        <v>172.02</v>
      </c>
      <c r="O221">
        <v>4.7619047620000003</v>
      </c>
      <c r="P221">
        <v>8.6010000000000009</v>
      </c>
      <c r="Q221" s="3">
        <v>46272</v>
      </c>
    </row>
    <row r="222" spans="1:17">
      <c r="A222" t="s">
        <v>304</v>
      </c>
      <c r="B222" t="s">
        <v>34</v>
      </c>
      <c r="C222" t="s">
        <v>35</v>
      </c>
      <c r="D222" t="s">
        <v>27</v>
      </c>
      <c r="E222" t="s">
        <v>30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 s="3">
        <v>46028</v>
      </c>
    </row>
    <row r="223" spans="1:17">
      <c r="A223" t="s">
        <v>306</v>
      </c>
      <c r="B223" t="s">
        <v>34</v>
      </c>
      <c r="C223" t="s">
        <v>35</v>
      </c>
      <c r="D223" t="s">
        <v>27</v>
      </c>
      <c r="E223" t="s">
        <v>30</v>
      </c>
      <c r="F223" t="s">
        <v>40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 s="3">
        <v>46117</v>
      </c>
    </row>
    <row r="224" spans="1:17">
      <c r="A224" t="s">
        <v>307</v>
      </c>
      <c r="B224" t="s">
        <v>25</v>
      </c>
      <c r="C224" t="s">
        <v>26</v>
      </c>
      <c r="D224" t="s">
        <v>27</v>
      </c>
      <c r="E224" t="s">
        <v>30</v>
      </c>
      <c r="F224" t="s">
        <v>28</v>
      </c>
      <c r="G224" s="4">
        <v>29891</v>
      </c>
      <c r="H224">
        <v>5</v>
      </c>
      <c r="I224" s="4">
        <v>45689</v>
      </c>
      <c r="J224">
        <v>62.002499999999998</v>
      </c>
      <c r="K224" t="s">
        <v>69</v>
      </c>
      <c r="L224" s="2">
        <v>0.75416666666666676</v>
      </c>
      <c r="M224" t="s">
        <v>29</v>
      </c>
      <c r="N224">
        <v>59.05</v>
      </c>
      <c r="O224">
        <v>4.7619047620000003</v>
      </c>
      <c r="P224" s="4">
        <v>45689</v>
      </c>
      <c r="Q224" s="3">
        <v>46121</v>
      </c>
    </row>
    <row r="225" spans="1:17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43</v>
      </c>
      <c r="G225" s="4">
        <v>20059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 s="4">
        <v>20059</v>
      </c>
      <c r="O225">
        <v>4.7619047620000003</v>
      </c>
      <c r="P225">
        <v>0.627</v>
      </c>
      <c r="Q225" s="3">
        <v>46061</v>
      </c>
    </row>
    <row r="226" spans="1:17">
      <c r="A226" t="s">
        <v>309</v>
      </c>
      <c r="B226" t="s">
        <v>18</v>
      </c>
      <c r="C226" t="s">
        <v>19</v>
      </c>
      <c r="D226" t="s">
        <v>27</v>
      </c>
      <c r="E226" t="s">
        <v>30</v>
      </c>
      <c r="F226" t="s">
        <v>40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 s="3">
        <v>46059</v>
      </c>
    </row>
    <row r="227" spans="1:17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38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 s="3">
        <v>46212</v>
      </c>
    </row>
    <row r="228" spans="1:17">
      <c r="A228" t="s">
        <v>311</v>
      </c>
      <c r="B228" t="s">
        <v>34</v>
      </c>
      <c r="C228" t="s">
        <v>35</v>
      </c>
      <c r="D228" t="s">
        <v>20</v>
      </c>
      <c r="E228" t="s">
        <v>30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145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>
      <c r="A229" t="s">
        <v>312</v>
      </c>
      <c r="B229" t="s">
        <v>25</v>
      </c>
      <c r="C229" t="s">
        <v>26</v>
      </c>
      <c r="D229" t="s">
        <v>20</v>
      </c>
      <c r="E229" t="s">
        <v>30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 s="3">
        <v>46212</v>
      </c>
    </row>
    <row r="230" spans="1:17">
      <c r="A230" t="s">
        <v>313</v>
      </c>
      <c r="B230" t="s">
        <v>34</v>
      </c>
      <c r="C230" t="s">
        <v>35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 s="3">
        <v>46086</v>
      </c>
    </row>
    <row r="231" spans="1:17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 s="3">
        <v>46119</v>
      </c>
    </row>
    <row r="232" spans="1:17">
      <c r="A232" t="s">
        <v>316</v>
      </c>
      <c r="B232" t="s">
        <v>34</v>
      </c>
      <c r="C232" t="s">
        <v>35</v>
      </c>
      <c r="D232" t="s">
        <v>27</v>
      </c>
      <c r="E232" t="s">
        <v>21</v>
      </c>
      <c r="F232" t="s">
        <v>43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145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 s="3">
        <v>46148</v>
      </c>
    </row>
    <row r="233" spans="1:17">
      <c r="A233" t="s">
        <v>317</v>
      </c>
      <c r="B233" t="s">
        <v>34</v>
      </c>
      <c r="C233" t="s">
        <v>35</v>
      </c>
      <c r="D233" t="s">
        <v>20</v>
      </c>
      <c r="E233" t="s">
        <v>21</v>
      </c>
      <c r="F233" t="s">
        <v>28</v>
      </c>
      <c r="G233" s="4">
        <v>21824</v>
      </c>
      <c r="H233">
        <v>3</v>
      </c>
      <c r="I233" s="4">
        <v>31048</v>
      </c>
      <c r="J233">
        <v>33.358499999999999</v>
      </c>
      <c r="K233" s="1">
        <v>43802</v>
      </c>
      <c r="L233" s="2">
        <v>0.57777777777777783</v>
      </c>
      <c r="M233" t="s">
        <v>33</v>
      </c>
      <c r="N233">
        <v>31.77</v>
      </c>
      <c r="O233">
        <v>4.7619047620000003</v>
      </c>
      <c r="P233" s="4">
        <v>31048</v>
      </c>
      <c r="Q233" s="3">
        <v>46211</v>
      </c>
    </row>
    <row r="234" spans="1:17">
      <c r="A234" t="s">
        <v>318</v>
      </c>
      <c r="B234" t="s">
        <v>34</v>
      </c>
      <c r="C234" t="s">
        <v>35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>
      <c r="A235" t="s">
        <v>319</v>
      </c>
      <c r="B235" t="s">
        <v>34</v>
      </c>
      <c r="C235" t="s">
        <v>35</v>
      </c>
      <c r="D235" t="s">
        <v>20</v>
      </c>
      <c r="E235" t="s">
        <v>30</v>
      </c>
      <c r="F235" t="s">
        <v>43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 s="3">
        <v>46209</v>
      </c>
    </row>
    <row r="236" spans="1:17">
      <c r="A236" t="s">
        <v>320</v>
      </c>
      <c r="B236" t="s">
        <v>18</v>
      </c>
      <c r="C236" t="s">
        <v>19</v>
      </c>
      <c r="D236" t="s">
        <v>20</v>
      </c>
      <c r="E236" t="s">
        <v>30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 s="3">
        <v>46148</v>
      </c>
    </row>
    <row r="237" spans="1:17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38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 s="3">
        <v>46026</v>
      </c>
    </row>
    <row r="238" spans="1:17">
      <c r="A238" t="s">
        <v>322</v>
      </c>
      <c r="B238" t="s">
        <v>25</v>
      </c>
      <c r="C238" t="s">
        <v>26</v>
      </c>
      <c r="D238" t="s">
        <v>27</v>
      </c>
      <c r="E238" t="s">
        <v>30</v>
      </c>
      <c r="F238" t="s">
        <v>22</v>
      </c>
      <c r="G238">
        <v>17.41</v>
      </c>
      <c r="H238">
        <v>5</v>
      </c>
      <c r="I238" s="4">
        <v>45748</v>
      </c>
      <c r="J238">
        <v>91.402500000000003</v>
      </c>
      <c r="K238" t="s">
        <v>80</v>
      </c>
      <c r="L238" s="2">
        <v>0.63611111111111118</v>
      </c>
      <c r="M238" t="s">
        <v>33</v>
      </c>
      <c r="N238">
        <v>87.05</v>
      </c>
      <c r="O238">
        <v>4.7619047620000003</v>
      </c>
      <c r="P238" s="4">
        <v>45748</v>
      </c>
      <c r="Q238" s="3">
        <v>46269</v>
      </c>
    </row>
    <row r="239" spans="1:17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43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 s="3">
        <v>46181</v>
      </c>
    </row>
    <row r="240" spans="1:17">
      <c r="A240" t="s">
        <v>324</v>
      </c>
      <c r="B240" t="s">
        <v>34</v>
      </c>
      <c r="C240" t="s">
        <v>35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 s="3">
        <v>46085</v>
      </c>
    </row>
    <row r="241" spans="1:17">
      <c r="A241" t="s">
        <v>325</v>
      </c>
      <c r="B241" t="s">
        <v>18</v>
      </c>
      <c r="C241" t="s">
        <v>19</v>
      </c>
      <c r="D241" t="s">
        <v>27</v>
      </c>
      <c r="E241" t="s">
        <v>30</v>
      </c>
      <c r="F241" t="s">
        <v>43</v>
      </c>
      <c r="G241">
        <v>89.69</v>
      </c>
      <c r="H241">
        <v>1</v>
      </c>
      <c r="I241" s="4">
        <v>16528</v>
      </c>
      <c r="J241">
        <v>94.174499999999995</v>
      </c>
      <c r="K241" s="1">
        <v>43770</v>
      </c>
      <c r="L241" s="2">
        <v>0.47222222222222227</v>
      </c>
      <c r="M241" t="s">
        <v>23</v>
      </c>
      <c r="N241">
        <v>89.69</v>
      </c>
      <c r="O241">
        <v>4.7619047620000003</v>
      </c>
      <c r="P241" s="4">
        <v>16528</v>
      </c>
      <c r="Q241" s="3">
        <v>46269</v>
      </c>
    </row>
    <row r="242" spans="1:17">
      <c r="A242" t="s">
        <v>326</v>
      </c>
      <c r="B242" t="s">
        <v>18</v>
      </c>
      <c r="C242" t="s">
        <v>19</v>
      </c>
      <c r="D242" t="s">
        <v>27</v>
      </c>
      <c r="E242" t="s">
        <v>30</v>
      </c>
      <c r="F242" t="s">
        <v>40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 s="3">
        <v>46178</v>
      </c>
    </row>
    <row r="243" spans="1:17">
      <c r="A243" t="s">
        <v>327</v>
      </c>
      <c r="B243" t="s">
        <v>18</v>
      </c>
      <c r="C243" t="s">
        <v>19</v>
      </c>
      <c r="D243" t="s">
        <v>27</v>
      </c>
      <c r="E243" t="s">
        <v>30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 s="3">
        <v>46239</v>
      </c>
    </row>
    <row r="244" spans="1:17">
      <c r="A244" t="s">
        <v>328</v>
      </c>
      <c r="B244" t="s">
        <v>25</v>
      </c>
      <c r="C244" t="s">
        <v>26</v>
      </c>
      <c r="D244" t="s">
        <v>20</v>
      </c>
      <c r="E244" t="s">
        <v>30</v>
      </c>
      <c r="F244" t="s">
        <v>43</v>
      </c>
      <c r="G244">
        <v>93.2</v>
      </c>
      <c r="H244">
        <v>2</v>
      </c>
      <c r="I244" s="4">
        <v>11933</v>
      </c>
      <c r="J244">
        <v>195.72</v>
      </c>
      <c r="K244" t="s">
        <v>110</v>
      </c>
      <c r="L244" s="2">
        <v>0.77569444444444446</v>
      </c>
      <c r="M244" t="s">
        <v>33</v>
      </c>
      <c r="N244">
        <v>186.4</v>
      </c>
      <c r="O244">
        <v>4.7619047620000003</v>
      </c>
      <c r="P244" s="4">
        <v>11933</v>
      </c>
      <c r="Q244">
        <v>6</v>
      </c>
    </row>
    <row r="245" spans="1:17">
      <c r="A245" t="s">
        <v>329</v>
      </c>
      <c r="B245" t="s">
        <v>18</v>
      </c>
      <c r="C245" t="s">
        <v>19</v>
      </c>
      <c r="D245" t="s">
        <v>20</v>
      </c>
      <c r="E245" t="s">
        <v>30</v>
      </c>
      <c r="F245" t="s">
        <v>32</v>
      </c>
      <c r="G245">
        <v>62.65</v>
      </c>
      <c r="H245">
        <v>4</v>
      </c>
      <c r="I245" s="4">
        <v>19694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 s="4">
        <v>19694</v>
      </c>
      <c r="Q245" s="3">
        <v>46057</v>
      </c>
    </row>
    <row r="246" spans="1:17">
      <c r="A246" t="s">
        <v>330</v>
      </c>
      <c r="B246" t="s">
        <v>34</v>
      </c>
      <c r="C246" t="s">
        <v>35</v>
      </c>
      <c r="D246" t="s">
        <v>27</v>
      </c>
      <c r="E246" t="s">
        <v>30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 s="3">
        <v>46089</v>
      </c>
    </row>
    <row r="247" spans="1:17">
      <c r="A247" t="s">
        <v>331</v>
      </c>
      <c r="B247" t="s">
        <v>18</v>
      </c>
      <c r="C247" t="s">
        <v>19</v>
      </c>
      <c r="D247" t="s">
        <v>20</v>
      </c>
      <c r="E247" t="s">
        <v>30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 s="3">
        <v>46208</v>
      </c>
    </row>
    <row r="248" spans="1:17">
      <c r="A248" t="s">
        <v>332</v>
      </c>
      <c r="B248" t="s">
        <v>34</v>
      </c>
      <c r="C248" t="s">
        <v>35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 s="4">
        <v>44531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 s="4">
        <v>44531</v>
      </c>
      <c r="Q248" s="3">
        <v>46238</v>
      </c>
    </row>
    <row r="249" spans="1:17">
      <c r="A249" t="s">
        <v>333</v>
      </c>
      <c r="B249" t="s">
        <v>18</v>
      </c>
      <c r="C249" t="s">
        <v>19</v>
      </c>
      <c r="D249" t="s">
        <v>20</v>
      </c>
      <c r="E249" t="s">
        <v>30</v>
      </c>
      <c r="F249" t="s">
        <v>43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147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 s="3">
        <v>46240</v>
      </c>
    </row>
    <row r="250" spans="1:17">
      <c r="A250" t="s">
        <v>334</v>
      </c>
      <c r="B250" t="s">
        <v>18</v>
      </c>
      <c r="C250" t="s">
        <v>19</v>
      </c>
      <c r="D250" t="s">
        <v>20</v>
      </c>
      <c r="E250" t="s">
        <v>30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 s="3">
        <v>46242</v>
      </c>
    </row>
    <row r="251" spans="1:17">
      <c r="A251" t="s">
        <v>335</v>
      </c>
      <c r="B251" t="s">
        <v>34</v>
      </c>
      <c r="C251" t="s">
        <v>35</v>
      </c>
      <c r="D251" t="s">
        <v>27</v>
      </c>
      <c r="E251" t="s">
        <v>30</v>
      </c>
      <c r="F251" t="s">
        <v>40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0.79583333333333339</v>
      </c>
      <c r="M251" t="s">
        <v>33</v>
      </c>
      <c r="N251">
        <v>511.42</v>
      </c>
      <c r="O251">
        <v>4.7619047620000003</v>
      </c>
      <c r="P251">
        <v>25.571000000000002</v>
      </c>
      <c r="Q251" s="3">
        <v>46057</v>
      </c>
    </row>
    <row r="252" spans="1:17">
      <c r="A252" t="s">
        <v>336</v>
      </c>
      <c r="B252" t="s">
        <v>34</v>
      </c>
      <c r="C252" t="s">
        <v>35</v>
      </c>
      <c r="D252" t="s">
        <v>20</v>
      </c>
      <c r="E252" t="s">
        <v>30</v>
      </c>
      <c r="F252" t="s">
        <v>40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 s="3">
        <v>46118</v>
      </c>
    </row>
    <row r="253" spans="1:17">
      <c r="A253" t="s">
        <v>337</v>
      </c>
      <c r="B253" t="s">
        <v>25</v>
      </c>
      <c r="C253" t="s">
        <v>26</v>
      </c>
      <c r="D253" t="s">
        <v>20</v>
      </c>
      <c r="E253" t="s">
        <v>30</v>
      </c>
      <c r="F253" t="s">
        <v>43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0.79583333333333339</v>
      </c>
      <c r="M253" t="s">
        <v>33</v>
      </c>
      <c r="N253">
        <v>351.9</v>
      </c>
      <c r="O253">
        <v>4.7619047620000003</v>
      </c>
      <c r="P253">
        <v>17.594999999999999</v>
      </c>
      <c r="Q253" s="3">
        <v>46120</v>
      </c>
    </row>
    <row r="254" spans="1:17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38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0.8222222222222223</v>
      </c>
      <c r="M254" t="s">
        <v>33</v>
      </c>
      <c r="N254">
        <v>28.78</v>
      </c>
      <c r="O254">
        <v>4.7619047620000003</v>
      </c>
      <c r="P254">
        <v>1.4390000000000001</v>
      </c>
      <c r="Q254" s="3">
        <v>46060</v>
      </c>
    </row>
    <row r="255" spans="1:17">
      <c r="A255" t="s">
        <v>340</v>
      </c>
      <c r="B255" t="s">
        <v>18</v>
      </c>
      <c r="C255" t="s">
        <v>19</v>
      </c>
      <c r="D255" t="s">
        <v>27</v>
      </c>
      <c r="E255" t="s">
        <v>30</v>
      </c>
      <c r="F255" t="s">
        <v>32</v>
      </c>
      <c r="G255">
        <v>23.75</v>
      </c>
      <c r="H255">
        <v>4</v>
      </c>
      <c r="I255" s="4">
        <v>27485</v>
      </c>
      <c r="J255">
        <v>99.75</v>
      </c>
      <c r="K255" t="s">
        <v>96</v>
      </c>
      <c r="L255" s="2">
        <v>0.47361111111111115</v>
      </c>
      <c r="M255" t="s">
        <v>29</v>
      </c>
      <c r="N255">
        <v>95</v>
      </c>
      <c r="O255">
        <v>4.7619047620000003</v>
      </c>
      <c r="P255" s="4">
        <v>27485</v>
      </c>
      <c r="Q255" s="3">
        <v>46058</v>
      </c>
    </row>
    <row r="256" spans="1:17">
      <c r="A256" t="s">
        <v>341</v>
      </c>
      <c r="B256" t="s">
        <v>18</v>
      </c>
      <c r="C256" t="s">
        <v>19</v>
      </c>
      <c r="D256" t="s">
        <v>20</v>
      </c>
      <c r="E256" t="s">
        <v>30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 s="3">
        <v>46273</v>
      </c>
    </row>
    <row r="257" spans="1:17">
      <c r="A257" t="s">
        <v>342</v>
      </c>
      <c r="B257" t="s">
        <v>34</v>
      </c>
      <c r="C257" t="s">
        <v>35</v>
      </c>
      <c r="D257" t="s">
        <v>20</v>
      </c>
      <c r="E257" t="s">
        <v>30</v>
      </c>
      <c r="F257" t="s">
        <v>43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>
      <c r="A258" t="s">
        <v>343</v>
      </c>
      <c r="B258" t="s">
        <v>18</v>
      </c>
      <c r="C258" t="s">
        <v>19</v>
      </c>
      <c r="D258" t="s">
        <v>20</v>
      </c>
      <c r="E258" t="s">
        <v>30</v>
      </c>
      <c r="F258" t="s">
        <v>28</v>
      </c>
      <c r="G258">
        <v>66.349999999999994</v>
      </c>
      <c r="H258">
        <v>1</v>
      </c>
      <c r="I258" s="4">
        <v>27454</v>
      </c>
      <c r="J258">
        <v>69.667500000000004</v>
      </c>
      <c r="K258" t="s">
        <v>305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 s="4">
        <v>27454</v>
      </c>
      <c r="Q258" s="3">
        <v>46212</v>
      </c>
    </row>
    <row r="259" spans="1:17">
      <c r="A259" t="s">
        <v>344</v>
      </c>
      <c r="B259" t="s">
        <v>18</v>
      </c>
      <c r="C259" t="s">
        <v>19</v>
      </c>
      <c r="D259" t="s">
        <v>20</v>
      </c>
      <c r="E259" t="s">
        <v>30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 s="3">
        <v>46211</v>
      </c>
    </row>
    <row r="260" spans="1:17">
      <c r="A260" t="s">
        <v>345</v>
      </c>
      <c r="B260" t="s">
        <v>18</v>
      </c>
      <c r="C260" t="s">
        <v>19</v>
      </c>
      <c r="D260" t="s">
        <v>20</v>
      </c>
      <c r="E260" t="s">
        <v>30</v>
      </c>
      <c r="F260" t="s">
        <v>28</v>
      </c>
      <c r="G260">
        <v>32.25</v>
      </c>
      <c r="H260">
        <v>4</v>
      </c>
      <c r="I260" s="4">
        <v>16589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 s="4">
        <v>16589</v>
      </c>
      <c r="Q260" s="3">
        <v>46148</v>
      </c>
    </row>
    <row r="261" spans="1:17">
      <c r="A261" t="s">
        <v>346</v>
      </c>
      <c r="B261" t="s">
        <v>25</v>
      </c>
      <c r="C261" t="s">
        <v>26</v>
      </c>
      <c r="D261" t="s">
        <v>20</v>
      </c>
      <c r="E261" t="s">
        <v>30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0.54513888888888895</v>
      </c>
      <c r="M261" t="s">
        <v>33</v>
      </c>
      <c r="N261">
        <v>263.76</v>
      </c>
      <c r="O261">
        <v>4.7619047620000003</v>
      </c>
      <c r="P261">
        <v>13.188000000000001</v>
      </c>
      <c r="Q261" s="3">
        <v>46271</v>
      </c>
    </row>
    <row r="262" spans="1:17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 s="3">
        <v>46059</v>
      </c>
    </row>
    <row r="263" spans="1:17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43</v>
      </c>
      <c r="G263">
        <v>16.45</v>
      </c>
      <c r="H263">
        <v>4</v>
      </c>
      <c r="I263" s="4">
        <v>47178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 s="4">
        <v>47178</v>
      </c>
      <c r="Q263" s="3">
        <v>46178</v>
      </c>
    </row>
    <row r="264" spans="1:17">
      <c r="A264" t="s">
        <v>349</v>
      </c>
      <c r="B264" t="s">
        <v>34</v>
      </c>
      <c r="C264" t="s">
        <v>35</v>
      </c>
      <c r="D264" t="s">
        <v>20</v>
      </c>
      <c r="E264" t="s">
        <v>21</v>
      </c>
      <c r="F264" t="s">
        <v>43</v>
      </c>
      <c r="G264">
        <v>38.299999999999997</v>
      </c>
      <c r="H264">
        <v>4</v>
      </c>
      <c r="I264" s="4">
        <v>24289</v>
      </c>
      <c r="J264">
        <v>160.86000000000001</v>
      </c>
      <c r="K264" t="s">
        <v>125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 s="4">
        <v>24289</v>
      </c>
      <c r="Q264" s="3">
        <v>46208</v>
      </c>
    </row>
    <row r="265" spans="1:17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38</v>
      </c>
      <c r="G265">
        <v>22.24</v>
      </c>
      <c r="H265">
        <v>10</v>
      </c>
      <c r="I265" s="3">
        <v>46367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 s="3">
        <v>46367</v>
      </c>
      <c r="Q265" s="3">
        <v>46057</v>
      </c>
    </row>
    <row r="266" spans="1:17">
      <c r="A266" t="s">
        <v>351</v>
      </c>
      <c r="B266" t="s">
        <v>34</v>
      </c>
      <c r="C266" t="s">
        <v>35</v>
      </c>
      <c r="D266" t="s">
        <v>27</v>
      </c>
      <c r="E266" t="s">
        <v>30</v>
      </c>
      <c r="F266" t="s">
        <v>38</v>
      </c>
      <c r="G266">
        <v>54.45</v>
      </c>
      <c r="H266">
        <v>1</v>
      </c>
      <c r="I266" s="4">
        <v>45689</v>
      </c>
      <c r="J266">
        <v>57.172499999999999</v>
      </c>
      <c r="K266" t="s">
        <v>314</v>
      </c>
      <c r="L266" s="2">
        <v>0.80833333333333324</v>
      </c>
      <c r="M266" t="s">
        <v>23</v>
      </c>
      <c r="N266">
        <v>54.45</v>
      </c>
      <c r="O266">
        <v>4.7619047620000003</v>
      </c>
      <c r="P266" s="4">
        <v>45689</v>
      </c>
      <c r="Q266" s="3">
        <v>46272</v>
      </c>
    </row>
    <row r="267" spans="1:17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38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 s="3">
        <v>46211</v>
      </c>
    </row>
    <row r="268" spans="1:17">
      <c r="A268" t="s">
        <v>353</v>
      </c>
      <c r="B268" t="s">
        <v>25</v>
      </c>
      <c r="C268" t="s">
        <v>26</v>
      </c>
      <c r="D268" t="s">
        <v>27</v>
      </c>
      <c r="E268" t="s">
        <v>30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 s="3">
        <v>46271</v>
      </c>
    </row>
    <row r="269" spans="1:17">
      <c r="A269" t="s">
        <v>355</v>
      </c>
      <c r="B269" t="s">
        <v>34</v>
      </c>
      <c r="C269" t="s">
        <v>35</v>
      </c>
      <c r="D269" t="s">
        <v>20</v>
      </c>
      <c r="E269" t="s">
        <v>21</v>
      </c>
      <c r="F269" t="s">
        <v>40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 s="3">
        <v>46151</v>
      </c>
    </row>
    <row r="270" spans="1:17">
      <c r="A270" t="s">
        <v>356</v>
      </c>
      <c r="B270" t="s">
        <v>18</v>
      </c>
      <c r="C270" t="s">
        <v>19</v>
      </c>
      <c r="D270" t="s">
        <v>20</v>
      </c>
      <c r="E270" t="s">
        <v>30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 s="3">
        <v>46116</v>
      </c>
    </row>
    <row r="271" spans="1:17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>
      <c r="A272" t="s">
        <v>358</v>
      </c>
      <c r="B272" t="s">
        <v>34</v>
      </c>
      <c r="C272" t="s">
        <v>35</v>
      </c>
      <c r="D272" t="s">
        <v>27</v>
      </c>
      <c r="E272" t="s">
        <v>21</v>
      </c>
      <c r="F272" t="s">
        <v>38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 s="3">
        <v>46087</v>
      </c>
    </row>
    <row r="273" spans="1:17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 s="3">
        <v>46377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 s="3">
        <v>46212</v>
      </c>
    </row>
    <row r="274" spans="1:17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 s="3">
        <v>46242</v>
      </c>
    </row>
    <row r="275" spans="1:17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 s="3">
        <v>46093</v>
      </c>
      <c r="H275">
        <v>2</v>
      </c>
      <c r="I275">
        <v>1.2030000000000001</v>
      </c>
      <c r="J275">
        <v>25.263000000000002</v>
      </c>
      <c r="K275" t="s">
        <v>37</v>
      </c>
      <c r="L275" s="2">
        <v>0.66041666666666665</v>
      </c>
      <c r="M275" t="s">
        <v>29</v>
      </c>
      <c r="N275" s="3">
        <v>46197</v>
      </c>
      <c r="O275">
        <v>4.7619047620000003</v>
      </c>
      <c r="P275">
        <v>1.2030000000000001</v>
      </c>
      <c r="Q275" s="3">
        <v>46027</v>
      </c>
    </row>
    <row r="276" spans="1:17">
      <c r="A276" t="s">
        <v>362</v>
      </c>
      <c r="B276" t="s">
        <v>34</v>
      </c>
      <c r="C276" t="s">
        <v>35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 s="3">
        <v>46272</v>
      </c>
    </row>
    <row r="277" spans="1:17">
      <c r="A277" t="s">
        <v>363</v>
      </c>
      <c r="B277" t="s">
        <v>34</v>
      </c>
      <c r="C277" t="s">
        <v>35</v>
      </c>
      <c r="D277" t="s">
        <v>27</v>
      </c>
      <c r="E277" t="s">
        <v>30</v>
      </c>
      <c r="F277" t="s">
        <v>43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 s="3">
        <v>46059</v>
      </c>
    </row>
    <row r="278" spans="1:17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 s="4">
        <v>33512</v>
      </c>
      <c r="J278">
        <v>229.11</v>
      </c>
      <c r="K278" s="1">
        <v>43647</v>
      </c>
      <c r="L278" s="2">
        <v>0.73333333333333339</v>
      </c>
      <c r="M278" t="s">
        <v>29</v>
      </c>
      <c r="N278">
        <v>218.2</v>
      </c>
      <c r="O278">
        <v>4.7619047620000003</v>
      </c>
      <c r="P278" s="4">
        <v>33512</v>
      </c>
      <c r="Q278" s="3">
        <v>46029</v>
      </c>
    </row>
    <row r="279" spans="1:17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43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 s="3">
        <v>46118</v>
      </c>
    </row>
    <row r="280" spans="1:17">
      <c r="A280" t="s">
        <v>366</v>
      </c>
      <c r="B280" t="s">
        <v>25</v>
      </c>
      <c r="C280" t="s">
        <v>26</v>
      </c>
      <c r="D280" t="s">
        <v>20</v>
      </c>
      <c r="E280" t="s">
        <v>30</v>
      </c>
      <c r="F280" t="s">
        <v>43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 s="3">
        <v>46208</v>
      </c>
    </row>
    <row r="281" spans="1:17">
      <c r="A281" t="s">
        <v>367</v>
      </c>
      <c r="B281" t="s">
        <v>18</v>
      </c>
      <c r="C281" t="s">
        <v>19</v>
      </c>
      <c r="D281" t="s">
        <v>20</v>
      </c>
      <c r="E281" t="s">
        <v>30</v>
      </c>
      <c r="F281" t="s">
        <v>38</v>
      </c>
      <c r="G281">
        <v>44.02</v>
      </c>
      <c r="H281">
        <v>10</v>
      </c>
      <c r="I281" s="3">
        <v>46044</v>
      </c>
      <c r="J281">
        <v>462.21</v>
      </c>
      <c r="K281" t="s">
        <v>295</v>
      </c>
      <c r="L281" s="2">
        <v>0.83124999999999993</v>
      </c>
      <c r="M281" t="s">
        <v>33</v>
      </c>
      <c r="N281">
        <v>440.2</v>
      </c>
      <c r="O281">
        <v>4.7619047620000003</v>
      </c>
      <c r="P281" s="3">
        <v>46044</v>
      </c>
      <c r="Q281" s="3">
        <v>46182</v>
      </c>
    </row>
    <row r="282" spans="1:17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118</v>
      </c>
      <c r="L282" s="2">
        <v>0.7090277777777777</v>
      </c>
      <c r="M282" t="s">
        <v>33</v>
      </c>
      <c r="N282">
        <v>559.67999999999995</v>
      </c>
      <c r="O282">
        <v>4.7619047620000003</v>
      </c>
      <c r="P282">
        <v>27.984000000000002</v>
      </c>
      <c r="Q282" s="3">
        <v>46118</v>
      </c>
    </row>
    <row r="283" spans="1:17">
      <c r="A283" t="s">
        <v>369</v>
      </c>
      <c r="B283" t="s">
        <v>25</v>
      </c>
      <c r="C283" t="s">
        <v>26</v>
      </c>
      <c r="D283" t="s">
        <v>27</v>
      </c>
      <c r="E283" t="s">
        <v>30</v>
      </c>
      <c r="F283" t="s">
        <v>32</v>
      </c>
      <c r="G283">
        <v>37</v>
      </c>
      <c r="H283">
        <v>1</v>
      </c>
      <c r="I283" s="4">
        <v>31048</v>
      </c>
      <c r="J283">
        <v>38.85</v>
      </c>
      <c r="K283" s="1">
        <v>43619</v>
      </c>
      <c r="L283" s="2">
        <v>0.56180555555555556</v>
      </c>
      <c r="M283" t="s">
        <v>33</v>
      </c>
      <c r="N283">
        <v>37</v>
      </c>
      <c r="O283">
        <v>4.7619047620000003</v>
      </c>
      <c r="P283" s="4">
        <v>31048</v>
      </c>
      <c r="Q283" s="3">
        <v>46272</v>
      </c>
    </row>
    <row r="284" spans="1:17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38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 s="3">
        <v>46148</v>
      </c>
    </row>
    <row r="285" spans="1:17">
      <c r="A285" t="s">
        <v>371</v>
      </c>
      <c r="B285" t="s">
        <v>18</v>
      </c>
      <c r="C285" t="s">
        <v>19</v>
      </c>
      <c r="D285" t="s">
        <v>20</v>
      </c>
      <c r="E285" t="s">
        <v>30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 s="3">
        <v>46150</v>
      </c>
    </row>
    <row r="286" spans="1:17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 s="3">
        <v>46031</v>
      </c>
    </row>
    <row r="287" spans="1:17">
      <c r="A287" t="s">
        <v>373</v>
      </c>
      <c r="B287" t="s">
        <v>34</v>
      </c>
      <c r="C287" t="s">
        <v>35</v>
      </c>
      <c r="D287" t="s">
        <v>27</v>
      </c>
      <c r="E287" t="s">
        <v>30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50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 s="3">
        <v>46180</v>
      </c>
    </row>
    <row r="288" spans="1:17">
      <c r="A288" t="s">
        <v>374</v>
      </c>
      <c r="B288" t="s">
        <v>25</v>
      </c>
      <c r="C288" t="s">
        <v>26</v>
      </c>
      <c r="D288" t="s">
        <v>20</v>
      </c>
      <c r="E288" t="s">
        <v>30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177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 s="3">
        <v>46271</v>
      </c>
    </row>
    <row r="289" spans="1:17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38</v>
      </c>
      <c r="G289">
        <v>23.75</v>
      </c>
      <c r="H289">
        <v>9</v>
      </c>
      <c r="I289" s="4">
        <v>27668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 s="4">
        <v>27668</v>
      </c>
      <c r="Q289" s="3">
        <v>46151</v>
      </c>
    </row>
    <row r="290" spans="1:17">
      <c r="A290" t="s">
        <v>376</v>
      </c>
      <c r="B290" t="s">
        <v>34</v>
      </c>
      <c r="C290" t="s">
        <v>35</v>
      </c>
      <c r="D290" t="s">
        <v>27</v>
      </c>
      <c r="E290" t="s">
        <v>21</v>
      </c>
      <c r="F290" t="s">
        <v>40</v>
      </c>
      <c r="G290">
        <v>48.51</v>
      </c>
      <c r="H290">
        <v>7</v>
      </c>
      <c r="I290">
        <v>16.9785</v>
      </c>
      <c r="J290">
        <v>356.54849999999999</v>
      </c>
      <c r="K290" t="s">
        <v>76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 s="3">
        <v>46058</v>
      </c>
    </row>
    <row r="291" spans="1:17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 s="3">
        <v>46057</v>
      </c>
    </row>
    <row r="292" spans="1:17">
      <c r="A292" t="s">
        <v>378</v>
      </c>
      <c r="B292" t="s">
        <v>34</v>
      </c>
      <c r="C292" t="s">
        <v>35</v>
      </c>
      <c r="D292" t="s">
        <v>20</v>
      </c>
      <c r="E292" t="s">
        <v>30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129</v>
      </c>
      <c r="L292" s="2">
        <v>0.73402777777777783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>
      <c r="A293" t="s">
        <v>379</v>
      </c>
      <c r="B293" t="s">
        <v>25</v>
      </c>
      <c r="C293" t="s">
        <v>26</v>
      </c>
      <c r="D293" t="s">
        <v>27</v>
      </c>
      <c r="E293" t="s">
        <v>30</v>
      </c>
      <c r="F293" t="s">
        <v>28</v>
      </c>
      <c r="G293">
        <v>27.85</v>
      </c>
      <c r="H293">
        <v>7</v>
      </c>
      <c r="I293" s="4">
        <v>27638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 s="4">
        <v>27638</v>
      </c>
      <c r="Q293">
        <v>6</v>
      </c>
    </row>
    <row r="294" spans="1:17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207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 s="3">
        <v>46207</v>
      </c>
    </row>
    <row r="295" spans="1:17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40</v>
      </c>
      <c r="G295">
        <v>36.36</v>
      </c>
      <c r="H295">
        <v>2</v>
      </c>
      <c r="I295">
        <v>3.6360000000000001</v>
      </c>
      <c r="J295">
        <v>76.355999999999995</v>
      </c>
      <c r="K295" t="s">
        <v>62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 s="3">
        <v>46029</v>
      </c>
    </row>
    <row r="296" spans="1:17">
      <c r="A296" t="s">
        <v>382</v>
      </c>
      <c r="B296" t="s">
        <v>34</v>
      </c>
      <c r="C296" t="s">
        <v>35</v>
      </c>
      <c r="D296" t="s">
        <v>27</v>
      </c>
      <c r="E296" t="s">
        <v>30</v>
      </c>
      <c r="F296" t="s">
        <v>22</v>
      </c>
      <c r="G296" s="3">
        <v>46344</v>
      </c>
      <c r="H296">
        <v>10</v>
      </c>
      <c r="I296">
        <v>9.0549999999999997</v>
      </c>
      <c r="J296">
        <v>190.155</v>
      </c>
      <c r="K296" t="s">
        <v>125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 s="3">
        <v>46270</v>
      </c>
    </row>
    <row r="297" spans="1:17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 s="4">
        <v>36130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 s="4">
        <v>36130</v>
      </c>
      <c r="Q297" s="3">
        <v>46149</v>
      </c>
    </row>
    <row r="298" spans="1:17">
      <c r="A298" t="s">
        <v>384</v>
      </c>
      <c r="B298" t="s">
        <v>25</v>
      </c>
      <c r="C298" t="s">
        <v>26</v>
      </c>
      <c r="D298" t="s">
        <v>27</v>
      </c>
      <c r="E298" t="s">
        <v>30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56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 s="3">
        <v>46118</v>
      </c>
    </row>
    <row r="299" spans="1:17">
      <c r="A299" t="s">
        <v>385</v>
      </c>
      <c r="B299" t="s">
        <v>18</v>
      </c>
      <c r="C299" t="s">
        <v>19</v>
      </c>
      <c r="D299" t="s">
        <v>20</v>
      </c>
      <c r="E299" t="s">
        <v>30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 s="3">
        <v>46239</v>
      </c>
    </row>
    <row r="300" spans="1:17">
      <c r="A300" t="s">
        <v>386</v>
      </c>
      <c r="B300" t="s">
        <v>18</v>
      </c>
      <c r="C300" t="s">
        <v>19</v>
      </c>
      <c r="D300" t="s">
        <v>20</v>
      </c>
      <c r="E300" t="s">
        <v>30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t="s">
        <v>76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 s="3">
        <v>46146</v>
      </c>
    </row>
    <row r="301" spans="1:17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 s="4">
        <v>38443</v>
      </c>
      <c r="J301">
        <v>93.040499999999994</v>
      </c>
      <c r="K301" t="s">
        <v>183</v>
      </c>
      <c r="L301" s="2">
        <v>0.43124999999999997</v>
      </c>
      <c r="M301" t="s">
        <v>29</v>
      </c>
      <c r="N301">
        <v>88.61</v>
      </c>
      <c r="O301">
        <v>4.7619047620000003</v>
      </c>
      <c r="P301" s="4">
        <v>38443</v>
      </c>
      <c r="Q301" s="3">
        <v>46210</v>
      </c>
    </row>
    <row r="302" spans="1:17">
      <c r="A302" t="s">
        <v>388</v>
      </c>
      <c r="B302" t="s">
        <v>25</v>
      </c>
      <c r="C302" t="s">
        <v>26</v>
      </c>
      <c r="D302" t="s">
        <v>27</v>
      </c>
      <c r="E302" t="s">
        <v>30</v>
      </c>
      <c r="F302" t="s">
        <v>43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 s="3">
        <v>46209</v>
      </c>
    </row>
    <row r="303" spans="1:17">
      <c r="A303" t="s">
        <v>389</v>
      </c>
      <c r="B303" t="s">
        <v>34</v>
      </c>
      <c r="C303" t="s">
        <v>35</v>
      </c>
      <c r="D303" t="s">
        <v>20</v>
      </c>
      <c r="E303" t="s">
        <v>30</v>
      </c>
      <c r="F303" t="s">
        <v>22</v>
      </c>
      <c r="G303">
        <v>39.01</v>
      </c>
      <c r="H303">
        <v>1</v>
      </c>
      <c r="I303" s="4">
        <v>38353</v>
      </c>
      <c r="J303">
        <v>40.960500000000003</v>
      </c>
      <c r="K303" s="1">
        <v>43802</v>
      </c>
      <c r="L303" s="2">
        <v>0.69861111111111107</v>
      </c>
      <c r="M303" t="s">
        <v>33</v>
      </c>
      <c r="N303">
        <v>39.01</v>
      </c>
      <c r="O303">
        <v>4.7619047620000003</v>
      </c>
      <c r="P303" s="4">
        <v>38353</v>
      </c>
      <c r="Q303" s="3">
        <v>46207</v>
      </c>
    </row>
    <row r="304" spans="1:17">
      <c r="A304" t="s">
        <v>390</v>
      </c>
      <c r="B304" t="s">
        <v>25</v>
      </c>
      <c r="C304" t="s">
        <v>26</v>
      </c>
      <c r="D304" t="s">
        <v>27</v>
      </c>
      <c r="E304" t="s">
        <v>30</v>
      </c>
      <c r="F304" t="s">
        <v>40</v>
      </c>
      <c r="G304">
        <v>48.61</v>
      </c>
      <c r="H304">
        <v>1</v>
      </c>
      <c r="I304" s="4">
        <v>38384</v>
      </c>
      <c r="J304">
        <v>51.040500000000002</v>
      </c>
      <c r="K304" t="s">
        <v>45</v>
      </c>
      <c r="L304" s="2">
        <v>0.64652777777777781</v>
      </c>
      <c r="M304" t="s">
        <v>29</v>
      </c>
      <c r="N304">
        <v>48.61</v>
      </c>
      <c r="O304">
        <v>4.7619047620000003</v>
      </c>
      <c r="P304" s="4">
        <v>38384</v>
      </c>
      <c r="Q304" s="3">
        <v>46116</v>
      </c>
    </row>
    <row r="305" spans="1:17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 s="3">
        <v>46207</v>
      </c>
    </row>
    <row r="306" spans="1:17">
      <c r="A306" t="s">
        <v>392</v>
      </c>
      <c r="B306" t="s">
        <v>34</v>
      </c>
      <c r="C306" t="s">
        <v>35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 s="3">
        <v>46181</v>
      </c>
    </row>
    <row r="307" spans="1:17">
      <c r="A307" t="s">
        <v>393</v>
      </c>
      <c r="B307" t="s">
        <v>18</v>
      </c>
      <c r="C307" t="s">
        <v>19</v>
      </c>
      <c r="D307" t="s">
        <v>20</v>
      </c>
      <c r="E307" t="s">
        <v>30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167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 s="3">
        <v>46085</v>
      </c>
    </row>
    <row r="308" spans="1:17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38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 s="3">
        <v>46182</v>
      </c>
    </row>
    <row r="309" spans="1:17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t="s">
        <v>69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 s="3">
        <v>46026</v>
      </c>
    </row>
    <row r="310" spans="1:17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 s="3">
        <v>46207</v>
      </c>
    </row>
    <row r="311" spans="1:17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43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 s="3">
        <v>46241</v>
      </c>
    </row>
    <row r="312" spans="1:17">
      <c r="A312" t="s">
        <v>398</v>
      </c>
      <c r="B312" t="s">
        <v>34</v>
      </c>
      <c r="C312" t="s">
        <v>35</v>
      </c>
      <c r="D312" t="s">
        <v>20</v>
      </c>
      <c r="E312" t="s">
        <v>30</v>
      </c>
      <c r="F312" t="s">
        <v>38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 s="3">
        <v>46147</v>
      </c>
    </row>
    <row r="313" spans="1:17">
      <c r="A313" t="s">
        <v>399</v>
      </c>
      <c r="B313" t="s">
        <v>25</v>
      </c>
      <c r="C313" t="s">
        <v>26</v>
      </c>
      <c r="D313" t="s">
        <v>20</v>
      </c>
      <c r="E313" t="s">
        <v>30</v>
      </c>
      <c r="F313" t="s">
        <v>43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 s="3">
        <v>46212</v>
      </c>
    </row>
    <row r="314" spans="1:17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40</v>
      </c>
      <c r="G314">
        <v>14.23</v>
      </c>
      <c r="H314">
        <v>5</v>
      </c>
      <c r="I314" s="4">
        <v>27454</v>
      </c>
      <c r="J314">
        <v>74.707499999999996</v>
      </c>
      <c r="K314" s="1">
        <v>43467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 s="4">
        <v>27454</v>
      </c>
      <c r="Q314" s="3">
        <v>46116</v>
      </c>
    </row>
    <row r="315" spans="1:17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 s="4">
        <v>27546</v>
      </c>
      <c r="J315">
        <v>146.94749999999999</v>
      </c>
      <c r="K315" s="1">
        <v>43649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 s="4">
        <v>27546</v>
      </c>
      <c r="Q315">
        <v>5</v>
      </c>
    </row>
    <row r="316" spans="1:17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 s="3">
        <v>46116</v>
      </c>
    </row>
    <row r="317" spans="1:17">
      <c r="A317" t="s">
        <v>403</v>
      </c>
      <c r="B317" t="s">
        <v>25</v>
      </c>
      <c r="C317" t="s">
        <v>26</v>
      </c>
      <c r="D317" t="s">
        <v>20</v>
      </c>
      <c r="E317" t="s">
        <v>30</v>
      </c>
      <c r="F317" t="s">
        <v>40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123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 s="3">
        <v>46058</v>
      </c>
    </row>
    <row r="318" spans="1:17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40</v>
      </c>
      <c r="G318" s="3">
        <v>46255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 s="3">
        <v>46088</v>
      </c>
    </row>
    <row r="319" spans="1:17">
      <c r="A319" t="s">
        <v>405</v>
      </c>
      <c r="B319" t="s">
        <v>25</v>
      </c>
      <c r="C319" t="s">
        <v>26</v>
      </c>
      <c r="D319" t="s">
        <v>20</v>
      </c>
      <c r="E319" t="s">
        <v>30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 s="3">
        <v>46269</v>
      </c>
    </row>
    <row r="320" spans="1:17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 s="4">
        <v>16711</v>
      </c>
      <c r="J320">
        <v>218.0745</v>
      </c>
      <c r="K320" s="1">
        <v>43772</v>
      </c>
      <c r="L320" s="2">
        <v>0.79027777777777775</v>
      </c>
      <c r="M320" t="s">
        <v>33</v>
      </c>
      <c r="N320">
        <v>207.69</v>
      </c>
      <c r="O320">
        <v>4.7619047620000003</v>
      </c>
      <c r="P320" s="4">
        <v>16711</v>
      </c>
      <c r="Q320" s="3">
        <v>46030</v>
      </c>
    </row>
    <row r="321" spans="1:17">
      <c r="A321" t="s">
        <v>407</v>
      </c>
      <c r="B321" t="s">
        <v>25</v>
      </c>
      <c r="C321" t="s">
        <v>26</v>
      </c>
      <c r="D321" t="s">
        <v>20</v>
      </c>
      <c r="E321" t="s">
        <v>30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207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 s="3">
        <v>46120</v>
      </c>
    </row>
    <row r="322" spans="1:17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40</v>
      </c>
      <c r="G322">
        <v>22.93</v>
      </c>
      <c r="H322">
        <v>9</v>
      </c>
      <c r="I322" s="4">
        <v>31321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 s="4">
        <v>31321</v>
      </c>
      <c r="Q322" s="3">
        <v>46147</v>
      </c>
    </row>
    <row r="323" spans="1:17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209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 s="3">
        <v>46120</v>
      </c>
    </row>
    <row r="324" spans="1:17">
      <c r="A324" t="s">
        <v>410</v>
      </c>
      <c r="B324" t="s">
        <v>18</v>
      </c>
      <c r="C324" t="s">
        <v>19</v>
      </c>
      <c r="D324" t="s">
        <v>27</v>
      </c>
      <c r="E324" t="s">
        <v>30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118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 s="3">
        <v>46243</v>
      </c>
    </row>
    <row r="325" spans="1:17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43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 s="3">
        <v>46209</v>
      </c>
    </row>
    <row r="326" spans="1:17">
      <c r="A326" t="s">
        <v>412</v>
      </c>
      <c r="B326" t="s">
        <v>18</v>
      </c>
      <c r="C326" t="s">
        <v>19</v>
      </c>
      <c r="D326" t="s">
        <v>27</v>
      </c>
      <c r="E326" t="s">
        <v>30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t="s">
        <v>91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 s="3">
        <v>46121</v>
      </c>
    </row>
    <row r="327" spans="1:17">
      <c r="A327" t="s">
        <v>413</v>
      </c>
      <c r="B327" t="s">
        <v>34</v>
      </c>
      <c r="C327" t="s">
        <v>35</v>
      </c>
      <c r="D327" t="s">
        <v>27</v>
      </c>
      <c r="E327" t="s">
        <v>30</v>
      </c>
      <c r="F327" t="s">
        <v>38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 s="3">
        <v>46118</v>
      </c>
    </row>
    <row r="328" spans="1:17">
      <c r="A328" t="s">
        <v>414</v>
      </c>
      <c r="B328" t="s">
        <v>18</v>
      </c>
      <c r="C328" t="s">
        <v>19</v>
      </c>
      <c r="D328" t="s">
        <v>20</v>
      </c>
      <c r="E328" t="s">
        <v>30</v>
      </c>
      <c r="F328" t="s">
        <v>40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 s="3">
        <v>46117</v>
      </c>
    </row>
    <row r="329" spans="1:17">
      <c r="A329" t="s">
        <v>415</v>
      </c>
      <c r="B329" t="s">
        <v>25</v>
      </c>
      <c r="C329" t="s">
        <v>26</v>
      </c>
      <c r="D329" t="s">
        <v>20</v>
      </c>
      <c r="E329" t="s">
        <v>30</v>
      </c>
      <c r="F329" t="s">
        <v>40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 s="3">
        <v>46181</v>
      </c>
    </row>
    <row r="330" spans="1:17">
      <c r="A330" t="s">
        <v>416</v>
      </c>
      <c r="B330" t="s">
        <v>34</v>
      </c>
      <c r="C330" t="s">
        <v>35</v>
      </c>
      <c r="D330" t="s">
        <v>20</v>
      </c>
      <c r="E330" t="s">
        <v>30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76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>
      <c r="A331" t="s">
        <v>417</v>
      </c>
      <c r="B331" t="s">
        <v>18</v>
      </c>
      <c r="C331" t="s">
        <v>19</v>
      </c>
      <c r="D331" t="s">
        <v>20</v>
      </c>
      <c r="E331" t="s">
        <v>30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42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 s="3">
        <v>46180</v>
      </c>
    </row>
    <row r="332" spans="1:17">
      <c r="A332" t="s">
        <v>418</v>
      </c>
      <c r="B332" t="s">
        <v>34</v>
      </c>
      <c r="C332" t="s">
        <v>35</v>
      </c>
      <c r="D332" t="s">
        <v>27</v>
      </c>
      <c r="E332" t="s">
        <v>30</v>
      </c>
      <c r="F332" t="s">
        <v>32</v>
      </c>
      <c r="G332" s="3">
        <v>46075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 s="3">
        <v>46240</v>
      </c>
    </row>
    <row r="333" spans="1:17">
      <c r="A333" t="s">
        <v>419</v>
      </c>
      <c r="B333" t="s">
        <v>18</v>
      </c>
      <c r="C333" t="s">
        <v>19</v>
      </c>
      <c r="D333" t="s">
        <v>27</v>
      </c>
      <c r="E333" t="s">
        <v>30</v>
      </c>
      <c r="F333" t="s">
        <v>40</v>
      </c>
      <c r="G333">
        <v>32.9</v>
      </c>
      <c r="H333">
        <v>3</v>
      </c>
      <c r="I333">
        <v>4.9349999999999996</v>
      </c>
      <c r="J333">
        <v>103.63500000000001</v>
      </c>
      <c r="K333" t="s">
        <v>69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 s="3">
        <v>46031</v>
      </c>
    </row>
    <row r="334" spans="1:17">
      <c r="A334" t="s">
        <v>420</v>
      </c>
      <c r="B334" t="s">
        <v>18</v>
      </c>
      <c r="C334" t="s">
        <v>19</v>
      </c>
      <c r="D334" t="s">
        <v>27</v>
      </c>
      <c r="E334" t="s">
        <v>30</v>
      </c>
      <c r="F334" t="s">
        <v>43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 s="3">
        <v>46147</v>
      </c>
    </row>
    <row r="335" spans="1:17">
      <c r="A335" t="s">
        <v>421</v>
      </c>
      <c r="B335" t="s">
        <v>18</v>
      </c>
      <c r="C335" t="s">
        <v>19</v>
      </c>
      <c r="D335" t="s">
        <v>20</v>
      </c>
      <c r="E335" t="s">
        <v>30</v>
      </c>
      <c r="F335" t="s">
        <v>40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 s="3">
        <v>46272</v>
      </c>
    </row>
    <row r="336" spans="1:17">
      <c r="A336" t="s">
        <v>422</v>
      </c>
      <c r="B336" t="s">
        <v>25</v>
      </c>
      <c r="C336" t="s">
        <v>26</v>
      </c>
      <c r="D336" t="s">
        <v>20</v>
      </c>
      <c r="E336" t="s">
        <v>30</v>
      </c>
      <c r="F336" t="s">
        <v>38</v>
      </c>
      <c r="G336" s="3">
        <v>46217</v>
      </c>
      <c r="H336">
        <v>5</v>
      </c>
      <c r="I336">
        <v>3.6749999999999998</v>
      </c>
      <c r="J336">
        <v>77.174999999999997</v>
      </c>
      <c r="K336" t="s">
        <v>177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 s="3">
        <v>46150</v>
      </c>
    </row>
    <row r="337" spans="1:17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 s="3">
        <v>46031</v>
      </c>
    </row>
    <row r="338" spans="1:17">
      <c r="A338" t="s">
        <v>424</v>
      </c>
      <c r="B338" t="s">
        <v>18</v>
      </c>
      <c r="C338" t="s">
        <v>19</v>
      </c>
      <c r="D338" t="s">
        <v>27</v>
      </c>
      <c r="E338" t="s">
        <v>30</v>
      </c>
      <c r="F338" t="s">
        <v>43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 s="3">
        <v>46149</v>
      </c>
    </row>
    <row r="339" spans="1:17">
      <c r="A339" t="s">
        <v>425</v>
      </c>
      <c r="B339" t="s">
        <v>34</v>
      </c>
      <c r="C339" t="s">
        <v>35</v>
      </c>
      <c r="D339" t="s">
        <v>27</v>
      </c>
      <c r="E339" t="s">
        <v>21</v>
      </c>
      <c r="F339" t="s">
        <v>38</v>
      </c>
      <c r="G339">
        <v>57.95</v>
      </c>
      <c r="H339">
        <v>6</v>
      </c>
      <c r="I339">
        <v>17.385000000000002</v>
      </c>
      <c r="J339">
        <v>365.08499999999998</v>
      </c>
      <c r="K339" t="s">
        <v>47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 s="3">
        <v>46058</v>
      </c>
    </row>
    <row r="340" spans="1:17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171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 s="3">
        <v>46151</v>
      </c>
    </row>
    <row r="341" spans="1:17">
      <c r="A341" t="s">
        <v>427</v>
      </c>
      <c r="B341" t="s">
        <v>34</v>
      </c>
      <c r="C341" t="s">
        <v>35</v>
      </c>
      <c r="D341" t="s">
        <v>20</v>
      </c>
      <c r="E341" t="s">
        <v>21</v>
      </c>
      <c r="F341" t="s">
        <v>40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 s="3">
        <v>46273</v>
      </c>
    </row>
    <row r="342" spans="1:17">
      <c r="A342" t="s">
        <v>428</v>
      </c>
      <c r="B342" t="s">
        <v>34</v>
      </c>
      <c r="C342" t="s">
        <v>35</v>
      </c>
      <c r="D342" t="s">
        <v>20</v>
      </c>
      <c r="E342" t="s">
        <v>30</v>
      </c>
      <c r="F342" t="s">
        <v>28</v>
      </c>
      <c r="G342">
        <v>48.09</v>
      </c>
      <c r="H342">
        <v>3</v>
      </c>
      <c r="I342" s="4">
        <v>12966</v>
      </c>
      <c r="J342">
        <v>151.48349999999999</v>
      </c>
      <c r="K342" s="1">
        <v>43740</v>
      </c>
      <c r="L342" s="2">
        <v>0.76597222222222217</v>
      </c>
      <c r="M342" t="s">
        <v>33</v>
      </c>
      <c r="N342">
        <v>144.27000000000001</v>
      </c>
      <c r="O342">
        <v>4.7619047620000003</v>
      </c>
      <c r="P342" s="4">
        <v>12966</v>
      </c>
      <c r="Q342" s="3">
        <v>46241</v>
      </c>
    </row>
    <row r="343" spans="1:17">
      <c r="A343" t="s">
        <v>429</v>
      </c>
      <c r="B343" t="s">
        <v>34</v>
      </c>
      <c r="C343" t="s">
        <v>35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 s="3">
        <v>46273</v>
      </c>
    </row>
    <row r="344" spans="1:17">
      <c r="A344" t="s">
        <v>430</v>
      </c>
      <c r="B344" t="s">
        <v>34</v>
      </c>
      <c r="C344" t="s">
        <v>35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118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 s="3">
        <v>46210</v>
      </c>
    </row>
    <row r="345" spans="1:17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40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 s="3">
        <v>46090</v>
      </c>
    </row>
    <row r="346" spans="1:17">
      <c r="A346" t="s">
        <v>432</v>
      </c>
      <c r="B346" t="s">
        <v>18</v>
      </c>
      <c r="C346" t="s">
        <v>19</v>
      </c>
      <c r="D346" t="s">
        <v>27</v>
      </c>
      <c r="E346" t="s">
        <v>30</v>
      </c>
      <c r="F346" t="s">
        <v>38</v>
      </c>
      <c r="G346">
        <v>44.65</v>
      </c>
      <c r="H346">
        <v>3</v>
      </c>
      <c r="I346" s="4">
        <v>27546</v>
      </c>
      <c r="J346">
        <v>140.64750000000001</v>
      </c>
      <c r="K346" t="s">
        <v>123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 s="4">
        <v>27546</v>
      </c>
      <c r="Q346" s="3">
        <v>46059</v>
      </c>
    </row>
    <row r="347" spans="1:17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43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99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 s="3">
        <v>46180</v>
      </c>
    </row>
    <row r="348" spans="1:17">
      <c r="A348" t="s">
        <v>434</v>
      </c>
      <c r="B348" t="s">
        <v>18</v>
      </c>
      <c r="C348" t="s">
        <v>19</v>
      </c>
      <c r="D348" t="s">
        <v>20</v>
      </c>
      <c r="E348" t="s">
        <v>30</v>
      </c>
      <c r="F348" t="s">
        <v>28</v>
      </c>
      <c r="G348">
        <v>71.95</v>
      </c>
      <c r="H348">
        <v>1</v>
      </c>
      <c r="I348" s="4">
        <v>27454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 s="4">
        <v>27454</v>
      </c>
      <c r="Q348" s="3">
        <v>46088</v>
      </c>
    </row>
    <row r="349" spans="1:17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t="s">
        <v>115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 s="3">
        <v>46207</v>
      </c>
    </row>
    <row r="350" spans="1:17">
      <c r="A350" t="s">
        <v>436</v>
      </c>
      <c r="B350" t="s">
        <v>18</v>
      </c>
      <c r="C350" t="s">
        <v>19</v>
      </c>
      <c r="D350" t="s">
        <v>27</v>
      </c>
      <c r="E350" t="s">
        <v>30</v>
      </c>
      <c r="F350" t="s">
        <v>28</v>
      </c>
      <c r="G350" s="3">
        <v>46079</v>
      </c>
      <c r="H350">
        <v>7</v>
      </c>
      <c r="I350">
        <v>9.1069999999999993</v>
      </c>
      <c r="J350">
        <v>191.24700000000001</v>
      </c>
      <c r="K350" t="s">
        <v>171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 s="3">
        <v>46027</v>
      </c>
    </row>
    <row r="351" spans="1:17">
      <c r="A351" t="s">
        <v>437</v>
      </c>
      <c r="B351" t="s">
        <v>34</v>
      </c>
      <c r="C351" t="s">
        <v>35</v>
      </c>
      <c r="D351" t="s">
        <v>27</v>
      </c>
      <c r="E351" t="s">
        <v>21</v>
      </c>
      <c r="F351" t="s">
        <v>22</v>
      </c>
      <c r="G351" s="3">
        <v>46155</v>
      </c>
      <c r="H351">
        <v>10</v>
      </c>
      <c r="I351" s="4">
        <v>27546</v>
      </c>
      <c r="J351">
        <v>141.75</v>
      </c>
      <c r="K351" t="s">
        <v>99</v>
      </c>
      <c r="L351" s="2">
        <v>0.46249999999999997</v>
      </c>
      <c r="M351" t="s">
        <v>33</v>
      </c>
      <c r="N351">
        <v>135</v>
      </c>
      <c r="O351">
        <v>4.7619047620000003</v>
      </c>
      <c r="P351" s="4">
        <v>27546</v>
      </c>
      <c r="Q351" s="3">
        <v>46238</v>
      </c>
    </row>
    <row r="352" spans="1:17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43</v>
      </c>
      <c r="G352">
        <v>99.3</v>
      </c>
      <c r="H352">
        <v>10</v>
      </c>
      <c r="I352">
        <v>49.65</v>
      </c>
      <c r="J352">
        <v>1042.6500000000001</v>
      </c>
      <c r="K352" t="s">
        <v>118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 s="3">
        <v>46179</v>
      </c>
    </row>
    <row r="353" spans="1:17">
      <c r="A353" t="s">
        <v>439</v>
      </c>
      <c r="B353" t="s">
        <v>18</v>
      </c>
      <c r="C353" t="s">
        <v>19</v>
      </c>
      <c r="D353" t="s">
        <v>27</v>
      </c>
      <c r="E353" t="s">
        <v>30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145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 s="3">
        <v>46147</v>
      </c>
    </row>
    <row r="354" spans="1:17">
      <c r="A354" t="s">
        <v>440</v>
      </c>
      <c r="B354" t="s">
        <v>34</v>
      </c>
      <c r="C354" t="s">
        <v>35</v>
      </c>
      <c r="D354" t="s">
        <v>20</v>
      </c>
      <c r="E354" t="s">
        <v>21</v>
      </c>
      <c r="F354" t="s">
        <v>43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0.79305555555555562</v>
      </c>
      <c r="M354" t="s">
        <v>33</v>
      </c>
      <c r="N354">
        <v>383.11</v>
      </c>
      <c r="O354">
        <v>4.7619047620000003</v>
      </c>
      <c r="P354">
        <v>19.1555</v>
      </c>
      <c r="Q354" s="3">
        <v>46150</v>
      </c>
    </row>
    <row r="355" spans="1:17">
      <c r="A355" t="s">
        <v>441</v>
      </c>
      <c r="B355" t="s">
        <v>34</v>
      </c>
      <c r="C355" t="s">
        <v>35</v>
      </c>
      <c r="D355" t="s">
        <v>20</v>
      </c>
      <c r="E355" t="s">
        <v>30</v>
      </c>
      <c r="F355" t="s">
        <v>32</v>
      </c>
      <c r="G355">
        <v>27</v>
      </c>
      <c r="H355">
        <v>9</v>
      </c>
      <c r="I355" s="4">
        <v>42339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 s="4">
        <v>42339</v>
      </c>
      <c r="Q355" s="3">
        <v>46238</v>
      </c>
    </row>
    <row r="356" spans="1:17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 s="3">
        <v>46120</v>
      </c>
    </row>
    <row r="357" spans="1:17">
      <c r="A357" t="s">
        <v>443</v>
      </c>
      <c r="B357" t="s">
        <v>34</v>
      </c>
      <c r="C357" t="s">
        <v>35</v>
      </c>
      <c r="D357" t="s">
        <v>20</v>
      </c>
      <c r="E357" t="s">
        <v>21</v>
      </c>
      <c r="F357" t="s">
        <v>40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0.51388888888888895</v>
      </c>
      <c r="M357" t="s">
        <v>33</v>
      </c>
      <c r="N357">
        <v>356.56</v>
      </c>
      <c r="O357">
        <v>4.7619047620000003</v>
      </c>
      <c r="P357">
        <v>17.827999999999999</v>
      </c>
      <c r="Q357" s="3">
        <v>46241</v>
      </c>
    </row>
    <row r="358" spans="1:17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43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0.8340277777777777</v>
      </c>
      <c r="M358" t="s">
        <v>33</v>
      </c>
      <c r="N358">
        <v>375.5</v>
      </c>
      <c r="O358">
        <v>4.7619047620000003</v>
      </c>
      <c r="P358">
        <v>18.774999999999999</v>
      </c>
      <c r="Q358" s="3">
        <v>46090</v>
      </c>
    </row>
    <row r="359" spans="1:17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38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 s="3">
        <v>46058</v>
      </c>
    </row>
    <row r="360" spans="1:17">
      <c r="A360" t="s">
        <v>446</v>
      </c>
      <c r="B360" t="s">
        <v>34</v>
      </c>
      <c r="C360" t="s">
        <v>35</v>
      </c>
      <c r="D360" t="s">
        <v>27</v>
      </c>
      <c r="E360" t="s">
        <v>30</v>
      </c>
      <c r="F360" t="s">
        <v>28</v>
      </c>
      <c r="G360" s="3">
        <v>46169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 s="3">
        <v>46148</v>
      </c>
    </row>
    <row r="361" spans="1:17">
      <c r="A361" t="s">
        <v>447</v>
      </c>
      <c r="B361" t="s">
        <v>34</v>
      </c>
      <c r="C361" t="s">
        <v>35</v>
      </c>
      <c r="D361" t="s">
        <v>27</v>
      </c>
      <c r="E361" t="s">
        <v>30</v>
      </c>
      <c r="F361" t="s">
        <v>38</v>
      </c>
      <c r="G361">
        <v>74.97</v>
      </c>
      <c r="H361">
        <v>1</v>
      </c>
      <c r="I361" s="4">
        <v>31107</v>
      </c>
      <c r="J361">
        <v>78.718500000000006</v>
      </c>
      <c r="K361" t="s">
        <v>96</v>
      </c>
      <c r="L361" s="2">
        <v>0.70694444444444438</v>
      </c>
      <c r="M361" t="s">
        <v>29</v>
      </c>
      <c r="N361">
        <v>74.97</v>
      </c>
      <c r="O361">
        <v>4.7619047620000003</v>
      </c>
      <c r="P361" s="4">
        <v>31107</v>
      </c>
      <c r="Q361" s="3">
        <v>46178</v>
      </c>
    </row>
    <row r="362" spans="1:17">
      <c r="A362" t="s">
        <v>448</v>
      </c>
      <c r="B362" t="s">
        <v>18</v>
      </c>
      <c r="C362" t="s">
        <v>19</v>
      </c>
      <c r="D362" t="s">
        <v>20</v>
      </c>
      <c r="E362" t="s">
        <v>30</v>
      </c>
      <c r="F362" t="s">
        <v>40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69</v>
      </c>
      <c r="L362" s="2">
        <v>0.46666666666666662</v>
      </c>
      <c r="M362" t="s">
        <v>33</v>
      </c>
      <c r="N362">
        <v>647.67999999999995</v>
      </c>
      <c r="O362">
        <v>4.7619047620000003</v>
      </c>
      <c r="P362">
        <v>32.384</v>
      </c>
      <c r="Q362" s="3">
        <v>46119</v>
      </c>
    </row>
    <row r="363" spans="1:17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40</v>
      </c>
      <c r="G363">
        <v>94.47</v>
      </c>
      <c r="H363">
        <v>8</v>
      </c>
      <c r="I363">
        <v>37.787999999999997</v>
      </c>
      <c r="J363">
        <v>793.548</v>
      </c>
      <c r="K363" t="s">
        <v>99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 s="3">
        <v>46031</v>
      </c>
    </row>
    <row r="364" spans="1:17">
      <c r="A364" t="s">
        <v>450</v>
      </c>
      <c r="B364" t="s">
        <v>25</v>
      </c>
      <c r="C364" t="s">
        <v>26</v>
      </c>
      <c r="D364" t="s">
        <v>27</v>
      </c>
      <c r="E364" t="s">
        <v>30</v>
      </c>
      <c r="F364" t="s">
        <v>40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>
      <c r="A365" t="s">
        <v>451</v>
      </c>
      <c r="B365" t="s">
        <v>18</v>
      </c>
      <c r="C365" t="s">
        <v>19</v>
      </c>
      <c r="D365" t="s">
        <v>27</v>
      </c>
      <c r="E365" t="s">
        <v>30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t="s">
        <v>62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 s="3">
        <v>46060</v>
      </c>
    </row>
    <row r="366" spans="1:17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40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 s="3">
        <v>46029</v>
      </c>
    </row>
    <row r="367" spans="1:17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43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 s="3">
        <v>46031</v>
      </c>
    </row>
    <row r="368" spans="1:17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 s="3">
        <v>46178</v>
      </c>
    </row>
    <row r="369" spans="1:17">
      <c r="A369" t="s">
        <v>456</v>
      </c>
      <c r="B369" t="s">
        <v>18</v>
      </c>
      <c r="C369" t="s">
        <v>19</v>
      </c>
      <c r="D369" t="s">
        <v>20</v>
      </c>
      <c r="E369" t="s">
        <v>30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177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38</v>
      </c>
      <c r="G370">
        <v>14.36</v>
      </c>
      <c r="H370">
        <v>10</v>
      </c>
      <c r="I370" s="4">
        <v>43282</v>
      </c>
      <c r="J370">
        <v>150.78</v>
      </c>
      <c r="K370" t="s">
        <v>37</v>
      </c>
      <c r="L370" s="2">
        <v>0.60277777777777775</v>
      </c>
      <c r="M370" t="s">
        <v>29</v>
      </c>
      <c r="N370">
        <v>143.6</v>
      </c>
      <c r="O370">
        <v>4.7619047620000003</v>
      </c>
      <c r="P370" s="4">
        <v>43282</v>
      </c>
      <c r="Q370" s="3">
        <v>46117</v>
      </c>
    </row>
    <row r="371" spans="1:17">
      <c r="A371" t="s">
        <v>458</v>
      </c>
      <c r="B371" t="s">
        <v>18</v>
      </c>
      <c r="C371" t="s">
        <v>19</v>
      </c>
      <c r="D371" t="s">
        <v>20</v>
      </c>
      <c r="E371" t="s">
        <v>30</v>
      </c>
      <c r="F371" t="s">
        <v>28</v>
      </c>
      <c r="G371" s="3">
        <v>46163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 s="3">
        <v>46241</v>
      </c>
    </row>
    <row r="372" spans="1:17">
      <c r="A372" t="s">
        <v>459</v>
      </c>
      <c r="B372" t="s">
        <v>34</v>
      </c>
      <c r="C372" t="s">
        <v>35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 s="3">
        <v>46274</v>
      </c>
    </row>
    <row r="373" spans="1:17">
      <c r="A373" t="s">
        <v>460</v>
      </c>
      <c r="B373" t="s">
        <v>34</v>
      </c>
      <c r="C373" t="s">
        <v>35</v>
      </c>
      <c r="D373" t="s">
        <v>27</v>
      </c>
      <c r="E373" t="s">
        <v>21</v>
      </c>
      <c r="F373" t="s">
        <v>43</v>
      </c>
      <c r="G373">
        <v>60.96</v>
      </c>
      <c r="H373">
        <v>2</v>
      </c>
      <c r="I373">
        <v>6.0960000000000001</v>
      </c>
      <c r="J373">
        <v>128.01599999999999</v>
      </c>
      <c r="K373" t="s">
        <v>76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 s="3">
        <v>46269</v>
      </c>
    </row>
    <row r="374" spans="1:17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 s="3">
        <v>46058</v>
      </c>
    </row>
    <row r="375" spans="1:17">
      <c r="A375" t="s">
        <v>462</v>
      </c>
      <c r="B375" t="s">
        <v>25</v>
      </c>
      <c r="C375" t="s">
        <v>26</v>
      </c>
      <c r="D375" t="s">
        <v>27</v>
      </c>
      <c r="E375" t="s">
        <v>30</v>
      </c>
      <c r="F375" t="s">
        <v>43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 s="3">
        <v>46273</v>
      </c>
    </row>
    <row r="376" spans="1:17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0.69930555555555562</v>
      </c>
      <c r="M376" t="s">
        <v>33</v>
      </c>
      <c r="N376">
        <v>335.45</v>
      </c>
      <c r="O376">
        <v>4.7619047620000003</v>
      </c>
      <c r="P376">
        <v>16.772500000000001</v>
      </c>
      <c r="Q376" s="3">
        <v>46031</v>
      </c>
    </row>
    <row r="377" spans="1:17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43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>
      <c r="A378" t="s">
        <v>465</v>
      </c>
      <c r="B378" t="s">
        <v>34</v>
      </c>
      <c r="C378" t="s">
        <v>35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 s="3">
        <v>46182</v>
      </c>
    </row>
    <row r="379" spans="1:17">
      <c r="A379" t="s">
        <v>466</v>
      </c>
      <c r="B379" t="s">
        <v>25</v>
      </c>
      <c r="C379" t="s">
        <v>26</v>
      </c>
      <c r="D379" t="s">
        <v>27</v>
      </c>
      <c r="E379" t="s">
        <v>30</v>
      </c>
      <c r="F379" t="s">
        <v>38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 s="3">
        <v>46211</v>
      </c>
    </row>
    <row r="380" spans="1:17">
      <c r="A380" t="s">
        <v>467</v>
      </c>
      <c r="B380" t="s">
        <v>25</v>
      </c>
      <c r="C380" t="s">
        <v>26</v>
      </c>
      <c r="D380" t="s">
        <v>20</v>
      </c>
      <c r="E380" t="s">
        <v>30</v>
      </c>
      <c r="F380" t="s">
        <v>43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 s="3">
        <v>46121</v>
      </c>
    </row>
    <row r="381" spans="1:17">
      <c r="A381" t="s">
        <v>468</v>
      </c>
      <c r="B381" t="s">
        <v>34</v>
      </c>
      <c r="C381" t="s">
        <v>35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 s="4">
        <v>26755</v>
      </c>
      <c r="J381">
        <v>99.33</v>
      </c>
      <c r="K381" t="s">
        <v>241</v>
      </c>
      <c r="L381" s="2">
        <v>0.56388888888888888</v>
      </c>
      <c r="M381" t="s">
        <v>33</v>
      </c>
      <c r="N381">
        <v>94.6</v>
      </c>
      <c r="O381">
        <v>4.7619047620000003</v>
      </c>
      <c r="P381" s="4">
        <v>26755</v>
      </c>
      <c r="Q381">
        <v>4</v>
      </c>
    </row>
    <row r="382" spans="1:17">
      <c r="A382" t="s">
        <v>469</v>
      </c>
      <c r="B382" t="s">
        <v>18</v>
      </c>
      <c r="C382" t="s">
        <v>19</v>
      </c>
      <c r="D382" t="s">
        <v>20</v>
      </c>
      <c r="E382" t="s">
        <v>30</v>
      </c>
      <c r="F382" t="s">
        <v>38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0.44236111111111115</v>
      </c>
      <c r="M382" t="s">
        <v>33</v>
      </c>
      <c r="N382">
        <v>329.32</v>
      </c>
      <c r="O382">
        <v>4.7619047620000003</v>
      </c>
      <c r="P382">
        <v>16.466000000000001</v>
      </c>
      <c r="Q382" s="3">
        <v>46149</v>
      </c>
    </row>
    <row r="383" spans="1:17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 s="3">
        <v>46057</v>
      </c>
    </row>
    <row r="384" spans="1:17">
      <c r="A384" t="s">
        <v>471</v>
      </c>
      <c r="B384" t="s">
        <v>34</v>
      </c>
      <c r="C384" t="s">
        <v>35</v>
      </c>
      <c r="D384" t="s">
        <v>27</v>
      </c>
      <c r="E384" t="s">
        <v>21</v>
      </c>
      <c r="F384" t="s">
        <v>40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 s="3">
        <v>46274</v>
      </c>
    </row>
    <row r="385" spans="1:17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40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 s="3">
        <v>46057</v>
      </c>
    </row>
    <row r="386" spans="1:17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40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 s="3">
        <v>46274</v>
      </c>
    </row>
    <row r="387" spans="1:17">
      <c r="A387" t="s">
        <v>474</v>
      </c>
      <c r="B387" t="s">
        <v>34</v>
      </c>
      <c r="C387" t="s">
        <v>35</v>
      </c>
      <c r="D387" t="s">
        <v>20</v>
      </c>
      <c r="E387" t="s">
        <v>30</v>
      </c>
      <c r="F387" t="s">
        <v>38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 s="3">
        <v>46239</v>
      </c>
    </row>
    <row r="388" spans="1:17">
      <c r="A388" t="s">
        <v>475</v>
      </c>
      <c r="B388" t="s">
        <v>25</v>
      </c>
      <c r="C388" t="s">
        <v>26</v>
      </c>
      <c r="D388" t="s">
        <v>27</v>
      </c>
      <c r="E388" t="s">
        <v>30</v>
      </c>
      <c r="F388" t="s">
        <v>40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50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43</v>
      </c>
      <c r="G390">
        <v>54.07</v>
      </c>
      <c r="H390">
        <v>9</v>
      </c>
      <c r="I390">
        <v>24.331499999999998</v>
      </c>
      <c r="J390">
        <v>510.9615</v>
      </c>
      <c r="K390" t="s">
        <v>37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 s="3">
        <v>46151</v>
      </c>
    </row>
    <row r="391" spans="1:17">
      <c r="A391" t="s">
        <v>478</v>
      </c>
      <c r="B391" t="s">
        <v>34</v>
      </c>
      <c r="C391" t="s">
        <v>35</v>
      </c>
      <c r="D391" t="s">
        <v>27</v>
      </c>
      <c r="E391" t="s">
        <v>30</v>
      </c>
      <c r="F391" t="s">
        <v>40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 s="3">
        <v>46179</v>
      </c>
    </row>
    <row r="392" spans="1:17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43</v>
      </c>
      <c r="G392">
        <v>80.48</v>
      </c>
      <c r="H392">
        <v>3</v>
      </c>
      <c r="I392">
        <v>12.071999999999999</v>
      </c>
      <c r="J392">
        <v>253.512</v>
      </c>
      <c r="K392" t="s">
        <v>118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 s="3">
        <v>46030</v>
      </c>
    </row>
    <row r="393" spans="1:17">
      <c r="A393" t="s">
        <v>480</v>
      </c>
      <c r="B393" t="s">
        <v>34</v>
      </c>
      <c r="C393" t="s">
        <v>35</v>
      </c>
      <c r="D393" t="s">
        <v>27</v>
      </c>
      <c r="E393" t="s">
        <v>21</v>
      </c>
      <c r="F393" t="s">
        <v>43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145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 s="3">
        <v>46212</v>
      </c>
    </row>
    <row r="394" spans="1:17">
      <c r="A394" t="s">
        <v>481</v>
      </c>
      <c r="B394" t="s">
        <v>18</v>
      </c>
      <c r="C394" t="s">
        <v>19</v>
      </c>
      <c r="D394" t="s">
        <v>20</v>
      </c>
      <c r="E394" t="s">
        <v>30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 s="3">
        <v>46060</v>
      </c>
    </row>
    <row r="395" spans="1:17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38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 s="3">
        <v>46059</v>
      </c>
    </row>
    <row r="396" spans="1:17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 s="3">
        <v>46088</v>
      </c>
    </row>
    <row r="397" spans="1:17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 s="3">
        <v>46085</v>
      </c>
    </row>
    <row r="398" spans="1:17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40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125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 s="3">
        <v>46177</v>
      </c>
    </row>
    <row r="399" spans="1:17">
      <c r="A399" t="s">
        <v>486</v>
      </c>
      <c r="B399" t="s">
        <v>34</v>
      </c>
      <c r="C399" t="s">
        <v>35</v>
      </c>
      <c r="D399" t="s">
        <v>27</v>
      </c>
      <c r="E399" t="s">
        <v>30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t="s">
        <v>67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 s="3">
        <v>46239</v>
      </c>
    </row>
    <row r="400" spans="1:17">
      <c r="A400" t="s">
        <v>487</v>
      </c>
      <c r="B400" t="s">
        <v>34</v>
      </c>
      <c r="C400" t="s">
        <v>35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 s="3">
        <v>46089</v>
      </c>
    </row>
    <row r="401" spans="1:17">
      <c r="A401" t="s">
        <v>488</v>
      </c>
      <c r="B401" t="s">
        <v>34</v>
      </c>
      <c r="C401" t="s">
        <v>35</v>
      </c>
      <c r="D401" t="s">
        <v>20</v>
      </c>
      <c r="E401" t="s">
        <v>30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40</v>
      </c>
      <c r="G402">
        <v>39.43</v>
      </c>
      <c r="H402">
        <v>6</v>
      </c>
      <c r="I402">
        <v>11.829000000000001</v>
      </c>
      <c r="J402">
        <v>248.40899999999999</v>
      </c>
      <c r="K402" t="s">
        <v>42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 s="3">
        <v>46121</v>
      </c>
    </row>
    <row r="403" spans="1:17">
      <c r="A403" t="s">
        <v>490</v>
      </c>
      <c r="B403" t="s">
        <v>25</v>
      </c>
      <c r="C403" t="s">
        <v>26</v>
      </c>
      <c r="D403" t="s">
        <v>27</v>
      </c>
      <c r="E403" t="s">
        <v>30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 s="3">
        <v>46059</v>
      </c>
    </row>
    <row r="404" spans="1:17">
      <c r="A404" t="s">
        <v>491</v>
      </c>
      <c r="B404" t="s">
        <v>25</v>
      </c>
      <c r="C404" t="s">
        <v>26</v>
      </c>
      <c r="D404" t="s">
        <v>20</v>
      </c>
      <c r="E404" t="s">
        <v>30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 s="3">
        <v>46243</v>
      </c>
    </row>
    <row r="405" spans="1:17">
      <c r="A405" t="s">
        <v>492</v>
      </c>
      <c r="B405" t="s">
        <v>34</v>
      </c>
      <c r="C405" t="s">
        <v>35</v>
      </c>
      <c r="D405" t="s">
        <v>27</v>
      </c>
      <c r="E405" t="s">
        <v>21</v>
      </c>
      <c r="F405" t="s">
        <v>43</v>
      </c>
      <c r="G405">
        <v>39.75</v>
      </c>
      <c r="H405">
        <v>5</v>
      </c>
      <c r="I405" s="4">
        <v>27638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 s="4">
        <v>27638</v>
      </c>
      <c r="Q405" s="3">
        <v>46182</v>
      </c>
    </row>
    <row r="406" spans="1:17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43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 s="3">
        <v>46269</v>
      </c>
    </row>
    <row r="407" spans="1:17">
      <c r="A407" t="s">
        <v>494</v>
      </c>
      <c r="B407" t="s">
        <v>18</v>
      </c>
      <c r="C407" t="s">
        <v>19</v>
      </c>
      <c r="D407" t="s">
        <v>20</v>
      </c>
      <c r="E407" t="s">
        <v>30</v>
      </c>
      <c r="F407" t="s">
        <v>38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183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>
      <c r="A408" t="s">
        <v>495</v>
      </c>
      <c r="B408" t="s">
        <v>18</v>
      </c>
      <c r="C408" t="s">
        <v>19</v>
      </c>
      <c r="D408" t="s">
        <v>27</v>
      </c>
      <c r="E408" t="s">
        <v>30</v>
      </c>
      <c r="F408" t="s">
        <v>40</v>
      </c>
      <c r="G408">
        <v>13.79</v>
      </c>
      <c r="H408">
        <v>5</v>
      </c>
      <c r="I408" s="4">
        <v>27454</v>
      </c>
      <c r="J408">
        <v>72.397499999999994</v>
      </c>
      <c r="K408" s="1">
        <v>43770</v>
      </c>
      <c r="L408" s="2">
        <v>0.79652777777777783</v>
      </c>
      <c r="M408" t="s">
        <v>33</v>
      </c>
      <c r="N408">
        <v>68.95</v>
      </c>
      <c r="O408">
        <v>4.7619047620000003</v>
      </c>
      <c r="P408" s="4">
        <v>27454</v>
      </c>
      <c r="Q408" s="3">
        <v>46241</v>
      </c>
    </row>
    <row r="409" spans="1:17">
      <c r="A409" t="s">
        <v>496</v>
      </c>
      <c r="B409" t="s">
        <v>34</v>
      </c>
      <c r="C409" t="s">
        <v>35</v>
      </c>
      <c r="D409" t="s">
        <v>20</v>
      </c>
      <c r="E409" t="s">
        <v>21</v>
      </c>
      <c r="F409" t="s">
        <v>43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 s="3">
        <v>46026</v>
      </c>
    </row>
    <row r="410" spans="1:17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 s="3">
        <v>46147</v>
      </c>
    </row>
    <row r="411" spans="1:17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43</v>
      </c>
      <c r="G411">
        <v>23.82</v>
      </c>
      <c r="H411">
        <v>5</v>
      </c>
      <c r="I411">
        <v>5.9550000000000001</v>
      </c>
      <c r="J411">
        <v>125.05500000000001</v>
      </c>
      <c r="K411" t="s">
        <v>80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 s="3">
        <v>46117</v>
      </c>
    </row>
    <row r="412" spans="1:17">
      <c r="A412" t="s">
        <v>499</v>
      </c>
      <c r="B412" t="s">
        <v>34</v>
      </c>
      <c r="C412" t="s">
        <v>35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 s="3">
        <v>46027</v>
      </c>
    </row>
    <row r="413" spans="1:17">
      <c r="A413" t="s">
        <v>500</v>
      </c>
      <c r="B413" t="s">
        <v>34</v>
      </c>
      <c r="C413" t="s">
        <v>35</v>
      </c>
      <c r="D413" t="s">
        <v>27</v>
      </c>
      <c r="E413" t="s">
        <v>30</v>
      </c>
      <c r="F413" t="s">
        <v>38</v>
      </c>
      <c r="G413">
        <v>21.87</v>
      </c>
      <c r="H413">
        <v>2</v>
      </c>
      <c r="I413">
        <v>2.1869999999999998</v>
      </c>
      <c r="J413">
        <v>45.927</v>
      </c>
      <c r="K413" t="s">
        <v>76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 s="3">
        <v>46271</v>
      </c>
    </row>
    <row r="414" spans="1:17">
      <c r="A414" t="s">
        <v>501</v>
      </c>
      <c r="B414" t="s">
        <v>18</v>
      </c>
      <c r="C414" t="s">
        <v>19</v>
      </c>
      <c r="D414" t="s">
        <v>20</v>
      </c>
      <c r="E414" t="s">
        <v>30</v>
      </c>
      <c r="F414" t="s">
        <v>22</v>
      </c>
      <c r="G414">
        <v>20.97</v>
      </c>
      <c r="H414">
        <v>5</v>
      </c>
      <c r="I414" s="4">
        <v>45778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 s="4">
        <v>45778</v>
      </c>
      <c r="Q414" s="3">
        <v>46241</v>
      </c>
    </row>
    <row r="415" spans="1:17">
      <c r="A415" t="s">
        <v>502</v>
      </c>
      <c r="B415" t="s">
        <v>18</v>
      </c>
      <c r="C415" t="s">
        <v>19</v>
      </c>
      <c r="D415" t="s">
        <v>27</v>
      </c>
      <c r="E415" t="s">
        <v>30</v>
      </c>
      <c r="F415" t="s">
        <v>38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 s="3">
        <v>46179</v>
      </c>
    </row>
    <row r="416" spans="1:17">
      <c r="A416" t="s">
        <v>503</v>
      </c>
      <c r="B416" t="s">
        <v>18</v>
      </c>
      <c r="C416" t="s">
        <v>19</v>
      </c>
      <c r="D416" t="s">
        <v>27</v>
      </c>
      <c r="E416" t="s">
        <v>30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t="s">
        <v>72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 s="3">
        <v>46062</v>
      </c>
    </row>
    <row r="417" spans="1:17">
      <c r="A417" t="s">
        <v>504</v>
      </c>
      <c r="B417" t="s">
        <v>34</v>
      </c>
      <c r="C417" t="s">
        <v>35</v>
      </c>
      <c r="D417" t="s">
        <v>27</v>
      </c>
      <c r="E417" t="s">
        <v>30</v>
      </c>
      <c r="F417" t="s">
        <v>22</v>
      </c>
      <c r="G417">
        <v>96.11</v>
      </c>
      <c r="H417">
        <v>1</v>
      </c>
      <c r="I417" s="4">
        <v>20180</v>
      </c>
      <c r="J417">
        <v>100.91549999999999</v>
      </c>
      <c r="K417" t="s">
        <v>76</v>
      </c>
      <c r="L417" s="2">
        <v>0.68611111111111101</v>
      </c>
      <c r="M417" t="s">
        <v>23</v>
      </c>
      <c r="N417">
        <v>96.11</v>
      </c>
      <c r="O417">
        <v>4.7619047620000003</v>
      </c>
      <c r="P417" s="4">
        <v>20180</v>
      </c>
      <c r="Q417" s="3">
        <v>46241</v>
      </c>
    </row>
    <row r="418" spans="1:17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0.57500000000000007</v>
      </c>
      <c r="M418" t="s">
        <v>33</v>
      </c>
      <c r="N418">
        <v>181.52</v>
      </c>
      <c r="O418">
        <v>4.7619047620000003</v>
      </c>
      <c r="P418">
        <v>9.0760000000000005</v>
      </c>
      <c r="Q418" s="3">
        <v>46211</v>
      </c>
    </row>
    <row r="419" spans="1:17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136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 s="3">
        <v>46062</v>
      </c>
    </row>
    <row r="420" spans="1:17">
      <c r="A420" t="s">
        <v>507</v>
      </c>
      <c r="B420" t="s">
        <v>34</v>
      </c>
      <c r="C420" t="s">
        <v>35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 s="3">
        <v>46089</v>
      </c>
    </row>
    <row r="421" spans="1:17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 s="3">
        <v>46061</v>
      </c>
    </row>
    <row r="422" spans="1:17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40</v>
      </c>
      <c r="G422">
        <v>38.6</v>
      </c>
      <c r="H422">
        <v>3</v>
      </c>
      <c r="I422" s="4">
        <v>28976</v>
      </c>
      <c r="J422">
        <v>121.59</v>
      </c>
      <c r="K422" t="s">
        <v>171</v>
      </c>
      <c r="L422" s="2">
        <v>0.58124999999999993</v>
      </c>
      <c r="M422" t="s">
        <v>23</v>
      </c>
      <c r="N422">
        <v>115.8</v>
      </c>
      <c r="O422">
        <v>4.7619047620000003</v>
      </c>
      <c r="P422" s="4">
        <v>28976</v>
      </c>
      <c r="Q422" s="3">
        <v>46149</v>
      </c>
    </row>
    <row r="423" spans="1:17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 s="4">
        <v>27729</v>
      </c>
      <c r="J423">
        <v>264.75749999999999</v>
      </c>
      <c r="K423" t="s">
        <v>147</v>
      </c>
      <c r="L423" s="2">
        <v>0.56180555555555556</v>
      </c>
      <c r="M423" t="s">
        <v>29</v>
      </c>
      <c r="N423">
        <v>252.15</v>
      </c>
      <c r="O423">
        <v>4.7619047620000003</v>
      </c>
      <c r="P423" s="4">
        <v>27729</v>
      </c>
      <c r="Q423" s="3">
        <v>46243</v>
      </c>
    </row>
    <row r="424" spans="1:17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43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 s="3">
        <v>46211</v>
      </c>
    </row>
    <row r="425" spans="1:17">
      <c r="A425" t="s">
        <v>512</v>
      </c>
      <c r="B425" t="s">
        <v>34</v>
      </c>
      <c r="C425" t="s">
        <v>35</v>
      </c>
      <c r="D425" t="s">
        <v>20</v>
      </c>
      <c r="E425" t="s">
        <v>30</v>
      </c>
      <c r="F425" t="s">
        <v>43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 s="3">
        <v>46209</v>
      </c>
    </row>
    <row r="426" spans="1:17">
      <c r="A426" t="s">
        <v>513</v>
      </c>
      <c r="B426" t="s">
        <v>25</v>
      </c>
      <c r="C426" t="s">
        <v>26</v>
      </c>
      <c r="D426" t="s">
        <v>27</v>
      </c>
      <c r="E426" t="s">
        <v>30</v>
      </c>
      <c r="F426" t="s">
        <v>43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>
      <c r="A427" t="s">
        <v>514</v>
      </c>
      <c r="B427" t="s">
        <v>34</v>
      </c>
      <c r="C427" t="s">
        <v>35</v>
      </c>
      <c r="D427" t="s">
        <v>20</v>
      </c>
      <c r="E427" t="s">
        <v>30</v>
      </c>
      <c r="F427" t="s">
        <v>43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>
      <c r="A428" t="s">
        <v>515</v>
      </c>
      <c r="B428" t="s">
        <v>18</v>
      </c>
      <c r="C428" t="s">
        <v>19</v>
      </c>
      <c r="D428" t="s">
        <v>20</v>
      </c>
      <c r="E428" t="s">
        <v>30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62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 s="3">
        <v>46273</v>
      </c>
    </row>
    <row r="429" spans="1:17">
      <c r="A429" t="s">
        <v>516</v>
      </c>
      <c r="B429" t="s">
        <v>34</v>
      </c>
      <c r="C429" t="s">
        <v>35</v>
      </c>
      <c r="D429" t="s">
        <v>20</v>
      </c>
      <c r="E429" t="s">
        <v>21</v>
      </c>
      <c r="F429" t="s">
        <v>40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0.57847222222222217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>
      <c r="A430" t="s">
        <v>517</v>
      </c>
      <c r="B430" t="s">
        <v>34</v>
      </c>
      <c r="C430" t="s">
        <v>35</v>
      </c>
      <c r="D430" t="s">
        <v>27</v>
      </c>
      <c r="E430" t="s">
        <v>30</v>
      </c>
      <c r="F430" t="s">
        <v>38</v>
      </c>
      <c r="G430">
        <v>67.27</v>
      </c>
      <c r="H430">
        <v>5</v>
      </c>
      <c r="I430">
        <v>16.817499999999999</v>
      </c>
      <c r="J430">
        <v>353.16750000000002</v>
      </c>
      <c r="K430" t="s">
        <v>99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 s="3">
        <v>46271</v>
      </c>
    </row>
    <row r="431" spans="1:17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 s="3">
        <v>46088</v>
      </c>
    </row>
    <row r="432" spans="1:17">
      <c r="A432" t="s">
        <v>519</v>
      </c>
      <c r="B432" t="s">
        <v>34</v>
      </c>
      <c r="C432" t="s">
        <v>35</v>
      </c>
      <c r="D432" t="s">
        <v>27</v>
      </c>
      <c r="E432" t="s">
        <v>30</v>
      </c>
      <c r="F432" t="s">
        <v>43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0.82500000000000007</v>
      </c>
      <c r="M432" t="s">
        <v>33</v>
      </c>
      <c r="N432">
        <v>138.16</v>
      </c>
      <c r="O432">
        <v>4.7619047620000003</v>
      </c>
      <c r="P432">
        <v>6.9080000000000004</v>
      </c>
      <c r="Q432" s="3">
        <v>46271</v>
      </c>
    </row>
    <row r="433" spans="1:17">
      <c r="A433" t="s">
        <v>520</v>
      </c>
      <c r="B433" t="s">
        <v>25</v>
      </c>
      <c r="C433" t="s">
        <v>26</v>
      </c>
      <c r="D433" t="s">
        <v>27</v>
      </c>
      <c r="E433" t="s">
        <v>30</v>
      </c>
      <c r="F433" t="s">
        <v>40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 s="3">
        <v>46208</v>
      </c>
    </row>
    <row r="434" spans="1:17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 s="3">
        <v>46118</v>
      </c>
    </row>
    <row r="435" spans="1:17">
      <c r="A435" t="s">
        <v>522</v>
      </c>
      <c r="B435" t="s">
        <v>34</v>
      </c>
      <c r="C435" t="s">
        <v>35</v>
      </c>
      <c r="D435" t="s">
        <v>27</v>
      </c>
      <c r="E435" t="s">
        <v>30</v>
      </c>
      <c r="F435" t="s">
        <v>43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 s="3">
        <v>46182</v>
      </c>
    </row>
    <row r="436" spans="1:17">
      <c r="A436" t="s">
        <v>523</v>
      </c>
      <c r="B436" t="s">
        <v>34</v>
      </c>
      <c r="C436" t="s">
        <v>35</v>
      </c>
      <c r="D436" t="s">
        <v>27</v>
      </c>
      <c r="E436" t="s">
        <v>21</v>
      </c>
      <c r="F436" t="s">
        <v>43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 s="3">
        <v>46240</v>
      </c>
    </row>
    <row r="437" spans="1:17">
      <c r="A437" t="s">
        <v>524</v>
      </c>
      <c r="B437" t="s">
        <v>25</v>
      </c>
      <c r="C437" t="s">
        <v>26</v>
      </c>
      <c r="D437" t="s">
        <v>27</v>
      </c>
      <c r="E437" t="s">
        <v>30</v>
      </c>
      <c r="F437" t="s">
        <v>38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>
      <c r="A438" t="s">
        <v>525</v>
      </c>
      <c r="B438" t="s">
        <v>25</v>
      </c>
      <c r="C438" t="s">
        <v>26</v>
      </c>
      <c r="D438" t="s">
        <v>20</v>
      </c>
      <c r="E438" t="s">
        <v>30</v>
      </c>
      <c r="F438" t="s">
        <v>38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 s="3">
        <v>46182</v>
      </c>
    </row>
    <row r="439" spans="1:17">
      <c r="A439" t="s">
        <v>526</v>
      </c>
      <c r="B439" t="s">
        <v>18</v>
      </c>
      <c r="C439" t="s">
        <v>19</v>
      </c>
      <c r="D439" t="s">
        <v>27</v>
      </c>
      <c r="E439" t="s">
        <v>30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 s="3">
        <v>46210</v>
      </c>
    </row>
    <row r="440" spans="1:17">
      <c r="A440" t="s">
        <v>527</v>
      </c>
      <c r="B440" t="s">
        <v>25</v>
      </c>
      <c r="C440" t="s">
        <v>26</v>
      </c>
      <c r="D440" t="s">
        <v>20</v>
      </c>
      <c r="E440" t="s">
        <v>30</v>
      </c>
      <c r="F440" t="s">
        <v>40</v>
      </c>
      <c r="G440" s="3">
        <v>46129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0.60972222222222217</v>
      </c>
      <c r="M441" t="s">
        <v>33</v>
      </c>
      <c r="N441">
        <v>326.88</v>
      </c>
      <c r="O441">
        <v>4.7619047620000003</v>
      </c>
      <c r="P441">
        <v>16.344000000000001</v>
      </c>
      <c r="Q441" s="3">
        <v>46148</v>
      </c>
    </row>
    <row r="442" spans="1:17">
      <c r="A442" t="s">
        <v>529</v>
      </c>
      <c r="B442" t="s">
        <v>25</v>
      </c>
      <c r="C442" t="s">
        <v>26</v>
      </c>
      <c r="D442" t="s">
        <v>20</v>
      </c>
      <c r="E442" t="s">
        <v>30</v>
      </c>
      <c r="F442" t="s">
        <v>40</v>
      </c>
      <c r="G442">
        <v>17.440000000000001</v>
      </c>
      <c r="H442">
        <v>5</v>
      </c>
      <c r="I442" s="4">
        <v>13241</v>
      </c>
      <c r="J442">
        <v>91.56</v>
      </c>
      <c r="K442" t="s">
        <v>58</v>
      </c>
      <c r="L442" s="2">
        <v>0.80902777777777779</v>
      </c>
      <c r="M442" t="s">
        <v>29</v>
      </c>
      <c r="N442">
        <v>87.2</v>
      </c>
      <c r="O442">
        <v>4.7619047620000003</v>
      </c>
      <c r="P442" s="4">
        <v>13241</v>
      </c>
      <c r="Q442" s="3">
        <v>46030</v>
      </c>
    </row>
    <row r="443" spans="1:17">
      <c r="A443" t="s">
        <v>530</v>
      </c>
      <c r="B443" t="s">
        <v>34</v>
      </c>
      <c r="C443" t="s">
        <v>35</v>
      </c>
      <c r="D443" t="s">
        <v>20</v>
      </c>
      <c r="E443" t="s">
        <v>21</v>
      </c>
      <c r="F443" t="s">
        <v>38</v>
      </c>
      <c r="G443">
        <v>88.43</v>
      </c>
      <c r="H443">
        <v>8</v>
      </c>
      <c r="I443">
        <v>35.372</v>
      </c>
      <c r="J443">
        <v>742.81200000000001</v>
      </c>
      <c r="K443" t="s">
        <v>72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 s="3">
        <v>46085</v>
      </c>
    </row>
    <row r="444" spans="1:17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t="s">
        <v>58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 s="3">
        <v>46148</v>
      </c>
    </row>
    <row r="445" spans="1:17">
      <c r="A445" t="s">
        <v>532</v>
      </c>
      <c r="B445" t="s">
        <v>25</v>
      </c>
      <c r="C445" t="s">
        <v>26</v>
      </c>
      <c r="D445" t="s">
        <v>27</v>
      </c>
      <c r="E445" t="s">
        <v>30</v>
      </c>
      <c r="F445" t="s">
        <v>43</v>
      </c>
      <c r="G445" s="4">
        <v>28825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 s="4">
        <v>28825</v>
      </c>
      <c r="O445">
        <v>4.7619047620000003</v>
      </c>
      <c r="P445">
        <v>0.63900000000000001</v>
      </c>
      <c r="Q445" s="3">
        <v>46151</v>
      </c>
    </row>
    <row r="446" spans="1:17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38</v>
      </c>
      <c r="G446" s="3">
        <v>46041</v>
      </c>
      <c r="H446">
        <v>7</v>
      </c>
      <c r="I446">
        <v>6.6849999999999996</v>
      </c>
      <c r="J446">
        <v>140.38499999999999</v>
      </c>
      <c r="K446" t="s">
        <v>58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 s="3">
        <v>46212</v>
      </c>
    </row>
    <row r="447" spans="1:17">
      <c r="A447" t="s">
        <v>534</v>
      </c>
      <c r="B447" t="s">
        <v>34</v>
      </c>
      <c r="C447" t="s">
        <v>35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80</v>
      </c>
      <c r="L447" s="2">
        <v>0.74861111111111101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 s="3">
        <v>46151</v>
      </c>
    </row>
    <row r="448" spans="1:17">
      <c r="A448" t="s">
        <v>535</v>
      </c>
      <c r="B448" t="s">
        <v>25</v>
      </c>
      <c r="C448" t="s">
        <v>26</v>
      </c>
      <c r="D448" t="s">
        <v>20</v>
      </c>
      <c r="E448" t="s">
        <v>30</v>
      </c>
      <c r="F448" t="s">
        <v>40</v>
      </c>
      <c r="G448">
        <v>27.66</v>
      </c>
      <c r="H448">
        <v>10</v>
      </c>
      <c r="I448">
        <v>13.83</v>
      </c>
      <c r="J448">
        <v>290.43</v>
      </c>
      <c r="K448" t="s">
        <v>123</v>
      </c>
      <c r="L448" s="2">
        <v>0.47638888888888892</v>
      </c>
      <c r="M448" t="s">
        <v>33</v>
      </c>
      <c r="N448">
        <v>276.60000000000002</v>
      </c>
      <c r="O448">
        <v>4.7619047620000003</v>
      </c>
      <c r="P448">
        <v>13.83</v>
      </c>
      <c r="Q448" s="3">
        <v>46273</v>
      </c>
    </row>
    <row r="449" spans="1:17">
      <c r="A449" t="s">
        <v>536</v>
      </c>
      <c r="B449" t="s">
        <v>25</v>
      </c>
      <c r="C449" t="s">
        <v>26</v>
      </c>
      <c r="D449" t="s">
        <v>27</v>
      </c>
      <c r="E449" t="s">
        <v>30</v>
      </c>
      <c r="F449" t="s">
        <v>43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0.73472222222222217</v>
      </c>
      <c r="M449" t="s">
        <v>33</v>
      </c>
      <c r="N449">
        <v>137.22</v>
      </c>
      <c r="O449">
        <v>4.7619047620000003</v>
      </c>
      <c r="P449">
        <v>6.8609999999999998</v>
      </c>
      <c r="Q449" s="3">
        <v>46148</v>
      </c>
    </row>
    <row r="450" spans="1:17">
      <c r="A450" t="s">
        <v>537</v>
      </c>
      <c r="B450" t="s">
        <v>34</v>
      </c>
      <c r="C450" t="s">
        <v>35</v>
      </c>
      <c r="D450" t="s">
        <v>20</v>
      </c>
      <c r="E450" t="s">
        <v>21</v>
      </c>
      <c r="F450" t="s">
        <v>22</v>
      </c>
      <c r="G450" s="3">
        <v>46230</v>
      </c>
      <c r="H450">
        <v>1</v>
      </c>
      <c r="I450" s="4">
        <v>12785</v>
      </c>
      <c r="J450">
        <v>28.423500000000001</v>
      </c>
      <c r="K450" s="1">
        <v>43800</v>
      </c>
      <c r="L450" s="2">
        <v>0.83819444444444446</v>
      </c>
      <c r="M450" t="s">
        <v>33</v>
      </c>
      <c r="N450" s="7">
        <v>46230</v>
      </c>
      <c r="O450">
        <v>4.7619047620000003</v>
      </c>
      <c r="P450" s="4">
        <v>12785</v>
      </c>
      <c r="Q450" s="3">
        <v>46086</v>
      </c>
    </row>
    <row r="451" spans="1:17">
      <c r="A451" t="s">
        <v>538</v>
      </c>
      <c r="B451" t="s">
        <v>34</v>
      </c>
      <c r="C451" t="s">
        <v>35</v>
      </c>
      <c r="D451" t="s">
        <v>20</v>
      </c>
      <c r="E451" t="s">
        <v>21</v>
      </c>
      <c r="F451" t="s">
        <v>38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167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 s="3">
        <v>46182</v>
      </c>
    </row>
    <row r="452" spans="1:17">
      <c r="A452" t="s">
        <v>539</v>
      </c>
      <c r="B452" t="s">
        <v>34</v>
      </c>
      <c r="C452" t="s">
        <v>35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 s="3">
        <v>46209</v>
      </c>
    </row>
    <row r="453" spans="1:17">
      <c r="A453" t="s">
        <v>540</v>
      </c>
      <c r="B453" t="s">
        <v>34</v>
      </c>
      <c r="C453" t="s">
        <v>35</v>
      </c>
      <c r="D453" t="s">
        <v>27</v>
      </c>
      <c r="E453" t="s">
        <v>30</v>
      </c>
      <c r="F453" t="s">
        <v>28</v>
      </c>
      <c r="G453" s="3">
        <v>46044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 s="3">
        <v>46180</v>
      </c>
    </row>
    <row r="454" spans="1:17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40</v>
      </c>
      <c r="G454">
        <v>63.61</v>
      </c>
      <c r="H454">
        <v>5</v>
      </c>
      <c r="I454">
        <v>15.9025</v>
      </c>
      <c r="J454">
        <v>333.95249999999999</v>
      </c>
      <c r="K454" t="s">
        <v>96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 s="3">
        <v>46238</v>
      </c>
    </row>
    <row r="455" spans="1:17">
      <c r="A455" t="s">
        <v>542</v>
      </c>
      <c r="B455" t="s">
        <v>18</v>
      </c>
      <c r="C455" t="s">
        <v>19</v>
      </c>
      <c r="D455" t="s">
        <v>27</v>
      </c>
      <c r="E455" t="s">
        <v>30</v>
      </c>
      <c r="F455" t="s">
        <v>22</v>
      </c>
      <c r="G455">
        <v>25</v>
      </c>
      <c r="H455">
        <v>1</v>
      </c>
      <c r="I455" s="4">
        <v>45658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 s="4">
        <v>45658</v>
      </c>
      <c r="Q455" s="3">
        <v>46147</v>
      </c>
    </row>
    <row r="456" spans="1:17">
      <c r="A456" t="s">
        <v>543</v>
      </c>
      <c r="B456" t="s">
        <v>18</v>
      </c>
      <c r="C456" t="s">
        <v>19</v>
      </c>
      <c r="D456" t="s">
        <v>20</v>
      </c>
      <c r="E456" t="s">
        <v>30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 s="3">
        <v>46207</v>
      </c>
    </row>
    <row r="457" spans="1:17">
      <c r="A457" t="s">
        <v>544</v>
      </c>
      <c r="B457" t="s">
        <v>34</v>
      </c>
      <c r="C457" t="s">
        <v>35</v>
      </c>
      <c r="D457" t="s">
        <v>20</v>
      </c>
      <c r="E457" t="s">
        <v>21</v>
      </c>
      <c r="F457" t="s">
        <v>43</v>
      </c>
      <c r="G457">
        <v>29.56</v>
      </c>
      <c r="H457">
        <v>5</v>
      </c>
      <c r="I457" s="4">
        <v>14427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 s="4">
        <v>14427</v>
      </c>
      <c r="Q457" s="3">
        <v>46271</v>
      </c>
    </row>
    <row r="458" spans="1:17">
      <c r="A458" t="s">
        <v>545</v>
      </c>
      <c r="B458" t="s">
        <v>34</v>
      </c>
      <c r="C458" t="s">
        <v>35</v>
      </c>
      <c r="D458" t="s">
        <v>20</v>
      </c>
      <c r="E458" t="s">
        <v>21</v>
      </c>
      <c r="F458" t="s">
        <v>40</v>
      </c>
      <c r="G458">
        <v>77.400000000000006</v>
      </c>
      <c r="H458">
        <v>9</v>
      </c>
      <c r="I458">
        <v>34.83</v>
      </c>
      <c r="J458">
        <v>731.43</v>
      </c>
      <c r="K458" t="s">
        <v>118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 s="3">
        <v>46146</v>
      </c>
    </row>
    <row r="459" spans="1:17">
      <c r="A459" t="s">
        <v>546</v>
      </c>
      <c r="B459" t="s">
        <v>34</v>
      </c>
      <c r="C459" t="s">
        <v>35</v>
      </c>
      <c r="D459" t="s">
        <v>27</v>
      </c>
      <c r="E459" t="s">
        <v>30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 s="3">
        <v>46059</v>
      </c>
    </row>
    <row r="460" spans="1:17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37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 s="3">
        <v>46180</v>
      </c>
    </row>
    <row r="461" spans="1:17">
      <c r="A461" t="s">
        <v>548</v>
      </c>
      <c r="B461" t="s">
        <v>25</v>
      </c>
      <c r="C461" t="s">
        <v>26</v>
      </c>
      <c r="D461" t="s">
        <v>27</v>
      </c>
      <c r="E461" t="s">
        <v>30</v>
      </c>
      <c r="F461" t="s">
        <v>40</v>
      </c>
      <c r="G461">
        <v>35.89</v>
      </c>
      <c r="H461">
        <v>1</v>
      </c>
      <c r="I461" s="4">
        <v>16438</v>
      </c>
      <c r="J461">
        <v>37.6845</v>
      </c>
      <c r="K461" t="s">
        <v>149</v>
      </c>
      <c r="L461" s="2">
        <v>0.70277777777777783</v>
      </c>
      <c r="M461" t="s">
        <v>33</v>
      </c>
      <c r="N461">
        <v>35.89</v>
      </c>
      <c r="O461">
        <v>4.7619047620000003</v>
      </c>
      <c r="P461" s="4">
        <v>16438</v>
      </c>
      <c r="Q461" s="3">
        <v>46272</v>
      </c>
    </row>
    <row r="462" spans="1:17">
      <c r="A462" t="s">
        <v>549</v>
      </c>
      <c r="B462" t="s">
        <v>25</v>
      </c>
      <c r="C462" t="s">
        <v>26</v>
      </c>
      <c r="D462" t="s">
        <v>27</v>
      </c>
      <c r="E462" t="s">
        <v>30</v>
      </c>
      <c r="F462" t="s">
        <v>40</v>
      </c>
      <c r="G462">
        <v>40.520000000000003</v>
      </c>
      <c r="H462">
        <v>5</v>
      </c>
      <c r="I462" s="4">
        <v>41548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 s="4">
        <v>41548</v>
      </c>
      <c r="Q462" s="3">
        <v>46146</v>
      </c>
    </row>
    <row r="463" spans="1:17">
      <c r="A463" t="s">
        <v>550</v>
      </c>
      <c r="B463" t="s">
        <v>34</v>
      </c>
      <c r="C463" t="s">
        <v>35</v>
      </c>
      <c r="D463" t="s">
        <v>20</v>
      </c>
      <c r="E463" t="s">
        <v>21</v>
      </c>
      <c r="F463" t="s">
        <v>40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33</v>
      </c>
      <c r="N463">
        <v>730.5</v>
      </c>
      <c r="O463">
        <v>4.7619047620000003</v>
      </c>
      <c r="P463">
        <v>36.524999999999999</v>
      </c>
      <c r="Q463" s="3">
        <v>46211</v>
      </c>
    </row>
    <row r="464" spans="1:17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38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 s="3">
        <v>46028</v>
      </c>
    </row>
    <row r="465" spans="1:17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40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 s="3">
        <v>46118</v>
      </c>
    </row>
    <row r="466" spans="1:17">
      <c r="A466" t="s">
        <v>553</v>
      </c>
      <c r="B466" t="s">
        <v>18</v>
      </c>
      <c r="C466" t="s">
        <v>19</v>
      </c>
      <c r="D466" t="s">
        <v>20</v>
      </c>
      <c r="E466" t="s">
        <v>30</v>
      </c>
      <c r="F466" t="s">
        <v>40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171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 s="3">
        <v>46031</v>
      </c>
    </row>
    <row r="467" spans="1:17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38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0.47361111111111115</v>
      </c>
      <c r="M467" t="s">
        <v>33</v>
      </c>
      <c r="N467">
        <v>545.5</v>
      </c>
      <c r="O467">
        <v>4.7619047620000003</v>
      </c>
      <c r="P467">
        <v>27.274999999999999</v>
      </c>
      <c r="Q467" s="3">
        <v>46029</v>
      </c>
    </row>
    <row r="468" spans="1:17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0.54999999999999993</v>
      </c>
      <c r="M468" t="s">
        <v>33</v>
      </c>
      <c r="N468">
        <v>260.05</v>
      </c>
      <c r="O468">
        <v>4.7619047620000003</v>
      </c>
      <c r="P468">
        <v>13.0025</v>
      </c>
      <c r="Q468" s="3">
        <v>46210</v>
      </c>
    </row>
    <row r="469" spans="1:17">
      <c r="A469" t="s">
        <v>556</v>
      </c>
      <c r="B469" t="s">
        <v>34</v>
      </c>
      <c r="C469" t="s">
        <v>35</v>
      </c>
      <c r="D469" t="s">
        <v>27</v>
      </c>
      <c r="E469" t="s">
        <v>30</v>
      </c>
      <c r="F469" t="s">
        <v>38</v>
      </c>
      <c r="G469">
        <v>37.020000000000003</v>
      </c>
      <c r="H469">
        <v>6</v>
      </c>
      <c r="I469">
        <v>11.106</v>
      </c>
      <c r="J469">
        <v>233.226</v>
      </c>
      <c r="K469" t="s">
        <v>72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 s="3">
        <v>46146</v>
      </c>
    </row>
    <row r="470" spans="1:17">
      <c r="A470" t="s">
        <v>557</v>
      </c>
      <c r="B470" t="s">
        <v>25</v>
      </c>
      <c r="C470" t="s">
        <v>26</v>
      </c>
      <c r="D470" t="s">
        <v>27</v>
      </c>
      <c r="E470" t="s">
        <v>30</v>
      </c>
      <c r="F470" t="s">
        <v>40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 s="3">
        <v>46060</v>
      </c>
    </row>
    <row r="471" spans="1:17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118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 s="3">
        <v>46120</v>
      </c>
    </row>
    <row r="472" spans="1:17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t="s">
        <v>147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 s="3">
        <v>46117</v>
      </c>
    </row>
    <row r="473" spans="1:17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38</v>
      </c>
      <c r="G473">
        <v>40.049999999999997</v>
      </c>
      <c r="H473">
        <v>4</v>
      </c>
      <c r="I473" s="3">
        <v>46030</v>
      </c>
      <c r="J473">
        <v>168.21</v>
      </c>
      <c r="K473" t="s">
        <v>76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 s="3">
        <v>46030</v>
      </c>
      <c r="Q473" s="3">
        <v>46212</v>
      </c>
    </row>
    <row r="474" spans="1:17">
      <c r="A474" t="s">
        <v>561</v>
      </c>
      <c r="B474" t="s">
        <v>18</v>
      </c>
      <c r="C474" t="s">
        <v>19</v>
      </c>
      <c r="D474" t="s">
        <v>20</v>
      </c>
      <c r="E474" t="s">
        <v>30</v>
      </c>
      <c r="F474" t="s">
        <v>43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33</v>
      </c>
      <c r="N474">
        <v>431.3</v>
      </c>
      <c r="O474">
        <v>4.7619047620000003</v>
      </c>
      <c r="P474">
        <v>21.565000000000001</v>
      </c>
      <c r="Q474" s="3">
        <v>46147</v>
      </c>
    </row>
    <row r="475" spans="1:17">
      <c r="A475" t="s">
        <v>562</v>
      </c>
      <c r="B475" t="s">
        <v>34</v>
      </c>
      <c r="C475" t="s">
        <v>35</v>
      </c>
      <c r="D475" t="s">
        <v>20</v>
      </c>
      <c r="E475" t="s">
        <v>30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 s="3">
        <v>46177</v>
      </c>
    </row>
    <row r="476" spans="1:17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 s="3">
        <v>46342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 s="3">
        <v>46342</v>
      </c>
      <c r="Q476" s="3">
        <v>46179</v>
      </c>
    </row>
    <row r="477" spans="1:17">
      <c r="A477" t="s">
        <v>564</v>
      </c>
      <c r="B477" t="s">
        <v>18</v>
      </c>
      <c r="C477" t="s">
        <v>19</v>
      </c>
      <c r="D477" t="s">
        <v>27</v>
      </c>
      <c r="E477" t="s">
        <v>30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45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 s="3">
        <v>46087</v>
      </c>
    </row>
    <row r="478" spans="1:17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38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 s="3">
        <v>46057</v>
      </c>
    </row>
    <row r="479" spans="1:17">
      <c r="A479" t="s">
        <v>566</v>
      </c>
      <c r="B479" t="s">
        <v>25</v>
      </c>
      <c r="C479" t="s">
        <v>26</v>
      </c>
      <c r="D479" t="s">
        <v>27</v>
      </c>
      <c r="E479" t="s">
        <v>30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 s="3">
        <v>46116</v>
      </c>
    </row>
    <row r="480" spans="1:17">
      <c r="A480" t="s">
        <v>567</v>
      </c>
      <c r="B480" t="s">
        <v>34</v>
      </c>
      <c r="C480" t="s">
        <v>35</v>
      </c>
      <c r="D480" t="s">
        <v>27</v>
      </c>
      <c r="E480" t="s">
        <v>30</v>
      </c>
      <c r="F480" t="s">
        <v>38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96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 s="3">
        <v>46209</v>
      </c>
    </row>
    <row r="481" spans="1:17">
      <c r="A481" t="s">
        <v>568</v>
      </c>
      <c r="B481" t="s">
        <v>18</v>
      </c>
      <c r="C481" t="s">
        <v>19</v>
      </c>
      <c r="D481" t="s">
        <v>27</v>
      </c>
      <c r="E481" t="s">
        <v>30</v>
      </c>
      <c r="F481" t="s">
        <v>28</v>
      </c>
      <c r="G481">
        <v>38.6</v>
      </c>
      <c r="H481">
        <v>1</v>
      </c>
      <c r="I481" s="4">
        <v>33970</v>
      </c>
      <c r="J481">
        <v>40.53</v>
      </c>
      <c r="K481" t="s">
        <v>228</v>
      </c>
      <c r="L481" s="2">
        <v>0.47638888888888892</v>
      </c>
      <c r="M481" t="s">
        <v>23</v>
      </c>
      <c r="N481">
        <v>38.6</v>
      </c>
      <c r="O481">
        <v>4.7619047620000003</v>
      </c>
      <c r="P481" s="4">
        <v>33970</v>
      </c>
      <c r="Q481" s="3">
        <v>46209</v>
      </c>
    </row>
    <row r="482" spans="1:17">
      <c r="A482" t="s">
        <v>569</v>
      </c>
      <c r="B482" t="s">
        <v>25</v>
      </c>
      <c r="C482" t="s">
        <v>26</v>
      </c>
      <c r="D482" t="s">
        <v>27</v>
      </c>
      <c r="E482" t="s">
        <v>30</v>
      </c>
      <c r="F482" t="s">
        <v>40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 s="3">
        <v>46120</v>
      </c>
    </row>
    <row r="483" spans="1:17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 s="3">
        <v>46128</v>
      </c>
      <c r="J483">
        <v>344.4</v>
      </c>
      <c r="K483" t="s">
        <v>118</v>
      </c>
      <c r="L483" s="2">
        <v>0.5083333333333333</v>
      </c>
      <c r="M483" t="s">
        <v>29</v>
      </c>
      <c r="N483">
        <v>328</v>
      </c>
      <c r="O483">
        <v>4.7619047620000003</v>
      </c>
      <c r="P483" s="3">
        <v>46128</v>
      </c>
      <c r="Q483" s="3">
        <v>46059</v>
      </c>
    </row>
    <row r="484" spans="1:17">
      <c r="A484" t="s">
        <v>571</v>
      </c>
      <c r="B484" t="s">
        <v>18</v>
      </c>
      <c r="C484" t="s">
        <v>19</v>
      </c>
      <c r="D484" t="s">
        <v>27</v>
      </c>
      <c r="E484" t="s">
        <v>30</v>
      </c>
      <c r="F484" t="s">
        <v>38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>
      <c r="A485" t="s">
        <v>572</v>
      </c>
      <c r="B485" t="s">
        <v>34</v>
      </c>
      <c r="C485" t="s">
        <v>35</v>
      </c>
      <c r="D485" t="s">
        <v>20</v>
      </c>
      <c r="E485" t="s">
        <v>30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38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>
      <c r="A487" t="s">
        <v>574</v>
      </c>
      <c r="B487" t="s">
        <v>34</v>
      </c>
      <c r="C487" t="s">
        <v>35</v>
      </c>
      <c r="D487" t="s">
        <v>20</v>
      </c>
      <c r="E487" t="s">
        <v>21</v>
      </c>
      <c r="F487" t="s">
        <v>38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 s="3">
        <v>46179</v>
      </c>
    </row>
    <row r="488" spans="1:17">
      <c r="A488" t="s">
        <v>575</v>
      </c>
      <c r="B488" t="s">
        <v>34</v>
      </c>
      <c r="C488" t="s">
        <v>35</v>
      </c>
      <c r="D488" t="s">
        <v>27</v>
      </c>
      <c r="E488" t="s">
        <v>21</v>
      </c>
      <c r="F488" t="s">
        <v>43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110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 s="3">
        <v>46088</v>
      </c>
    </row>
    <row r="489" spans="1:17">
      <c r="A489" t="s">
        <v>576</v>
      </c>
      <c r="B489" t="s">
        <v>18</v>
      </c>
      <c r="C489" t="s">
        <v>19</v>
      </c>
      <c r="D489" t="s">
        <v>27</v>
      </c>
      <c r="E489" t="s">
        <v>30</v>
      </c>
      <c r="F489" t="s">
        <v>43</v>
      </c>
      <c r="G489">
        <v>37.15</v>
      </c>
      <c r="H489">
        <v>4</v>
      </c>
      <c r="I489" s="4">
        <v>15888</v>
      </c>
      <c r="J489">
        <v>156.03</v>
      </c>
      <c r="K489" t="s">
        <v>88</v>
      </c>
      <c r="L489" s="2">
        <v>0.7909722222222223</v>
      </c>
      <c r="M489" t="s">
        <v>23</v>
      </c>
      <c r="N489">
        <v>148.6</v>
      </c>
      <c r="O489">
        <v>4.7619047620000003</v>
      </c>
      <c r="P489" s="4">
        <v>15888</v>
      </c>
      <c r="Q489" s="3">
        <v>46089</v>
      </c>
    </row>
    <row r="490" spans="1:17">
      <c r="A490" t="s">
        <v>577</v>
      </c>
      <c r="B490" t="s">
        <v>25</v>
      </c>
      <c r="C490" t="s">
        <v>26</v>
      </c>
      <c r="D490" t="s">
        <v>27</v>
      </c>
      <c r="E490" t="s">
        <v>30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 s="3">
        <v>46085</v>
      </c>
    </row>
    <row r="491" spans="1:17">
      <c r="A491" t="s">
        <v>578</v>
      </c>
      <c r="B491" t="s">
        <v>34</v>
      </c>
      <c r="C491" t="s">
        <v>35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 s="3">
        <v>46243</v>
      </c>
    </row>
    <row r="492" spans="1:17">
      <c r="A492" t="s">
        <v>579</v>
      </c>
      <c r="B492" t="s">
        <v>34</v>
      </c>
      <c r="C492" t="s">
        <v>35</v>
      </c>
      <c r="D492" t="s">
        <v>27</v>
      </c>
      <c r="E492" t="s">
        <v>21</v>
      </c>
      <c r="F492" t="s">
        <v>43</v>
      </c>
      <c r="G492">
        <v>34.700000000000003</v>
      </c>
      <c r="H492">
        <v>2</v>
      </c>
      <c r="I492" s="4">
        <v>17227</v>
      </c>
      <c r="J492">
        <v>72.87</v>
      </c>
      <c r="K492" t="s">
        <v>125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 s="4">
        <v>17227</v>
      </c>
      <c r="Q492" s="3">
        <v>46061</v>
      </c>
    </row>
    <row r="493" spans="1:17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43</v>
      </c>
      <c r="G493">
        <v>19.66</v>
      </c>
      <c r="H493">
        <v>10</v>
      </c>
      <c r="I493" s="4">
        <v>30560</v>
      </c>
      <c r="J493">
        <v>206.43</v>
      </c>
      <c r="K493" t="s">
        <v>67</v>
      </c>
      <c r="L493" s="2">
        <v>0.76388888888888884</v>
      </c>
      <c r="M493" t="s">
        <v>33</v>
      </c>
      <c r="N493">
        <v>196.6</v>
      </c>
      <c r="O493">
        <v>4.7619047620000003</v>
      </c>
      <c r="P493" s="4">
        <v>30560</v>
      </c>
      <c r="Q493" s="3">
        <v>46060</v>
      </c>
    </row>
    <row r="494" spans="1:17">
      <c r="A494" t="s">
        <v>581</v>
      </c>
      <c r="B494" t="s">
        <v>34</v>
      </c>
      <c r="C494" t="s">
        <v>35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 s="3">
        <v>46211</v>
      </c>
    </row>
    <row r="495" spans="1:17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 s="3">
        <v>46368</v>
      </c>
      <c r="H495">
        <v>10</v>
      </c>
      <c r="I495" s="3">
        <v>46179</v>
      </c>
      <c r="J495">
        <v>127.26</v>
      </c>
      <c r="K495" s="1">
        <v>43588</v>
      </c>
      <c r="L495" s="2">
        <v>0.57222222222222219</v>
      </c>
      <c r="M495" t="s">
        <v>33</v>
      </c>
      <c r="N495">
        <v>121.2</v>
      </c>
      <c r="O495">
        <v>4.7619047620000003</v>
      </c>
      <c r="P495" s="3">
        <v>46179</v>
      </c>
      <c r="Q495" s="3">
        <v>46120</v>
      </c>
    </row>
    <row r="496" spans="1:17">
      <c r="A496" t="s">
        <v>583</v>
      </c>
      <c r="B496" t="s">
        <v>34</v>
      </c>
      <c r="C496" t="s">
        <v>35</v>
      </c>
      <c r="D496" t="s">
        <v>27</v>
      </c>
      <c r="E496" t="s">
        <v>30</v>
      </c>
      <c r="F496" t="s">
        <v>43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 s="3">
        <v>46029</v>
      </c>
    </row>
    <row r="497" spans="1:17">
      <c r="A497" t="s">
        <v>584</v>
      </c>
      <c r="B497" t="s">
        <v>34</v>
      </c>
      <c r="C497" t="s">
        <v>35</v>
      </c>
      <c r="D497" t="s">
        <v>27</v>
      </c>
      <c r="E497" t="s">
        <v>30</v>
      </c>
      <c r="F497" t="s">
        <v>38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 s="3">
        <v>46147</v>
      </c>
    </row>
    <row r="498" spans="1:17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 s="3">
        <v>46150</v>
      </c>
    </row>
    <row r="499" spans="1:17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40</v>
      </c>
      <c r="G499">
        <v>90.24</v>
      </c>
      <c r="H499">
        <v>6</v>
      </c>
      <c r="I499">
        <v>27.071999999999999</v>
      </c>
      <c r="J499">
        <v>568.51199999999994</v>
      </c>
      <c r="K499" t="s">
        <v>37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 s="3">
        <v>46059</v>
      </c>
    </row>
    <row r="500" spans="1:17">
      <c r="A500" t="s">
        <v>587</v>
      </c>
      <c r="B500" t="s">
        <v>34</v>
      </c>
      <c r="C500" t="s">
        <v>35</v>
      </c>
      <c r="D500" t="s">
        <v>20</v>
      </c>
      <c r="E500" t="s">
        <v>21</v>
      </c>
      <c r="F500" t="s">
        <v>38</v>
      </c>
      <c r="G500">
        <v>98.13</v>
      </c>
      <c r="H500">
        <v>1</v>
      </c>
      <c r="I500" s="4">
        <v>23833</v>
      </c>
      <c r="J500">
        <v>103.0365</v>
      </c>
      <c r="K500" t="s">
        <v>62</v>
      </c>
      <c r="L500" s="2">
        <v>0.73333333333333339</v>
      </c>
      <c r="M500" t="s">
        <v>29</v>
      </c>
      <c r="N500">
        <v>98.13</v>
      </c>
      <c r="O500">
        <v>4.7619047620000003</v>
      </c>
      <c r="P500" s="4">
        <v>23833</v>
      </c>
      <c r="Q500" s="3">
        <v>46273</v>
      </c>
    </row>
    <row r="501" spans="1:17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38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 s="3">
        <v>46182</v>
      </c>
    </row>
    <row r="502" spans="1:17">
      <c r="A502" t="s">
        <v>589</v>
      </c>
      <c r="B502" t="s">
        <v>34</v>
      </c>
      <c r="C502" t="s">
        <v>35</v>
      </c>
      <c r="D502" t="s">
        <v>20</v>
      </c>
      <c r="E502" t="s">
        <v>30</v>
      </c>
      <c r="F502" t="s">
        <v>38</v>
      </c>
      <c r="G502">
        <v>73.97</v>
      </c>
      <c r="H502">
        <v>1</v>
      </c>
      <c r="I502" s="4">
        <v>31107</v>
      </c>
      <c r="J502">
        <v>77.668499999999995</v>
      </c>
      <c r="K502" s="1">
        <v>43526</v>
      </c>
      <c r="L502" s="2">
        <v>0.66180555555555554</v>
      </c>
      <c r="M502" t="s">
        <v>33</v>
      </c>
      <c r="N502">
        <v>73.97</v>
      </c>
      <c r="O502">
        <v>4.7619047620000003</v>
      </c>
      <c r="P502" s="4">
        <v>31107</v>
      </c>
      <c r="Q502" s="3">
        <v>46117</v>
      </c>
    </row>
    <row r="503" spans="1:17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43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 s="3">
        <v>46031</v>
      </c>
    </row>
    <row r="504" spans="1:17">
      <c r="A504" t="s">
        <v>591</v>
      </c>
      <c r="B504" t="s">
        <v>25</v>
      </c>
      <c r="C504" t="s">
        <v>26</v>
      </c>
      <c r="D504" t="s">
        <v>27</v>
      </c>
      <c r="E504" t="s">
        <v>30</v>
      </c>
      <c r="F504" t="s">
        <v>32</v>
      </c>
      <c r="G504">
        <v>69.400000000000006</v>
      </c>
      <c r="H504">
        <v>2</v>
      </c>
      <c r="I504" s="4">
        <v>34486</v>
      </c>
      <c r="J504">
        <v>145.74</v>
      </c>
      <c r="K504" t="s">
        <v>37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 s="4">
        <v>34486</v>
      </c>
      <c r="Q504">
        <v>9</v>
      </c>
    </row>
    <row r="505" spans="1:17">
      <c r="A505" t="s">
        <v>592</v>
      </c>
      <c r="B505" t="s">
        <v>34</v>
      </c>
      <c r="C505" t="s">
        <v>35</v>
      </c>
      <c r="D505" t="s">
        <v>27</v>
      </c>
      <c r="E505" t="s">
        <v>21</v>
      </c>
      <c r="F505" t="s">
        <v>38</v>
      </c>
      <c r="G505">
        <v>93.31</v>
      </c>
      <c r="H505">
        <v>2</v>
      </c>
      <c r="I505">
        <v>9.3309999999999995</v>
      </c>
      <c r="J505">
        <v>195.95099999999999</v>
      </c>
      <c r="K505" t="s">
        <v>42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 s="3">
        <v>46087</v>
      </c>
    </row>
    <row r="506" spans="1:17">
      <c r="A506" t="s">
        <v>593</v>
      </c>
      <c r="B506" t="s">
        <v>34</v>
      </c>
      <c r="C506" t="s">
        <v>35</v>
      </c>
      <c r="D506" t="s">
        <v>27</v>
      </c>
      <c r="E506" t="s">
        <v>30</v>
      </c>
      <c r="F506" t="s">
        <v>38</v>
      </c>
      <c r="G506">
        <v>88.45</v>
      </c>
      <c r="H506">
        <v>1</v>
      </c>
      <c r="I506" s="4">
        <v>45748</v>
      </c>
      <c r="J506">
        <v>92.872500000000002</v>
      </c>
      <c r="K506" t="s">
        <v>45</v>
      </c>
      <c r="L506" s="2">
        <v>0.69166666666666676</v>
      </c>
      <c r="M506" t="s">
        <v>33</v>
      </c>
      <c r="N506">
        <v>88.45</v>
      </c>
      <c r="O506">
        <v>4.7619047620000003</v>
      </c>
      <c r="P506" s="4">
        <v>45748</v>
      </c>
      <c r="Q506" s="3">
        <v>46151</v>
      </c>
    </row>
    <row r="507" spans="1:17">
      <c r="A507" t="s">
        <v>594</v>
      </c>
      <c r="B507" t="s">
        <v>18</v>
      </c>
      <c r="C507" t="s">
        <v>19</v>
      </c>
      <c r="D507" t="s">
        <v>20</v>
      </c>
      <c r="E507" t="s">
        <v>30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80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 s="3">
        <v>46243</v>
      </c>
    </row>
    <row r="508" spans="1:17">
      <c r="A508" t="s">
        <v>595</v>
      </c>
      <c r="B508" t="s">
        <v>34</v>
      </c>
      <c r="C508" t="s">
        <v>35</v>
      </c>
      <c r="D508" t="s">
        <v>20</v>
      </c>
      <c r="E508" t="s">
        <v>21</v>
      </c>
      <c r="F508" t="s">
        <v>38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 s="3">
        <v>46209</v>
      </c>
    </row>
    <row r="509" spans="1:17">
      <c r="A509" t="s">
        <v>596</v>
      </c>
      <c r="B509" t="s">
        <v>34</v>
      </c>
      <c r="C509" t="s">
        <v>35</v>
      </c>
      <c r="D509" t="s">
        <v>27</v>
      </c>
      <c r="E509" t="s">
        <v>21</v>
      </c>
      <c r="F509" t="s">
        <v>40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 s="3">
        <v>46210</v>
      </c>
    </row>
    <row r="510" spans="1:17">
      <c r="A510" t="s">
        <v>597</v>
      </c>
      <c r="B510" t="s">
        <v>34</v>
      </c>
      <c r="C510" t="s">
        <v>35</v>
      </c>
      <c r="D510" t="s">
        <v>20</v>
      </c>
      <c r="E510" t="s">
        <v>30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56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 s="3">
        <v>46027</v>
      </c>
    </row>
    <row r="512" spans="1:17">
      <c r="A512" t="s">
        <v>599</v>
      </c>
      <c r="B512" t="s">
        <v>34</v>
      </c>
      <c r="C512" t="s">
        <v>35</v>
      </c>
      <c r="D512" t="s">
        <v>20</v>
      </c>
      <c r="E512" t="s">
        <v>21</v>
      </c>
      <c r="F512" t="s">
        <v>38</v>
      </c>
      <c r="G512">
        <v>90.74</v>
      </c>
      <c r="H512">
        <v>7</v>
      </c>
      <c r="I512">
        <v>31.759</v>
      </c>
      <c r="J512">
        <v>666.93899999999996</v>
      </c>
      <c r="K512" t="s">
        <v>188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 s="3">
        <v>46059</v>
      </c>
    </row>
    <row r="513" spans="1:17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 s="4">
        <v>27668</v>
      </c>
      <c r="J513">
        <v>225.2775</v>
      </c>
      <c r="K513" s="1">
        <v>43586</v>
      </c>
      <c r="L513" s="2">
        <v>0.7284722222222223</v>
      </c>
      <c r="M513" t="s">
        <v>23</v>
      </c>
      <c r="N513">
        <v>214.55</v>
      </c>
      <c r="O513">
        <v>4.7619047620000003</v>
      </c>
      <c r="P513" s="4">
        <v>27668</v>
      </c>
      <c r="Q513" s="3">
        <v>46028</v>
      </c>
    </row>
    <row r="514" spans="1:17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43</v>
      </c>
      <c r="G514">
        <v>54.28</v>
      </c>
      <c r="H514">
        <v>7</v>
      </c>
      <c r="I514">
        <v>18.998000000000001</v>
      </c>
      <c r="J514">
        <v>398.95800000000003</v>
      </c>
      <c r="K514" t="s">
        <v>37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 s="3">
        <v>46090</v>
      </c>
    </row>
    <row r="515" spans="1:17">
      <c r="A515" t="s">
        <v>602</v>
      </c>
      <c r="B515" t="s">
        <v>18</v>
      </c>
      <c r="C515" t="s">
        <v>19</v>
      </c>
      <c r="D515" t="s">
        <v>27</v>
      </c>
      <c r="E515" t="s">
        <v>30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 s="3">
        <v>46180</v>
      </c>
    </row>
    <row r="516" spans="1:17">
      <c r="A516" t="s">
        <v>603</v>
      </c>
      <c r="B516" t="s">
        <v>25</v>
      </c>
      <c r="C516" t="s">
        <v>26</v>
      </c>
      <c r="D516" t="s">
        <v>20</v>
      </c>
      <c r="E516" t="s">
        <v>30</v>
      </c>
      <c r="F516" t="s">
        <v>38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 s="3">
        <v>46061</v>
      </c>
    </row>
    <row r="517" spans="1:17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43</v>
      </c>
      <c r="G517">
        <v>51.47</v>
      </c>
      <c r="H517">
        <v>1</v>
      </c>
      <c r="I517" s="4">
        <v>12816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 s="4">
        <v>12816</v>
      </c>
      <c r="Q517" s="3">
        <v>46150</v>
      </c>
    </row>
    <row r="518" spans="1:17">
      <c r="A518" t="s">
        <v>605</v>
      </c>
      <c r="B518" t="s">
        <v>34</v>
      </c>
      <c r="C518" t="s">
        <v>35</v>
      </c>
      <c r="D518" t="s">
        <v>20</v>
      </c>
      <c r="E518" t="s">
        <v>30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56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 s="3">
        <v>46243</v>
      </c>
    </row>
    <row r="519" spans="1:17">
      <c r="A519" t="s">
        <v>606</v>
      </c>
      <c r="B519" t="s">
        <v>25</v>
      </c>
      <c r="C519" t="s">
        <v>26</v>
      </c>
      <c r="D519" t="s">
        <v>20</v>
      </c>
      <c r="E519" t="s">
        <v>30</v>
      </c>
      <c r="F519" t="s">
        <v>32</v>
      </c>
      <c r="G519">
        <v>39.39</v>
      </c>
      <c r="H519">
        <v>5</v>
      </c>
      <c r="I519" s="4">
        <v>27638</v>
      </c>
      <c r="J519">
        <v>206.79750000000001</v>
      </c>
      <c r="K519" t="s">
        <v>136</v>
      </c>
      <c r="L519" s="2">
        <v>0.8652777777777777</v>
      </c>
      <c r="M519" t="s">
        <v>33</v>
      </c>
      <c r="N519">
        <v>196.95</v>
      </c>
      <c r="O519">
        <v>4.7619047620000003</v>
      </c>
      <c r="P519" s="4">
        <v>27638</v>
      </c>
      <c r="Q519" s="3">
        <v>46211</v>
      </c>
    </row>
    <row r="520" spans="1:17">
      <c r="A520" t="s">
        <v>607</v>
      </c>
      <c r="B520" t="s">
        <v>18</v>
      </c>
      <c r="C520" t="s">
        <v>19</v>
      </c>
      <c r="D520" t="s">
        <v>27</v>
      </c>
      <c r="E520" t="s">
        <v>30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 s="3">
        <v>46212</v>
      </c>
    </row>
    <row r="521" spans="1:17">
      <c r="A521" t="s">
        <v>608</v>
      </c>
      <c r="B521" t="s">
        <v>25</v>
      </c>
      <c r="C521" t="s">
        <v>26</v>
      </c>
      <c r="D521" t="s">
        <v>20</v>
      </c>
      <c r="E521" t="s">
        <v>30</v>
      </c>
      <c r="F521" t="s">
        <v>38</v>
      </c>
      <c r="G521">
        <v>71.92</v>
      </c>
      <c r="H521">
        <v>5</v>
      </c>
      <c r="I521">
        <v>17.98</v>
      </c>
      <c r="J521">
        <v>377.58</v>
      </c>
      <c r="K521" t="s">
        <v>91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 s="3">
        <v>46085</v>
      </c>
    </row>
    <row r="522" spans="1:17">
      <c r="A522" t="s">
        <v>609</v>
      </c>
      <c r="B522" t="s">
        <v>34</v>
      </c>
      <c r="C522" t="s">
        <v>35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 s="4">
        <v>23894</v>
      </c>
      <c r="J522">
        <v>143.98650000000001</v>
      </c>
      <c r="K522" t="s">
        <v>167</v>
      </c>
      <c r="L522" s="2">
        <v>0.44027777777777777</v>
      </c>
      <c r="M522" t="s">
        <v>33</v>
      </c>
      <c r="N522">
        <v>137.13</v>
      </c>
      <c r="O522">
        <v>4.7619047620000003</v>
      </c>
      <c r="P522" s="4">
        <v>23894</v>
      </c>
      <c r="Q522" s="3">
        <v>46210</v>
      </c>
    </row>
    <row r="523" spans="1:17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 s="3">
        <v>46088</v>
      </c>
    </row>
    <row r="524" spans="1:17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0.57986111111111105</v>
      </c>
      <c r="M524" t="s">
        <v>33</v>
      </c>
      <c r="N524">
        <v>224.64</v>
      </c>
      <c r="O524">
        <v>4.7619047620000003</v>
      </c>
      <c r="P524">
        <v>11.231999999999999</v>
      </c>
      <c r="Q524" s="3">
        <v>46270</v>
      </c>
    </row>
    <row r="525" spans="1:17">
      <c r="A525" t="s">
        <v>612</v>
      </c>
      <c r="B525" t="s">
        <v>25</v>
      </c>
      <c r="C525" t="s">
        <v>26</v>
      </c>
      <c r="D525" t="s">
        <v>27</v>
      </c>
      <c r="E525" t="s">
        <v>30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>
      <c r="A526" t="s">
        <v>613</v>
      </c>
      <c r="B526" t="s">
        <v>18</v>
      </c>
      <c r="C526" t="s">
        <v>19</v>
      </c>
      <c r="D526" t="s">
        <v>27</v>
      </c>
      <c r="E526" t="s">
        <v>30</v>
      </c>
      <c r="F526" t="s">
        <v>40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37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38</v>
      </c>
      <c r="G527">
        <v>91.41</v>
      </c>
      <c r="H527">
        <v>5</v>
      </c>
      <c r="I527">
        <v>22.852499999999999</v>
      </c>
      <c r="J527">
        <v>479.90249999999997</v>
      </c>
      <c r="K527" t="s">
        <v>45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 s="3">
        <v>46029</v>
      </c>
    </row>
    <row r="528" spans="1:17">
      <c r="A528" t="s">
        <v>615</v>
      </c>
      <c r="B528" t="s">
        <v>34</v>
      </c>
      <c r="C528" t="s">
        <v>35</v>
      </c>
      <c r="D528" t="s">
        <v>27</v>
      </c>
      <c r="E528" t="s">
        <v>30</v>
      </c>
      <c r="F528" t="s">
        <v>43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188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>
      <c r="A529" t="s">
        <v>616</v>
      </c>
      <c r="B529" t="s">
        <v>34</v>
      </c>
      <c r="C529" t="s">
        <v>35</v>
      </c>
      <c r="D529" t="s">
        <v>20</v>
      </c>
      <c r="E529" t="s">
        <v>30</v>
      </c>
      <c r="F529" t="s">
        <v>43</v>
      </c>
      <c r="G529">
        <v>59.86</v>
      </c>
      <c r="H529">
        <v>2</v>
      </c>
      <c r="I529">
        <v>5.9859999999999998</v>
      </c>
      <c r="J529">
        <v>125.706</v>
      </c>
      <c r="K529" t="s">
        <v>138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 s="3">
        <v>46209</v>
      </c>
    </row>
    <row r="530" spans="1:17">
      <c r="A530" t="s">
        <v>617</v>
      </c>
      <c r="B530" t="s">
        <v>34</v>
      </c>
      <c r="C530" t="s">
        <v>35</v>
      </c>
      <c r="D530" t="s">
        <v>20</v>
      </c>
      <c r="E530" t="s">
        <v>21</v>
      </c>
      <c r="F530" t="s">
        <v>40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 s="3">
        <v>46028</v>
      </c>
    </row>
    <row r="531" spans="1:17">
      <c r="A531" t="s">
        <v>618</v>
      </c>
      <c r="B531" t="s">
        <v>18</v>
      </c>
      <c r="C531" t="s">
        <v>19</v>
      </c>
      <c r="D531" t="s">
        <v>27</v>
      </c>
      <c r="E531" t="s">
        <v>30</v>
      </c>
      <c r="F531" t="s">
        <v>38</v>
      </c>
      <c r="G531">
        <v>98.09</v>
      </c>
      <c r="H531">
        <v>9</v>
      </c>
      <c r="I531">
        <v>44.140500000000003</v>
      </c>
      <c r="J531">
        <v>926.95050000000003</v>
      </c>
      <c r="K531" t="s">
        <v>69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 s="3">
        <v>46090</v>
      </c>
    </row>
    <row r="532" spans="1:17">
      <c r="A532" t="s">
        <v>619</v>
      </c>
      <c r="B532" t="s">
        <v>18</v>
      </c>
      <c r="C532" t="s">
        <v>19</v>
      </c>
      <c r="D532" t="s">
        <v>27</v>
      </c>
      <c r="E532" t="s">
        <v>30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>
      <c r="A533" t="s">
        <v>620</v>
      </c>
      <c r="B533" t="s">
        <v>18</v>
      </c>
      <c r="C533" t="s">
        <v>19</v>
      </c>
      <c r="D533" t="s">
        <v>20</v>
      </c>
      <c r="E533" t="s">
        <v>30</v>
      </c>
      <c r="F533" t="s">
        <v>43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 s="3">
        <v>46060</v>
      </c>
    </row>
    <row r="534" spans="1:17">
      <c r="A534" t="s">
        <v>621</v>
      </c>
      <c r="B534" t="s">
        <v>34</v>
      </c>
      <c r="C534" t="s">
        <v>35</v>
      </c>
      <c r="D534" t="s">
        <v>27</v>
      </c>
      <c r="E534" t="s">
        <v>30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 s="3">
        <v>46061</v>
      </c>
    </row>
    <row r="535" spans="1:17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40</v>
      </c>
      <c r="G535">
        <v>16.309999999999999</v>
      </c>
      <c r="H535">
        <v>9</v>
      </c>
      <c r="I535" s="4">
        <v>34881</v>
      </c>
      <c r="J535">
        <v>154.12950000000001</v>
      </c>
      <c r="K535" t="s">
        <v>167</v>
      </c>
      <c r="L535" s="2">
        <v>0.4381944444444445</v>
      </c>
      <c r="M535" t="s">
        <v>23</v>
      </c>
      <c r="N535">
        <v>146.79</v>
      </c>
      <c r="O535">
        <v>4.7619047620000003</v>
      </c>
      <c r="P535" s="4">
        <v>34881</v>
      </c>
      <c r="Q535" s="3">
        <v>46120</v>
      </c>
    </row>
    <row r="536" spans="1:17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 s="3">
        <v>46241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 s="3">
        <v>46241</v>
      </c>
      <c r="Q536" s="3">
        <v>46059</v>
      </c>
    </row>
    <row r="537" spans="1:17">
      <c r="A537" t="s">
        <v>624</v>
      </c>
      <c r="B537" t="s">
        <v>25</v>
      </c>
      <c r="C537" t="s">
        <v>26</v>
      </c>
      <c r="D537" t="s">
        <v>27</v>
      </c>
      <c r="E537" t="s">
        <v>30</v>
      </c>
      <c r="F537" t="s">
        <v>32</v>
      </c>
      <c r="G537">
        <v>16.670000000000002</v>
      </c>
      <c r="H537">
        <v>7</v>
      </c>
      <c r="I537" s="4">
        <v>16558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 s="4">
        <v>16558</v>
      </c>
      <c r="Q537" s="3">
        <v>46119</v>
      </c>
    </row>
    <row r="538" spans="1:17">
      <c r="A538" t="s">
        <v>625</v>
      </c>
      <c r="B538" t="s">
        <v>34</v>
      </c>
      <c r="C538" t="s">
        <v>35</v>
      </c>
      <c r="D538" t="s">
        <v>20</v>
      </c>
      <c r="E538" t="s">
        <v>21</v>
      </c>
      <c r="F538" t="s">
        <v>43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>
      <c r="A539" t="s">
        <v>626</v>
      </c>
      <c r="B539" t="s">
        <v>18</v>
      </c>
      <c r="C539" t="s">
        <v>19</v>
      </c>
      <c r="D539" t="s">
        <v>27</v>
      </c>
      <c r="E539" t="s">
        <v>30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 s="3">
        <v>46271</v>
      </c>
    </row>
    <row r="540" spans="1:17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43</v>
      </c>
      <c r="G540">
        <v>73.05</v>
      </c>
      <c r="H540">
        <v>4</v>
      </c>
      <c r="I540">
        <v>14.61</v>
      </c>
      <c r="J540">
        <v>306.81</v>
      </c>
      <c r="K540" t="s">
        <v>45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 s="3">
        <v>46269</v>
      </c>
    </row>
    <row r="541" spans="1:17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40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 s="3">
        <v>46027</v>
      </c>
    </row>
    <row r="542" spans="1:17">
      <c r="A542" t="s">
        <v>629</v>
      </c>
      <c r="B542" t="s">
        <v>18</v>
      </c>
      <c r="C542" t="s">
        <v>19</v>
      </c>
      <c r="D542" t="s">
        <v>27</v>
      </c>
      <c r="E542" t="s">
        <v>30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136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 s="3">
        <v>46031</v>
      </c>
    </row>
    <row r="543" spans="1:17">
      <c r="A543" t="s">
        <v>630</v>
      </c>
      <c r="B543" t="s">
        <v>25</v>
      </c>
      <c r="C543" t="s">
        <v>26</v>
      </c>
      <c r="D543" t="s">
        <v>20</v>
      </c>
      <c r="E543" t="s">
        <v>30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 s="3">
        <v>46029</v>
      </c>
    </row>
    <row r="544" spans="1:17">
      <c r="A544" t="s">
        <v>631</v>
      </c>
      <c r="B544" t="s">
        <v>34</v>
      </c>
      <c r="C544" t="s">
        <v>35</v>
      </c>
      <c r="D544" t="s">
        <v>20</v>
      </c>
      <c r="E544" t="s">
        <v>21</v>
      </c>
      <c r="F544" t="s">
        <v>38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>
      <c r="A545" t="s">
        <v>632</v>
      </c>
      <c r="B545" t="s">
        <v>25</v>
      </c>
      <c r="C545" t="s">
        <v>26</v>
      </c>
      <c r="D545" t="s">
        <v>20</v>
      </c>
      <c r="E545" t="s">
        <v>30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80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 s="3">
        <v>46147</v>
      </c>
    </row>
    <row r="546" spans="1:17">
      <c r="A546" t="s">
        <v>633</v>
      </c>
      <c r="B546" t="s">
        <v>34</v>
      </c>
      <c r="C546" t="s">
        <v>35</v>
      </c>
      <c r="D546" t="s">
        <v>27</v>
      </c>
      <c r="E546" t="s">
        <v>21</v>
      </c>
      <c r="F546" t="s">
        <v>40</v>
      </c>
      <c r="G546">
        <v>71.2</v>
      </c>
      <c r="H546">
        <v>1</v>
      </c>
      <c r="I546" s="4">
        <v>20515</v>
      </c>
      <c r="J546">
        <v>74.760000000000005</v>
      </c>
      <c r="K546" s="1">
        <v>43586</v>
      </c>
      <c r="L546" s="2">
        <v>0.86111111111111116</v>
      </c>
      <c r="M546" t="s">
        <v>33</v>
      </c>
      <c r="N546">
        <v>71.2</v>
      </c>
      <c r="O546">
        <v>4.7619047620000003</v>
      </c>
      <c r="P546" s="4">
        <v>20515</v>
      </c>
      <c r="Q546" s="3">
        <v>46062</v>
      </c>
    </row>
    <row r="547" spans="1:17">
      <c r="A547" t="s">
        <v>634</v>
      </c>
      <c r="B547" t="s">
        <v>34</v>
      </c>
      <c r="C547" t="s">
        <v>35</v>
      </c>
      <c r="D547" t="s">
        <v>20</v>
      </c>
      <c r="E547" t="s">
        <v>30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 s="3">
        <v>46269</v>
      </c>
    </row>
    <row r="548" spans="1:17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43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 s="3">
        <v>46273</v>
      </c>
    </row>
    <row r="549" spans="1:17">
      <c r="A549" t="s">
        <v>636</v>
      </c>
      <c r="B549" t="s">
        <v>18</v>
      </c>
      <c r="C549" t="s">
        <v>19</v>
      </c>
      <c r="D549" t="s">
        <v>27</v>
      </c>
      <c r="E549" t="s">
        <v>30</v>
      </c>
      <c r="F549" t="s">
        <v>38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>
      <c r="A550" t="s">
        <v>637</v>
      </c>
      <c r="B550" t="s">
        <v>34</v>
      </c>
      <c r="C550" t="s">
        <v>35</v>
      </c>
      <c r="D550" t="s">
        <v>27</v>
      </c>
      <c r="E550" t="s">
        <v>21</v>
      </c>
      <c r="F550" t="s">
        <v>38</v>
      </c>
      <c r="G550">
        <v>51.54</v>
      </c>
      <c r="H550">
        <v>5</v>
      </c>
      <c r="I550">
        <v>12.885</v>
      </c>
      <c r="J550">
        <v>270.58499999999998</v>
      </c>
      <c r="K550" t="s">
        <v>145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 s="3">
        <v>46057</v>
      </c>
    </row>
    <row r="551" spans="1:17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147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 s="3">
        <v>46088</v>
      </c>
    </row>
    <row r="552" spans="1:17">
      <c r="A552" t="s">
        <v>639</v>
      </c>
      <c r="B552" t="s">
        <v>34</v>
      </c>
      <c r="C552" t="s">
        <v>35</v>
      </c>
      <c r="D552" t="s">
        <v>27</v>
      </c>
      <c r="E552" t="s">
        <v>30</v>
      </c>
      <c r="F552" t="s">
        <v>43</v>
      </c>
      <c r="G552">
        <v>57.27</v>
      </c>
      <c r="H552">
        <v>3</v>
      </c>
      <c r="I552" s="4">
        <v>38565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 s="4">
        <v>38565</v>
      </c>
      <c r="Q552" s="3">
        <v>46148</v>
      </c>
    </row>
    <row r="553" spans="1:17">
      <c r="A553" t="s">
        <v>640</v>
      </c>
      <c r="B553" t="s">
        <v>34</v>
      </c>
      <c r="C553" t="s">
        <v>35</v>
      </c>
      <c r="D553" t="s">
        <v>27</v>
      </c>
      <c r="E553" t="s">
        <v>21</v>
      </c>
      <c r="F553" t="s">
        <v>43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 s="3">
        <v>46273</v>
      </c>
    </row>
    <row r="554" spans="1:17">
      <c r="A554" t="s">
        <v>641</v>
      </c>
      <c r="B554" t="s">
        <v>34</v>
      </c>
      <c r="C554" t="s">
        <v>35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 s="3">
        <v>46212</v>
      </c>
    </row>
    <row r="555" spans="1:17">
      <c r="A555" t="s">
        <v>642</v>
      </c>
      <c r="B555" t="s">
        <v>25</v>
      </c>
      <c r="C555" t="s">
        <v>26</v>
      </c>
      <c r="D555" t="s">
        <v>27</v>
      </c>
      <c r="E555" t="s">
        <v>30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0.43263888888888885</v>
      </c>
      <c r="M555" t="s">
        <v>33</v>
      </c>
      <c r="N555">
        <v>133.26</v>
      </c>
      <c r="O555">
        <v>4.7619047620000003</v>
      </c>
      <c r="P555">
        <v>6.6630000000000003</v>
      </c>
      <c r="Q555" s="3">
        <v>46181</v>
      </c>
    </row>
    <row r="556" spans="1:17">
      <c r="A556" t="s">
        <v>643</v>
      </c>
      <c r="B556" t="s">
        <v>18</v>
      </c>
      <c r="C556" t="s">
        <v>19</v>
      </c>
      <c r="D556" t="s">
        <v>20</v>
      </c>
      <c r="E556" t="s">
        <v>30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42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 s="3">
        <v>46271</v>
      </c>
    </row>
    <row r="557" spans="1:17">
      <c r="A557" t="s">
        <v>644</v>
      </c>
      <c r="B557" t="s">
        <v>34</v>
      </c>
      <c r="C557" t="s">
        <v>35</v>
      </c>
      <c r="D557" t="s">
        <v>27</v>
      </c>
      <c r="E557" t="s">
        <v>30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 s="3">
        <v>46210</v>
      </c>
    </row>
    <row r="558" spans="1:17">
      <c r="A558" t="s">
        <v>645</v>
      </c>
      <c r="B558" t="s">
        <v>34</v>
      </c>
      <c r="C558" t="s">
        <v>35</v>
      </c>
      <c r="D558" t="s">
        <v>20</v>
      </c>
      <c r="E558" t="s">
        <v>21</v>
      </c>
      <c r="F558" t="s">
        <v>43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 s="3">
        <v>46151</v>
      </c>
    </row>
    <row r="559" spans="1:17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40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 s="3">
        <v>46146</v>
      </c>
    </row>
    <row r="560" spans="1:17">
      <c r="A560" t="s">
        <v>647</v>
      </c>
      <c r="B560" t="s">
        <v>18</v>
      </c>
      <c r="C560" t="s">
        <v>19</v>
      </c>
      <c r="D560" t="s">
        <v>20</v>
      </c>
      <c r="E560" t="s">
        <v>30</v>
      </c>
      <c r="F560" t="s">
        <v>40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 s="3">
        <v>46178</v>
      </c>
    </row>
    <row r="561" spans="1:17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t="s">
        <v>56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 s="3">
        <v>46061</v>
      </c>
    </row>
    <row r="562" spans="1:17">
      <c r="A562" t="s">
        <v>649</v>
      </c>
      <c r="B562" t="s">
        <v>34</v>
      </c>
      <c r="C562" t="s">
        <v>35</v>
      </c>
      <c r="D562" t="s">
        <v>27</v>
      </c>
      <c r="E562" t="s">
        <v>30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 s="3">
        <v>46088</v>
      </c>
    </row>
    <row r="563" spans="1:17">
      <c r="A563" t="s">
        <v>650</v>
      </c>
      <c r="B563" t="s">
        <v>25</v>
      </c>
      <c r="C563" t="s">
        <v>26</v>
      </c>
      <c r="D563" t="s">
        <v>27</v>
      </c>
      <c r="E563" t="s">
        <v>30</v>
      </c>
      <c r="F563" t="s">
        <v>40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 s="3">
        <v>46116</v>
      </c>
    </row>
    <row r="564" spans="1:17">
      <c r="A564" t="s">
        <v>651</v>
      </c>
      <c r="B564" t="s">
        <v>34</v>
      </c>
      <c r="C564" t="s">
        <v>35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 s="3">
        <v>46208</v>
      </c>
    </row>
    <row r="565" spans="1:17">
      <c r="A565" t="s">
        <v>652</v>
      </c>
      <c r="B565" t="s">
        <v>18</v>
      </c>
      <c r="C565" t="s">
        <v>19</v>
      </c>
      <c r="D565" t="s">
        <v>20</v>
      </c>
      <c r="E565" t="s">
        <v>30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>
      <c r="A566" t="s">
        <v>653</v>
      </c>
      <c r="B566" t="s">
        <v>34</v>
      </c>
      <c r="C566" t="s">
        <v>35</v>
      </c>
      <c r="D566" t="s">
        <v>27</v>
      </c>
      <c r="E566" t="s">
        <v>30</v>
      </c>
      <c r="F566" t="s">
        <v>43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40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91</v>
      </c>
      <c r="L567" s="2">
        <v>0.54236111111111118</v>
      </c>
      <c r="M567" t="s">
        <v>33</v>
      </c>
      <c r="N567">
        <v>812.1</v>
      </c>
      <c r="O567">
        <v>4.7619047620000003</v>
      </c>
      <c r="P567">
        <v>40.604999999999997</v>
      </c>
      <c r="Q567" s="3">
        <v>46087</v>
      </c>
    </row>
    <row r="568" spans="1:17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38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0.69444444444444453</v>
      </c>
      <c r="M568" t="s">
        <v>33</v>
      </c>
      <c r="N568">
        <v>493.3</v>
      </c>
      <c r="O568">
        <v>4.7619047620000003</v>
      </c>
      <c r="P568">
        <v>24.664999999999999</v>
      </c>
      <c r="Q568" s="3">
        <v>46121</v>
      </c>
    </row>
    <row r="569" spans="1:17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43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 s="3">
        <v>46210</v>
      </c>
    </row>
    <row r="570" spans="1:17">
      <c r="A570" t="s">
        <v>657</v>
      </c>
      <c r="B570" t="s">
        <v>34</v>
      </c>
      <c r="C570" t="s">
        <v>35</v>
      </c>
      <c r="D570" t="s">
        <v>27</v>
      </c>
      <c r="E570" t="s">
        <v>21</v>
      </c>
      <c r="F570" t="s">
        <v>43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0.43958333333333338</v>
      </c>
      <c r="M570" t="s">
        <v>33</v>
      </c>
      <c r="N570">
        <v>559.02</v>
      </c>
      <c r="O570">
        <v>4.7619047620000003</v>
      </c>
      <c r="P570">
        <v>27.951000000000001</v>
      </c>
      <c r="Q570" s="3">
        <v>46147</v>
      </c>
    </row>
    <row r="571" spans="1:17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38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 s="3">
        <v>46026</v>
      </c>
    </row>
    <row r="572" spans="1:17">
      <c r="A572" t="s">
        <v>659</v>
      </c>
      <c r="B572" t="s">
        <v>34</v>
      </c>
      <c r="C572" t="s">
        <v>35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t="s">
        <v>45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 s="3">
        <v>46180</v>
      </c>
    </row>
    <row r="573" spans="1:17">
      <c r="A573" t="s">
        <v>660</v>
      </c>
      <c r="B573" t="s">
        <v>34</v>
      </c>
      <c r="C573" t="s">
        <v>35</v>
      </c>
      <c r="D573" t="s">
        <v>20</v>
      </c>
      <c r="E573" t="s">
        <v>30</v>
      </c>
      <c r="F573" t="s">
        <v>38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 s="3">
        <v>46181</v>
      </c>
    </row>
    <row r="574" spans="1:17">
      <c r="A574" t="s">
        <v>661</v>
      </c>
      <c r="B574" t="s">
        <v>18</v>
      </c>
      <c r="C574" t="s">
        <v>19</v>
      </c>
      <c r="D574" t="s">
        <v>20</v>
      </c>
      <c r="E574" t="s">
        <v>30</v>
      </c>
      <c r="F574" t="s">
        <v>40</v>
      </c>
      <c r="G574" s="4">
        <v>41548</v>
      </c>
      <c r="H574">
        <v>7</v>
      </c>
      <c r="I574" s="4">
        <v>20149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 s="4">
        <v>20149</v>
      </c>
      <c r="Q574" s="3">
        <v>46089</v>
      </c>
    </row>
    <row r="575" spans="1:17">
      <c r="A575" t="s">
        <v>662</v>
      </c>
      <c r="B575" t="s">
        <v>34</v>
      </c>
      <c r="C575" t="s">
        <v>35</v>
      </c>
      <c r="D575" t="s">
        <v>27</v>
      </c>
      <c r="E575" t="s">
        <v>30</v>
      </c>
      <c r="F575" t="s">
        <v>40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 s="3">
        <v>46030</v>
      </c>
    </row>
    <row r="576" spans="1:17">
      <c r="A576" t="s">
        <v>663</v>
      </c>
      <c r="B576" t="s">
        <v>18</v>
      </c>
      <c r="C576" t="s">
        <v>19</v>
      </c>
      <c r="D576" t="s">
        <v>27</v>
      </c>
      <c r="E576" t="s">
        <v>30</v>
      </c>
      <c r="F576" t="s">
        <v>38</v>
      </c>
      <c r="G576">
        <v>85.91</v>
      </c>
      <c r="H576">
        <v>5</v>
      </c>
      <c r="I576">
        <v>21.477499999999999</v>
      </c>
      <c r="J576">
        <v>451.02749999999997</v>
      </c>
      <c r="K576" t="s">
        <v>72</v>
      </c>
      <c r="L576" s="2">
        <v>0.60625000000000007</v>
      </c>
      <c r="M576" t="s">
        <v>33</v>
      </c>
      <c r="N576">
        <v>429.55</v>
      </c>
      <c r="O576">
        <v>4.7619047620000003</v>
      </c>
      <c r="P576">
        <v>21.477499999999999</v>
      </c>
      <c r="Q576" s="3">
        <v>46181</v>
      </c>
    </row>
    <row r="577" spans="1:17">
      <c r="A577" t="s">
        <v>664</v>
      </c>
      <c r="B577" t="s">
        <v>34</v>
      </c>
      <c r="C577" t="s">
        <v>35</v>
      </c>
      <c r="D577" t="s">
        <v>20</v>
      </c>
      <c r="E577" t="s">
        <v>30</v>
      </c>
      <c r="F577" t="s">
        <v>43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 s="3">
        <v>46087</v>
      </c>
    </row>
    <row r="578" spans="1:17">
      <c r="A578" t="s">
        <v>665</v>
      </c>
      <c r="B578" t="s">
        <v>34</v>
      </c>
      <c r="C578" t="s">
        <v>35</v>
      </c>
      <c r="D578" t="s">
        <v>27</v>
      </c>
      <c r="E578" t="s">
        <v>30</v>
      </c>
      <c r="F578" t="s">
        <v>40</v>
      </c>
      <c r="G578">
        <v>60.3</v>
      </c>
      <c r="H578">
        <v>4</v>
      </c>
      <c r="I578" s="3">
        <v>46185</v>
      </c>
      <c r="J578">
        <v>253.26</v>
      </c>
      <c r="K578" t="s">
        <v>50</v>
      </c>
      <c r="L578" s="2">
        <v>0.77986111111111101</v>
      </c>
      <c r="M578" t="s">
        <v>29</v>
      </c>
      <c r="N578">
        <v>241.2</v>
      </c>
      <c r="O578">
        <v>4.7619047620000003</v>
      </c>
      <c r="P578" s="3">
        <v>46185</v>
      </c>
      <c r="Q578" s="3">
        <v>46239</v>
      </c>
    </row>
    <row r="579" spans="1:17">
      <c r="A579" t="s">
        <v>666</v>
      </c>
      <c r="B579" t="s">
        <v>25</v>
      </c>
      <c r="C579" t="s">
        <v>26</v>
      </c>
      <c r="D579" t="s">
        <v>27</v>
      </c>
      <c r="E579" t="s">
        <v>30</v>
      </c>
      <c r="F579" t="s">
        <v>40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 s="3">
        <v>46059</v>
      </c>
    </row>
    <row r="580" spans="1:17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167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 s="3">
        <v>46210</v>
      </c>
    </row>
    <row r="581" spans="1:17">
      <c r="A581" t="s">
        <v>668</v>
      </c>
      <c r="B581" t="s">
        <v>34</v>
      </c>
      <c r="C581" t="s">
        <v>35</v>
      </c>
      <c r="D581" t="s">
        <v>27</v>
      </c>
      <c r="E581" t="s">
        <v>30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 s="3">
        <v>46030</v>
      </c>
    </row>
    <row r="582" spans="1:17">
      <c r="A582" t="s">
        <v>669</v>
      </c>
      <c r="B582" t="s">
        <v>25</v>
      </c>
      <c r="C582" t="s">
        <v>26</v>
      </c>
      <c r="D582" t="s">
        <v>27</v>
      </c>
      <c r="E582" t="s">
        <v>30</v>
      </c>
      <c r="F582" t="s">
        <v>40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 s="3">
        <v>46088</v>
      </c>
    </row>
    <row r="583" spans="1:17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 s="3">
        <v>46120</v>
      </c>
    </row>
    <row r="584" spans="1:17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43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>
      <c r="A585" t="s">
        <v>672</v>
      </c>
      <c r="B585" t="s">
        <v>34</v>
      </c>
      <c r="C585" t="s">
        <v>35</v>
      </c>
      <c r="D585" t="s">
        <v>20</v>
      </c>
      <c r="E585" t="s">
        <v>21</v>
      </c>
      <c r="F585" t="s">
        <v>43</v>
      </c>
      <c r="G585" s="3">
        <v>46252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 s="3">
        <v>46151</v>
      </c>
    </row>
    <row r="586" spans="1:17">
      <c r="A586" t="s">
        <v>673</v>
      </c>
      <c r="B586" t="s">
        <v>34</v>
      </c>
      <c r="C586" t="s">
        <v>35</v>
      </c>
      <c r="D586" t="s">
        <v>27</v>
      </c>
      <c r="E586" t="s">
        <v>30</v>
      </c>
      <c r="F586" t="s">
        <v>38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183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>
      <c r="A587" t="s">
        <v>674</v>
      </c>
      <c r="B587" t="s">
        <v>18</v>
      </c>
      <c r="C587" t="s">
        <v>19</v>
      </c>
      <c r="D587" t="s">
        <v>27</v>
      </c>
      <c r="E587" t="s">
        <v>30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0.57847222222222217</v>
      </c>
      <c r="M587" t="s">
        <v>33</v>
      </c>
      <c r="N587">
        <v>206.84</v>
      </c>
      <c r="O587">
        <v>4.7619047620000003</v>
      </c>
      <c r="P587">
        <v>10.342000000000001</v>
      </c>
      <c r="Q587" s="3">
        <v>46243</v>
      </c>
    </row>
    <row r="588" spans="1:17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40</v>
      </c>
      <c r="G588">
        <v>52.34</v>
      </c>
      <c r="H588">
        <v>3</v>
      </c>
      <c r="I588">
        <v>7.851</v>
      </c>
      <c r="J588">
        <v>164.87100000000001</v>
      </c>
      <c r="K588" t="s">
        <v>112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 s="3">
        <v>46062</v>
      </c>
    </row>
    <row r="589" spans="1:17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38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 s="3">
        <v>46210</v>
      </c>
    </row>
    <row r="590" spans="1:17">
      <c r="A590" t="s">
        <v>677</v>
      </c>
      <c r="B590" t="s">
        <v>25</v>
      </c>
      <c r="C590" t="s">
        <v>26</v>
      </c>
      <c r="D590" t="s">
        <v>27</v>
      </c>
      <c r="E590" t="s">
        <v>30</v>
      </c>
      <c r="F590" t="s">
        <v>43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 s="3">
        <v>46086</v>
      </c>
    </row>
    <row r="591" spans="1:17">
      <c r="A591" t="s">
        <v>678</v>
      </c>
      <c r="B591" t="s">
        <v>18</v>
      </c>
      <c r="C591" t="s">
        <v>19</v>
      </c>
      <c r="D591" t="s">
        <v>27</v>
      </c>
      <c r="E591" t="s">
        <v>30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 s="3">
        <v>46116</v>
      </c>
    </row>
    <row r="592" spans="1:17">
      <c r="A592" t="s">
        <v>679</v>
      </c>
      <c r="B592" t="s">
        <v>25</v>
      </c>
      <c r="C592" t="s">
        <v>26</v>
      </c>
      <c r="D592" t="s">
        <v>20</v>
      </c>
      <c r="E592" t="s">
        <v>30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 s="3">
        <v>46085</v>
      </c>
    </row>
    <row r="593" spans="1:17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t="s">
        <v>37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 s="3">
        <v>46121</v>
      </c>
    </row>
    <row r="594" spans="1:17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38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 s="3">
        <v>46243</v>
      </c>
    </row>
    <row r="595" spans="1:17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38</v>
      </c>
      <c r="G595">
        <v>75.2</v>
      </c>
      <c r="H595">
        <v>3</v>
      </c>
      <c r="I595" s="4">
        <v>47058</v>
      </c>
      <c r="J595">
        <v>236.88</v>
      </c>
      <c r="K595" s="1">
        <v>43587</v>
      </c>
      <c r="L595" s="2">
        <v>0.49374999999999997</v>
      </c>
      <c r="M595" t="s">
        <v>23</v>
      </c>
      <c r="N595">
        <v>225.6</v>
      </c>
      <c r="O595">
        <v>4.7619047620000003</v>
      </c>
      <c r="P595" s="4">
        <v>47058</v>
      </c>
      <c r="Q595" s="3">
        <v>46238</v>
      </c>
    </row>
    <row r="596" spans="1:17">
      <c r="A596" t="s">
        <v>683</v>
      </c>
      <c r="B596" t="s">
        <v>34</v>
      </c>
      <c r="C596" t="s">
        <v>35</v>
      </c>
      <c r="D596" t="s">
        <v>20</v>
      </c>
      <c r="E596" t="s">
        <v>30</v>
      </c>
      <c r="F596" t="s">
        <v>38</v>
      </c>
      <c r="G596">
        <v>96.8</v>
      </c>
      <c r="H596">
        <v>3</v>
      </c>
      <c r="I596">
        <v>14.52</v>
      </c>
      <c r="J596">
        <v>304.92</v>
      </c>
      <c r="K596" t="s">
        <v>67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 s="3">
        <v>46086</v>
      </c>
    </row>
    <row r="597" spans="1:17">
      <c r="A597" t="s">
        <v>684</v>
      </c>
      <c r="B597" t="s">
        <v>34</v>
      </c>
      <c r="C597" t="s">
        <v>35</v>
      </c>
      <c r="D597" t="s">
        <v>27</v>
      </c>
      <c r="E597" t="s">
        <v>30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 s="3">
        <v>46211</v>
      </c>
    </row>
    <row r="598" spans="1:17">
      <c r="A598" t="s">
        <v>685</v>
      </c>
      <c r="B598" t="s">
        <v>18</v>
      </c>
      <c r="C598" t="s">
        <v>19</v>
      </c>
      <c r="D598" t="s">
        <v>27</v>
      </c>
      <c r="E598" t="s">
        <v>30</v>
      </c>
      <c r="F598" t="s">
        <v>40</v>
      </c>
      <c r="G598">
        <v>52.2</v>
      </c>
      <c r="H598">
        <v>3</v>
      </c>
      <c r="I598" s="4">
        <v>30498</v>
      </c>
      <c r="J598">
        <v>164.43</v>
      </c>
      <c r="K598" t="s">
        <v>118</v>
      </c>
      <c r="L598" s="2">
        <v>0.5625</v>
      </c>
      <c r="M598" t="s">
        <v>33</v>
      </c>
      <c r="N598">
        <v>156.6</v>
      </c>
      <c r="O598">
        <v>4.7619047620000003</v>
      </c>
      <c r="P598" s="4">
        <v>30498</v>
      </c>
      <c r="Q598" s="3">
        <v>46151</v>
      </c>
    </row>
    <row r="599" spans="1:17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38</v>
      </c>
      <c r="G599">
        <v>46.66</v>
      </c>
      <c r="H599">
        <v>9</v>
      </c>
      <c r="I599">
        <v>20.997</v>
      </c>
      <c r="J599">
        <v>440.93700000000001</v>
      </c>
      <c r="K599" t="s">
        <v>69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 s="3">
        <v>46086</v>
      </c>
    </row>
    <row r="600" spans="1:17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43</v>
      </c>
      <c r="G600">
        <v>36.85</v>
      </c>
      <c r="H600">
        <v>5</v>
      </c>
      <c r="I600" s="4">
        <v>45901</v>
      </c>
      <c r="J600">
        <v>193.46250000000001</v>
      </c>
      <c r="K600" t="s">
        <v>145</v>
      </c>
      <c r="L600" s="2">
        <v>0.78680555555555554</v>
      </c>
      <c r="M600" t="s">
        <v>29</v>
      </c>
      <c r="N600">
        <v>184.25</v>
      </c>
      <c r="O600">
        <v>4.7619047620000003</v>
      </c>
      <c r="P600" s="4">
        <v>45901</v>
      </c>
      <c r="Q600" s="3">
        <v>46062</v>
      </c>
    </row>
    <row r="601" spans="1:17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t="s">
        <v>177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 s="3">
        <v>46182</v>
      </c>
    </row>
    <row r="602" spans="1:17">
      <c r="A602" t="s">
        <v>689</v>
      </c>
      <c r="B602" t="s">
        <v>25</v>
      </c>
      <c r="C602" t="s">
        <v>26</v>
      </c>
      <c r="D602" t="s">
        <v>27</v>
      </c>
      <c r="E602" t="s">
        <v>30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147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 s="3">
        <v>46118</v>
      </c>
    </row>
    <row r="603" spans="1:17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43</v>
      </c>
      <c r="G603">
        <v>64.989999999999995</v>
      </c>
      <c r="H603">
        <v>1</v>
      </c>
      <c r="I603" s="4">
        <v>34759</v>
      </c>
      <c r="J603">
        <v>68.239500000000007</v>
      </c>
      <c r="K603" t="s">
        <v>145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 s="4">
        <v>34759</v>
      </c>
      <c r="Q603" s="3">
        <v>46146</v>
      </c>
    </row>
    <row r="604" spans="1:17">
      <c r="A604" t="s">
        <v>691</v>
      </c>
      <c r="B604" t="s">
        <v>25</v>
      </c>
      <c r="C604" t="s">
        <v>26</v>
      </c>
      <c r="D604" t="s">
        <v>27</v>
      </c>
      <c r="E604" t="s">
        <v>30</v>
      </c>
      <c r="F604" t="s">
        <v>40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 s="3">
        <v>46271</v>
      </c>
    </row>
    <row r="605" spans="1:17">
      <c r="A605" t="s">
        <v>692</v>
      </c>
      <c r="B605" t="s">
        <v>34</v>
      </c>
      <c r="C605" t="s">
        <v>35</v>
      </c>
      <c r="D605" t="s">
        <v>27</v>
      </c>
      <c r="E605" t="s">
        <v>21</v>
      </c>
      <c r="F605" t="s">
        <v>38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 s="3">
        <v>46241</v>
      </c>
    </row>
    <row r="606" spans="1:17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43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 s="3">
        <v>46146</v>
      </c>
    </row>
    <row r="607" spans="1:17">
      <c r="A607" t="s">
        <v>694</v>
      </c>
      <c r="B607" t="s">
        <v>34</v>
      </c>
      <c r="C607" t="s">
        <v>35</v>
      </c>
      <c r="D607" t="s">
        <v>27</v>
      </c>
      <c r="E607" t="s">
        <v>30</v>
      </c>
      <c r="F607" t="s">
        <v>32</v>
      </c>
      <c r="G607">
        <v>31.75</v>
      </c>
      <c r="H607">
        <v>4</v>
      </c>
      <c r="I607" s="4">
        <v>12936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 s="4">
        <v>12936</v>
      </c>
      <c r="Q607" s="3">
        <v>46181</v>
      </c>
    </row>
    <row r="608" spans="1:17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43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 s="3">
        <v>46058</v>
      </c>
    </row>
    <row r="609" spans="1:17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40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171</v>
      </c>
      <c r="L609" s="2">
        <v>0.8027777777777777</v>
      </c>
      <c r="M609" t="s">
        <v>33</v>
      </c>
      <c r="N609">
        <v>199.16</v>
      </c>
      <c r="O609">
        <v>4.7619047620000003</v>
      </c>
      <c r="P609">
        <v>9.9580000000000002</v>
      </c>
      <c r="Q609" s="3">
        <v>46118</v>
      </c>
    </row>
    <row r="610" spans="1:17">
      <c r="A610" t="s">
        <v>697</v>
      </c>
      <c r="B610" t="s">
        <v>18</v>
      </c>
      <c r="C610" t="s">
        <v>19</v>
      </c>
      <c r="D610" t="s">
        <v>27</v>
      </c>
      <c r="E610" t="s">
        <v>30</v>
      </c>
      <c r="F610" t="s">
        <v>43</v>
      </c>
      <c r="G610">
        <v>30.61</v>
      </c>
      <c r="H610">
        <v>1</v>
      </c>
      <c r="I610" s="4">
        <v>38353</v>
      </c>
      <c r="J610">
        <v>32.140500000000003</v>
      </c>
      <c r="K610" t="s">
        <v>147</v>
      </c>
      <c r="L610" s="2">
        <v>0.51388888888888895</v>
      </c>
      <c r="M610" t="s">
        <v>23</v>
      </c>
      <c r="N610">
        <v>30.61</v>
      </c>
      <c r="O610">
        <v>4.7619047620000003</v>
      </c>
      <c r="P610" s="4">
        <v>38353</v>
      </c>
      <c r="Q610" s="3">
        <v>46058</v>
      </c>
    </row>
    <row r="611" spans="1:17">
      <c r="A611" t="s">
        <v>698</v>
      </c>
      <c r="B611" t="s">
        <v>34</v>
      </c>
      <c r="C611" t="s">
        <v>35</v>
      </c>
      <c r="D611" t="s">
        <v>20</v>
      </c>
      <c r="E611" t="s">
        <v>30</v>
      </c>
      <c r="F611" t="s">
        <v>40</v>
      </c>
      <c r="G611">
        <v>57.89</v>
      </c>
      <c r="H611">
        <v>2</v>
      </c>
      <c r="I611">
        <v>5.7889999999999997</v>
      </c>
      <c r="J611">
        <v>121.569</v>
      </c>
      <c r="K611" t="s">
        <v>91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 s="3">
        <v>46273</v>
      </c>
    </row>
    <row r="612" spans="1:17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0.4291666666666667</v>
      </c>
      <c r="M612" t="s">
        <v>33</v>
      </c>
      <c r="N612">
        <v>28.96</v>
      </c>
      <c r="O612">
        <v>4.7619047620000003</v>
      </c>
      <c r="P612">
        <v>1.448</v>
      </c>
      <c r="Q612" s="3">
        <v>46059</v>
      </c>
    </row>
    <row r="613" spans="1:17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40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 s="3">
        <v>46209</v>
      </c>
    </row>
    <row r="614" spans="1:17">
      <c r="A614" t="s">
        <v>701</v>
      </c>
      <c r="B614" t="s">
        <v>34</v>
      </c>
      <c r="C614" t="s">
        <v>35</v>
      </c>
      <c r="D614" t="s">
        <v>20</v>
      </c>
      <c r="E614" t="s">
        <v>30</v>
      </c>
      <c r="F614" t="s">
        <v>43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 s="3">
        <v>46060</v>
      </c>
    </row>
    <row r="615" spans="1:17">
      <c r="A615" t="s">
        <v>702</v>
      </c>
      <c r="B615" t="s">
        <v>25</v>
      </c>
      <c r="C615" t="s">
        <v>26</v>
      </c>
      <c r="D615" t="s">
        <v>20</v>
      </c>
      <c r="E615" t="s">
        <v>30</v>
      </c>
      <c r="F615" t="s">
        <v>38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183</v>
      </c>
      <c r="L615" s="2">
        <v>0.67222222222222217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>
      <c r="A616" t="s">
        <v>703</v>
      </c>
      <c r="B616" t="s">
        <v>18</v>
      </c>
      <c r="C616" t="s">
        <v>19</v>
      </c>
      <c r="D616" t="s">
        <v>20</v>
      </c>
      <c r="E616" t="s">
        <v>30</v>
      </c>
      <c r="F616" t="s">
        <v>40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 s="3">
        <v>46057</v>
      </c>
    </row>
    <row r="617" spans="1:17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38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 s="3">
        <v>46057</v>
      </c>
    </row>
    <row r="618" spans="1:17">
      <c r="A618" t="s">
        <v>705</v>
      </c>
      <c r="B618" t="s">
        <v>34</v>
      </c>
      <c r="C618" t="s">
        <v>35</v>
      </c>
      <c r="D618" t="s">
        <v>20</v>
      </c>
      <c r="E618" t="s">
        <v>30</v>
      </c>
      <c r="F618" t="s">
        <v>38</v>
      </c>
      <c r="G618">
        <v>72.599999999999994</v>
      </c>
      <c r="H618">
        <v>6</v>
      </c>
      <c r="I618">
        <v>21.78</v>
      </c>
      <c r="J618">
        <v>457.38</v>
      </c>
      <c r="K618" t="s">
        <v>138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 s="3">
        <v>46271</v>
      </c>
    </row>
    <row r="619" spans="1:17">
      <c r="A619" t="s">
        <v>706</v>
      </c>
      <c r="B619" t="s">
        <v>25</v>
      </c>
      <c r="C619" t="s">
        <v>26</v>
      </c>
      <c r="D619" t="s">
        <v>20</v>
      </c>
      <c r="E619" t="s">
        <v>30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 s="3">
        <v>46116</v>
      </c>
    </row>
    <row r="620" spans="1:17">
      <c r="A620" t="s">
        <v>707</v>
      </c>
      <c r="B620" t="s">
        <v>18</v>
      </c>
      <c r="C620" t="s">
        <v>19</v>
      </c>
      <c r="D620" t="s">
        <v>20</v>
      </c>
      <c r="E620" t="s">
        <v>30</v>
      </c>
      <c r="F620" t="s">
        <v>40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147</v>
      </c>
      <c r="L620" s="2">
        <v>0.47361111111111115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43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 s="3">
        <v>46150</v>
      </c>
    </row>
    <row r="622" spans="1:17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40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171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 s="3">
        <v>46062</v>
      </c>
    </row>
    <row r="623" spans="1:17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40</v>
      </c>
      <c r="G623">
        <v>91.61</v>
      </c>
      <c r="H623">
        <v>1</v>
      </c>
      <c r="I623" s="4">
        <v>38443</v>
      </c>
      <c r="J623">
        <v>96.1905</v>
      </c>
      <c r="K623" t="s">
        <v>295</v>
      </c>
      <c r="L623" s="2">
        <v>0.8222222222222223</v>
      </c>
      <c r="M623" t="s">
        <v>29</v>
      </c>
      <c r="N623">
        <v>91.61</v>
      </c>
      <c r="O623">
        <v>4.7619047620000003</v>
      </c>
      <c r="P623" s="4">
        <v>38443</v>
      </c>
      <c r="Q623" s="3">
        <v>46243</v>
      </c>
    </row>
    <row r="624" spans="1:17">
      <c r="A624" t="s">
        <v>711</v>
      </c>
      <c r="B624" t="s">
        <v>34</v>
      </c>
      <c r="C624" t="s">
        <v>35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t="s">
        <v>91</v>
      </c>
      <c r="L624" s="2">
        <v>0.64374999999999993</v>
      </c>
      <c r="M624" t="s">
        <v>33</v>
      </c>
      <c r="N624">
        <v>662.13</v>
      </c>
      <c r="O624">
        <v>4.7619047620000003</v>
      </c>
      <c r="P624">
        <v>33.106499999999997</v>
      </c>
      <c r="Q624" s="3">
        <v>46269</v>
      </c>
    </row>
    <row r="625" spans="1:17">
      <c r="A625" t="s">
        <v>712</v>
      </c>
      <c r="B625" t="s">
        <v>34</v>
      </c>
      <c r="C625" t="s">
        <v>35</v>
      </c>
      <c r="D625" t="s">
        <v>27</v>
      </c>
      <c r="E625" t="s">
        <v>21</v>
      </c>
      <c r="F625" t="s">
        <v>43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 s="3">
        <v>46116</v>
      </c>
    </row>
    <row r="626" spans="1:17">
      <c r="A626" t="s">
        <v>713</v>
      </c>
      <c r="B626" t="s">
        <v>34</v>
      </c>
      <c r="C626" t="s">
        <v>35</v>
      </c>
      <c r="D626" t="s">
        <v>20</v>
      </c>
      <c r="E626" t="s">
        <v>30</v>
      </c>
      <c r="F626" t="s">
        <v>43</v>
      </c>
      <c r="G626">
        <v>91.35</v>
      </c>
      <c r="H626">
        <v>1</v>
      </c>
      <c r="I626" s="4">
        <v>27485</v>
      </c>
      <c r="J626">
        <v>95.917500000000004</v>
      </c>
      <c r="K626" t="s">
        <v>212</v>
      </c>
      <c r="L626" s="2">
        <v>0.65416666666666667</v>
      </c>
      <c r="M626" t="s">
        <v>29</v>
      </c>
      <c r="N626">
        <v>91.35</v>
      </c>
      <c r="O626">
        <v>4.7619047620000003</v>
      </c>
      <c r="P626" s="4">
        <v>27485</v>
      </c>
      <c r="Q626" s="3">
        <v>46240</v>
      </c>
    </row>
    <row r="627" spans="1:17">
      <c r="A627" t="s">
        <v>714</v>
      </c>
      <c r="B627" t="s">
        <v>34</v>
      </c>
      <c r="C627" t="s">
        <v>35</v>
      </c>
      <c r="D627" t="s">
        <v>20</v>
      </c>
      <c r="E627" t="s">
        <v>21</v>
      </c>
      <c r="F627" t="s">
        <v>40</v>
      </c>
      <c r="G627">
        <v>78.88</v>
      </c>
      <c r="H627">
        <v>2</v>
      </c>
      <c r="I627">
        <v>7.8879999999999999</v>
      </c>
      <c r="J627">
        <v>165.648</v>
      </c>
      <c r="K627" t="s">
        <v>145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 s="3">
        <v>46031</v>
      </c>
    </row>
    <row r="628" spans="1:17">
      <c r="A628" t="s">
        <v>715</v>
      </c>
      <c r="B628" t="s">
        <v>18</v>
      </c>
      <c r="C628" t="s">
        <v>19</v>
      </c>
      <c r="D628" t="s">
        <v>27</v>
      </c>
      <c r="E628" t="s">
        <v>30</v>
      </c>
      <c r="F628" t="s">
        <v>38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 s="3">
        <v>46211</v>
      </c>
    </row>
    <row r="629" spans="1:17">
      <c r="A629" t="s">
        <v>716</v>
      </c>
      <c r="B629" t="s">
        <v>34</v>
      </c>
      <c r="C629" t="s">
        <v>35</v>
      </c>
      <c r="D629" t="s">
        <v>20</v>
      </c>
      <c r="E629" t="s">
        <v>30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>
      <c r="A630" t="s">
        <v>717</v>
      </c>
      <c r="B630" t="s">
        <v>18</v>
      </c>
      <c r="C630" t="s">
        <v>19</v>
      </c>
      <c r="D630" t="s">
        <v>20</v>
      </c>
      <c r="E630" t="s">
        <v>30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t="s">
        <v>76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 s="3">
        <v>46149</v>
      </c>
    </row>
    <row r="631" spans="1:17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43</v>
      </c>
      <c r="G631" s="3">
        <v>46277</v>
      </c>
      <c r="H631">
        <v>1</v>
      </c>
      <c r="I631">
        <v>0.60450000000000004</v>
      </c>
      <c r="J631" s="4">
        <v>16772</v>
      </c>
      <c r="K631" t="s">
        <v>145</v>
      </c>
      <c r="L631" s="2">
        <v>0.7631944444444444</v>
      </c>
      <c r="M631" t="s">
        <v>33</v>
      </c>
      <c r="N631" s="3">
        <v>46277</v>
      </c>
      <c r="O631">
        <v>4.7619047620000003</v>
      </c>
      <c r="P631">
        <v>0.60450000000000004</v>
      </c>
      <c r="Q631" s="3">
        <v>46061</v>
      </c>
    </row>
    <row r="632" spans="1:17">
      <c r="A632" t="s">
        <v>719</v>
      </c>
      <c r="B632" t="s">
        <v>18</v>
      </c>
      <c r="C632" t="s">
        <v>19</v>
      </c>
      <c r="D632" t="s">
        <v>27</v>
      </c>
      <c r="E632" t="s">
        <v>30</v>
      </c>
      <c r="F632" t="s">
        <v>38</v>
      </c>
      <c r="G632">
        <v>64.19</v>
      </c>
      <c r="H632">
        <v>10</v>
      </c>
      <c r="I632">
        <v>32.094999999999999</v>
      </c>
      <c r="J632">
        <v>673.995</v>
      </c>
      <c r="K632" t="s">
        <v>183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 s="3">
        <v>46209</v>
      </c>
    </row>
    <row r="633" spans="1:17">
      <c r="A633" t="s">
        <v>720</v>
      </c>
      <c r="B633" t="s">
        <v>18</v>
      </c>
      <c r="C633" t="s">
        <v>19</v>
      </c>
      <c r="D633" t="s">
        <v>27</v>
      </c>
      <c r="E633" t="s">
        <v>30</v>
      </c>
      <c r="F633" t="s">
        <v>28</v>
      </c>
      <c r="G633">
        <v>78.31</v>
      </c>
      <c r="H633">
        <v>3</v>
      </c>
      <c r="I633" s="4">
        <v>24047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 s="4">
        <v>24047</v>
      </c>
      <c r="Q633" s="3">
        <v>46117</v>
      </c>
    </row>
    <row r="634" spans="1:17">
      <c r="A634" t="s">
        <v>721</v>
      </c>
      <c r="B634" t="s">
        <v>18</v>
      </c>
      <c r="C634" t="s">
        <v>19</v>
      </c>
      <c r="D634" t="s">
        <v>20</v>
      </c>
      <c r="E634" t="s">
        <v>30</v>
      </c>
      <c r="F634" t="s">
        <v>40</v>
      </c>
      <c r="G634">
        <v>83.77</v>
      </c>
      <c r="H634">
        <v>2</v>
      </c>
      <c r="I634">
        <v>8.3770000000000007</v>
      </c>
      <c r="J634">
        <v>175.917</v>
      </c>
      <c r="K634" t="s">
        <v>58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>
      <c r="A635" t="s">
        <v>722</v>
      </c>
      <c r="B635" t="s">
        <v>34</v>
      </c>
      <c r="C635" t="s">
        <v>35</v>
      </c>
      <c r="D635" t="s">
        <v>27</v>
      </c>
      <c r="E635" t="s">
        <v>30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 s="3">
        <v>46207</v>
      </c>
    </row>
    <row r="636" spans="1:17">
      <c r="A636" t="s">
        <v>723</v>
      </c>
      <c r="B636" t="s">
        <v>34</v>
      </c>
      <c r="C636" t="s">
        <v>35</v>
      </c>
      <c r="D636" t="s">
        <v>20</v>
      </c>
      <c r="E636" t="s">
        <v>30</v>
      </c>
      <c r="F636" t="s">
        <v>40</v>
      </c>
      <c r="G636">
        <v>79.91</v>
      </c>
      <c r="H636">
        <v>3</v>
      </c>
      <c r="I636" s="4">
        <v>24047</v>
      </c>
      <c r="J636">
        <v>251.7165</v>
      </c>
      <c r="K636" t="s">
        <v>295</v>
      </c>
      <c r="L636" s="2">
        <v>0.81111111111111101</v>
      </c>
      <c r="M636" t="s">
        <v>33</v>
      </c>
      <c r="N636">
        <v>239.73</v>
      </c>
      <c r="O636">
        <v>4.7619047620000003</v>
      </c>
      <c r="P636" s="4">
        <v>24047</v>
      </c>
      <c r="Q636">
        <v>5</v>
      </c>
    </row>
    <row r="637" spans="1:17">
      <c r="A637" t="s">
        <v>724</v>
      </c>
      <c r="B637" t="s">
        <v>34</v>
      </c>
      <c r="C637" t="s">
        <v>35</v>
      </c>
      <c r="D637" t="s">
        <v>20</v>
      </c>
      <c r="E637" t="s">
        <v>30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58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>
      <c r="A638" t="s">
        <v>725</v>
      </c>
      <c r="B638" t="s">
        <v>18</v>
      </c>
      <c r="C638" t="s">
        <v>19</v>
      </c>
      <c r="D638" t="s">
        <v>27</v>
      </c>
      <c r="E638" t="s">
        <v>30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 s="4">
        <v>11355</v>
      </c>
      <c r="J639">
        <v>48.51</v>
      </c>
      <c r="K639" t="s">
        <v>103</v>
      </c>
      <c r="L639" s="2">
        <v>0.51111111111111118</v>
      </c>
      <c r="M639" t="s">
        <v>29</v>
      </c>
      <c r="N639">
        <v>46.2</v>
      </c>
      <c r="O639">
        <v>4.7619047620000003</v>
      </c>
      <c r="P639" s="4">
        <v>11355</v>
      </c>
      <c r="Q639" s="3">
        <v>46087</v>
      </c>
    </row>
    <row r="640" spans="1:17">
      <c r="A640" t="s">
        <v>727</v>
      </c>
      <c r="B640" t="s">
        <v>34</v>
      </c>
      <c r="C640" t="s">
        <v>35</v>
      </c>
      <c r="D640" t="s">
        <v>20</v>
      </c>
      <c r="E640" t="s">
        <v>21</v>
      </c>
      <c r="F640" t="s">
        <v>40</v>
      </c>
      <c r="G640">
        <v>17.63</v>
      </c>
      <c r="H640">
        <v>5</v>
      </c>
      <c r="I640" s="4">
        <v>27485</v>
      </c>
      <c r="J640">
        <v>92.557500000000005</v>
      </c>
      <c r="K640" s="1">
        <v>43680</v>
      </c>
      <c r="L640" s="2">
        <v>0.64374999999999993</v>
      </c>
      <c r="M640" t="s">
        <v>29</v>
      </c>
      <c r="N640">
        <v>88.15</v>
      </c>
      <c r="O640">
        <v>4.7619047620000003</v>
      </c>
      <c r="P640" s="4">
        <v>27485</v>
      </c>
      <c r="Q640" s="3">
        <v>46150</v>
      </c>
    </row>
    <row r="641" spans="1:17">
      <c r="A641" t="s">
        <v>728</v>
      </c>
      <c r="B641" t="s">
        <v>34</v>
      </c>
      <c r="C641" t="s">
        <v>35</v>
      </c>
      <c r="D641" t="s">
        <v>27</v>
      </c>
      <c r="E641" t="s">
        <v>30</v>
      </c>
      <c r="F641" t="s">
        <v>43</v>
      </c>
      <c r="G641">
        <v>52.42</v>
      </c>
      <c r="H641">
        <v>3</v>
      </c>
      <c r="I641">
        <v>7.8630000000000004</v>
      </c>
      <c r="J641">
        <v>165.12299999999999</v>
      </c>
      <c r="K641" t="s">
        <v>99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 s="3">
        <v>46149</v>
      </c>
    </row>
    <row r="642" spans="1:17">
      <c r="A642" t="s">
        <v>729</v>
      </c>
      <c r="B642" t="s">
        <v>34</v>
      </c>
      <c r="C642" t="s">
        <v>35</v>
      </c>
      <c r="D642" t="s">
        <v>20</v>
      </c>
      <c r="E642" t="s">
        <v>21</v>
      </c>
      <c r="F642" t="s">
        <v>40</v>
      </c>
      <c r="G642">
        <v>98.79</v>
      </c>
      <c r="H642">
        <v>3</v>
      </c>
      <c r="I642">
        <v>14.8185</v>
      </c>
      <c r="J642">
        <v>311.18849999999998</v>
      </c>
      <c r="K642" t="s">
        <v>149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 s="3">
        <v>46118</v>
      </c>
    </row>
    <row r="643" spans="1:17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 s="3">
        <v>46207</v>
      </c>
    </row>
    <row r="644" spans="1:17">
      <c r="A644" t="s">
        <v>731</v>
      </c>
      <c r="B644" t="s">
        <v>34</v>
      </c>
      <c r="C644" t="s">
        <v>35</v>
      </c>
      <c r="D644" t="s">
        <v>20</v>
      </c>
      <c r="E644" t="s">
        <v>30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112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40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>
      <c r="A646" t="s">
        <v>733</v>
      </c>
      <c r="B646" t="s">
        <v>25</v>
      </c>
      <c r="C646" t="s">
        <v>26</v>
      </c>
      <c r="D646" t="s">
        <v>20</v>
      </c>
      <c r="E646" t="s">
        <v>30</v>
      </c>
      <c r="F646" t="s">
        <v>28</v>
      </c>
      <c r="G646" s="3">
        <v>46154</v>
      </c>
      <c r="H646">
        <v>5</v>
      </c>
      <c r="I646">
        <v>3.0125000000000002</v>
      </c>
      <c r="J646">
        <v>63.262500000000003</v>
      </c>
      <c r="K646" t="s">
        <v>212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 s="3">
        <v>46147</v>
      </c>
    </row>
    <row r="647" spans="1:17">
      <c r="A647" t="s">
        <v>734</v>
      </c>
      <c r="B647" t="s">
        <v>18</v>
      </c>
      <c r="C647" t="s">
        <v>19</v>
      </c>
      <c r="D647" t="s">
        <v>20</v>
      </c>
      <c r="E647" t="s">
        <v>30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t="s">
        <v>209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 s="3">
        <v>46211</v>
      </c>
    </row>
    <row r="648" spans="1:17">
      <c r="A648" t="s">
        <v>735</v>
      </c>
      <c r="B648" t="s">
        <v>25</v>
      </c>
      <c r="C648" t="s">
        <v>26</v>
      </c>
      <c r="D648" t="s">
        <v>27</v>
      </c>
      <c r="E648" t="s">
        <v>30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 s="3">
        <v>46119</v>
      </c>
    </row>
    <row r="649" spans="1:17">
      <c r="A649" t="s">
        <v>736</v>
      </c>
      <c r="B649" t="s">
        <v>34</v>
      </c>
      <c r="C649" t="s">
        <v>35</v>
      </c>
      <c r="D649" t="s">
        <v>20</v>
      </c>
      <c r="E649" t="s">
        <v>30</v>
      </c>
      <c r="F649" t="s">
        <v>43</v>
      </c>
      <c r="G649">
        <v>33.630000000000003</v>
      </c>
      <c r="H649">
        <v>1</v>
      </c>
      <c r="I649" s="4">
        <v>42005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 s="4">
        <v>42005</v>
      </c>
      <c r="Q649" s="3">
        <v>46178</v>
      </c>
    </row>
    <row r="650" spans="1:17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38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188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 s="3">
        <v>46087</v>
      </c>
    </row>
    <row r="651" spans="1:17">
      <c r="A651" t="s">
        <v>738</v>
      </c>
      <c r="B651" t="s">
        <v>25</v>
      </c>
      <c r="C651" t="s">
        <v>26</v>
      </c>
      <c r="D651" t="s">
        <v>27</v>
      </c>
      <c r="E651" t="s">
        <v>30</v>
      </c>
      <c r="F651" t="s">
        <v>28</v>
      </c>
      <c r="G651">
        <v>24.74</v>
      </c>
      <c r="H651">
        <v>10</v>
      </c>
      <c r="I651" s="4">
        <v>13850</v>
      </c>
      <c r="J651">
        <v>259.77</v>
      </c>
      <c r="K651" t="s">
        <v>47</v>
      </c>
      <c r="L651" s="2">
        <v>0.6972222222222223</v>
      </c>
      <c r="M651" t="s">
        <v>29</v>
      </c>
      <c r="N651">
        <v>247.4</v>
      </c>
      <c r="O651">
        <v>4.7619047620000003</v>
      </c>
      <c r="P651" s="4">
        <v>13850</v>
      </c>
      <c r="Q651" s="3">
        <v>46029</v>
      </c>
    </row>
    <row r="652" spans="1:17">
      <c r="A652" t="s">
        <v>739</v>
      </c>
      <c r="B652" t="s">
        <v>34</v>
      </c>
      <c r="C652" t="s">
        <v>35</v>
      </c>
      <c r="D652" t="s">
        <v>27</v>
      </c>
      <c r="E652" t="s">
        <v>30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58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 s="3">
        <v>46241</v>
      </c>
    </row>
    <row r="653" spans="1:17">
      <c r="A653" t="s">
        <v>740</v>
      </c>
      <c r="B653" t="s">
        <v>34</v>
      </c>
      <c r="C653" t="s">
        <v>35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136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 s="3">
        <v>46274</v>
      </c>
    </row>
    <row r="654" spans="1:17">
      <c r="A654" t="s">
        <v>741</v>
      </c>
      <c r="B654" t="s">
        <v>18</v>
      </c>
      <c r="C654" t="s">
        <v>19</v>
      </c>
      <c r="D654" t="s">
        <v>20</v>
      </c>
      <c r="E654" t="s">
        <v>30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 s="3">
        <v>46088</v>
      </c>
    </row>
    <row r="655" spans="1:17">
      <c r="A655" t="s">
        <v>742</v>
      </c>
      <c r="B655" t="s">
        <v>34</v>
      </c>
      <c r="C655" t="s">
        <v>35</v>
      </c>
      <c r="D655" t="s">
        <v>20</v>
      </c>
      <c r="E655" t="s">
        <v>30</v>
      </c>
      <c r="F655" t="s">
        <v>38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 s="3">
        <v>46027</v>
      </c>
    </row>
    <row r="656" spans="1:17">
      <c r="A656" t="s">
        <v>743</v>
      </c>
      <c r="B656" t="s">
        <v>34</v>
      </c>
      <c r="C656" t="s">
        <v>35</v>
      </c>
      <c r="D656" t="s">
        <v>20</v>
      </c>
      <c r="E656" t="s">
        <v>30</v>
      </c>
      <c r="F656" t="s">
        <v>43</v>
      </c>
      <c r="G656">
        <v>60.18</v>
      </c>
      <c r="H656">
        <v>4</v>
      </c>
      <c r="I656">
        <v>12.036</v>
      </c>
      <c r="J656">
        <v>252.756</v>
      </c>
      <c r="K656" t="s">
        <v>212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 s="3">
        <v>46121</v>
      </c>
    </row>
    <row r="657" spans="1:17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 s="4">
        <v>12816</v>
      </c>
      <c r="J657">
        <v>49.423499999999997</v>
      </c>
      <c r="K657" t="s">
        <v>354</v>
      </c>
      <c r="L657" s="2">
        <v>0.59236111111111112</v>
      </c>
      <c r="M657" t="s">
        <v>33</v>
      </c>
      <c r="N657">
        <v>47.07</v>
      </c>
      <c r="O657">
        <v>4.7619047620000003</v>
      </c>
      <c r="P657" s="4">
        <v>12816</v>
      </c>
      <c r="Q657" s="3">
        <v>46239</v>
      </c>
    </row>
    <row r="658" spans="1:17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 s="4">
        <v>16528</v>
      </c>
      <c r="J658">
        <v>104.67449999999999</v>
      </c>
      <c r="K658" t="s">
        <v>99</v>
      </c>
      <c r="L658" s="2">
        <v>0.43263888888888885</v>
      </c>
      <c r="M658" t="s">
        <v>33</v>
      </c>
      <c r="N658">
        <v>99.69</v>
      </c>
      <c r="O658">
        <v>4.7619047620000003</v>
      </c>
      <c r="P658" s="4">
        <v>16528</v>
      </c>
      <c r="Q658">
        <v>8</v>
      </c>
    </row>
    <row r="659" spans="1:17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43</v>
      </c>
      <c r="G659">
        <v>88.15</v>
      </c>
      <c r="H659">
        <v>3</v>
      </c>
      <c r="I659">
        <v>13.2225</v>
      </c>
      <c r="J659">
        <v>277.67250000000001</v>
      </c>
      <c r="K659" t="s">
        <v>209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 s="3">
        <v>46272</v>
      </c>
    </row>
    <row r="660" spans="1:17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38</v>
      </c>
      <c r="G660">
        <v>27.93</v>
      </c>
      <c r="H660">
        <v>5</v>
      </c>
      <c r="I660" s="4">
        <v>45809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 s="4">
        <v>45809</v>
      </c>
      <c r="Q660" s="3">
        <v>46270</v>
      </c>
    </row>
    <row r="661" spans="1:17">
      <c r="A661" t="s">
        <v>748</v>
      </c>
      <c r="B661" t="s">
        <v>18</v>
      </c>
      <c r="C661" t="s">
        <v>19</v>
      </c>
      <c r="D661" t="s">
        <v>20</v>
      </c>
      <c r="E661" t="s">
        <v>30</v>
      </c>
      <c r="F661" t="s">
        <v>43</v>
      </c>
      <c r="G661">
        <v>55.45</v>
      </c>
      <c r="H661">
        <v>1</v>
      </c>
      <c r="I661" s="4">
        <v>45689</v>
      </c>
      <c r="J661">
        <v>58.222499999999997</v>
      </c>
      <c r="K661" t="s">
        <v>314</v>
      </c>
      <c r="L661" s="2">
        <v>0.7402777777777777</v>
      </c>
      <c r="M661" t="s">
        <v>33</v>
      </c>
      <c r="N661">
        <v>55.45</v>
      </c>
      <c r="O661">
        <v>4.7619047620000003</v>
      </c>
      <c r="P661" s="4">
        <v>45689</v>
      </c>
      <c r="Q661" s="3">
        <v>46269</v>
      </c>
    </row>
    <row r="662" spans="1:17">
      <c r="A662" t="s">
        <v>749</v>
      </c>
      <c r="B662" t="s">
        <v>34</v>
      </c>
      <c r="C662" t="s">
        <v>35</v>
      </c>
      <c r="D662" t="s">
        <v>27</v>
      </c>
      <c r="E662" t="s">
        <v>21</v>
      </c>
      <c r="F662" t="s">
        <v>38</v>
      </c>
      <c r="G662">
        <v>42.97</v>
      </c>
      <c r="H662">
        <v>3</v>
      </c>
      <c r="I662" s="4">
        <v>20241</v>
      </c>
      <c r="J662">
        <v>135.35550000000001</v>
      </c>
      <c r="K662" s="1">
        <v>43526</v>
      </c>
      <c r="L662" s="2">
        <v>0.49027777777777781</v>
      </c>
      <c r="M662" t="s">
        <v>29</v>
      </c>
      <c r="N662">
        <v>128.91</v>
      </c>
      <c r="O662">
        <v>4.7619047620000003</v>
      </c>
      <c r="P662" s="4">
        <v>20241</v>
      </c>
      <c r="Q662" s="3">
        <v>46090</v>
      </c>
    </row>
    <row r="663" spans="1:17">
      <c r="A663" t="s">
        <v>750</v>
      </c>
      <c r="B663" t="s">
        <v>25</v>
      </c>
      <c r="C663" t="s">
        <v>26</v>
      </c>
      <c r="D663" t="s">
        <v>20</v>
      </c>
      <c r="E663" t="s">
        <v>30</v>
      </c>
      <c r="F663" t="s">
        <v>38</v>
      </c>
      <c r="G663">
        <v>17.14</v>
      </c>
      <c r="H663">
        <v>7</v>
      </c>
      <c r="I663">
        <v>5.9989999999999997</v>
      </c>
      <c r="J663">
        <v>125.979</v>
      </c>
      <c r="K663" t="s">
        <v>188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 s="3">
        <v>46272</v>
      </c>
    </row>
    <row r="664" spans="1:17">
      <c r="A664" t="s">
        <v>751</v>
      </c>
      <c r="B664" t="s">
        <v>34</v>
      </c>
      <c r="C664" t="s">
        <v>35</v>
      </c>
      <c r="D664" t="s">
        <v>20</v>
      </c>
      <c r="E664" t="s">
        <v>21</v>
      </c>
      <c r="F664" t="s">
        <v>43</v>
      </c>
      <c r="G664">
        <v>58.75</v>
      </c>
      <c r="H664">
        <v>6</v>
      </c>
      <c r="I664">
        <v>17.625</v>
      </c>
      <c r="J664">
        <v>370.125</v>
      </c>
      <c r="K664" t="s">
        <v>177</v>
      </c>
      <c r="L664" s="2">
        <v>0.7597222222222223</v>
      </c>
      <c r="M664" t="s">
        <v>33</v>
      </c>
      <c r="N664">
        <v>352.5</v>
      </c>
      <c r="O664">
        <v>4.7619047620000003</v>
      </c>
      <c r="P664">
        <v>17.625</v>
      </c>
      <c r="Q664" s="3">
        <v>46270</v>
      </c>
    </row>
    <row r="665" spans="1:17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40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 s="3">
        <v>46274</v>
      </c>
    </row>
    <row r="666" spans="1:17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38</v>
      </c>
      <c r="G666">
        <v>98.8</v>
      </c>
      <c r="H666">
        <v>2</v>
      </c>
      <c r="I666" s="4">
        <v>32387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 s="4">
        <v>32387</v>
      </c>
      <c r="Q666" s="3">
        <v>46210</v>
      </c>
    </row>
    <row r="667" spans="1:17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43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 s="3">
        <v>46180</v>
      </c>
    </row>
    <row r="668" spans="1:17">
      <c r="A668" t="s">
        <v>755</v>
      </c>
      <c r="B668" t="s">
        <v>34</v>
      </c>
      <c r="C668" t="s">
        <v>35</v>
      </c>
      <c r="D668" t="s">
        <v>20</v>
      </c>
      <c r="E668" t="s">
        <v>30</v>
      </c>
      <c r="F668" t="s">
        <v>40</v>
      </c>
      <c r="G668">
        <v>57.74</v>
      </c>
      <c r="H668">
        <v>3</v>
      </c>
      <c r="I668">
        <v>8.6609999999999996</v>
      </c>
      <c r="J668">
        <v>181.881</v>
      </c>
      <c r="K668" t="s">
        <v>50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 s="3">
        <v>46210</v>
      </c>
    </row>
    <row r="669" spans="1:17">
      <c r="A669" t="s">
        <v>756</v>
      </c>
      <c r="B669" t="s">
        <v>34</v>
      </c>
      <c r="C669" t="s">
        <v>35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 s="3">
        <v>46118</v>
      </c>
    </row>
    <row r="670" spans="1:17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 s="3">
        <v>46116</v>
      </c>
    </row>
    <row r="671" spans="1:17">
      <c r="A671" t="s">
        <v>758</v>
      </c>
      <c r="B671" t="s">
        <v>34</v>
      </c>
      <c r="C671" t="s">
        <v>35</v>
      </c>
      <c r="D671" t="s">
        <v>27</v>
      </c>
      <c r="E671" t="s">
        <v>21</v>
      </c>
      <c r="F671" t="s">
        <v>38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91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 s="3">
        <v>46026</v>
      </c>
    </row>
    <row r="672" spans="1:17">
      <c r="A672" t="s">
        <v>759</v>
      </c>
      <c r="B672" t="s">
        <v>18</v>
      </c>
      <c r="C672" t="s">
        <v>19</v>
      </c>
      <c r="D672" t="s">
        <v>20</v>
      </c>
      <c r="E672" t="s">
        <v>30</v>
      </c>
      <c r="F672" t="s">
        <v>43</v>
      </c>
      <c r="G672">
        <v>56.04</v>
      </c>
      <c r="H672">
        <v>10</v>
      </c>
      <c r="I672" s="3">
        <v>46081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 s="3">
        <v>46081</v>
      </c>
      <c r="Q672" s="3">
        <v>46116</v>
      </c>
    </row>
    <row r="673" spans="1:17">
      <c r="A673" t="s">
        <v>760</v>
      </c>
      <c r="B673" t="s">
        <v>34</v>
      </c>
      <c r="C673" t="s">
        <v>35</v>
      </c>
      <c r="D673" t="s">
        <v>20</v>
      </c>
      <c r="E673" t="s">
        <v>30</v>
      </c>
      <c r="F673" t="s">
        <v>40</v>
      </c>
      <c r="G673">
        <v>93.4</v>
      </c>
      <c r="H673">
        <v>2</v>
      </c>
      <c r="I673" s="4">
        <v>12663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 s="4">
        <v>12663</v>
      </c>
      <c r="Q673" s="3">
        <v>46147</v>
      </c>
    </row>
    <row r="674" spans="1:17">
      <c r="A674" t="s">
        <v>761</v>
      </c>
      <c r="B674" t="s">
        <v>34</v>
      </c>
      <c r="C674" t="s">
        <v>35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>
      <c r="A675" t="s">
        <v>762</v>
      </c>
      <c r="B675" t="s">
        <v>25</v>
      </c>
      <c r="C675" t="s">
        <v>26</v>
      </c>
      <c r="D675" t="s">
        <v>27</v>
      </c>
      <c r="E675" t="s">
        <v>30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118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 s="3">
        <v>46090</v>
      </c>
    </row>
    <row r="676" spans="1:17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 s="3">
        <v>46238</v>
      </c>
    </row>
    <row r="677" spans="1:17">
      <c r="A677" t="s">
        <v>764</v>
      </c>
      <c r="B677" t="s">
        <v>34</v>
      </c>
      <c r="C677" t="s">
        <v>35</v>
      </c>
      <c r="D677" t="s">
        <v>20</v>
      </c>
      <c r="E677" t="s">
        <v>30</v>
      </c>
      <c r="F677" t="s">
        <v>43</v>
      </c>
      <c r="G677">
        <v>83.77</v>
      </c>
      <c r="H677">
        <v>2</v>
      </c>
      <c r="I677">
        <v>8.3770000000000007</v>
      </c>
      <c r="J677">
        <v>175.917</v>
      </c>
      <c r="K677" t="s">
        <v>47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 s="3">
        <v>46177</v>
      </c>
    </row>
    <row r="678" spans="1:17">
      <c r="A678" t="s">
        <v>765</v>
      </c>
      <c r="B678" t="s">
        <v>34</v>
      </c>
      <c r="C678" t="s">
        <v>35</v>
      </c>
      <c r="D678" t="s">
        <v>20</v>
      </c>
      <c r="E678" t="s">
        <v>21</v>
      </c>
      <c r="F678" t="s">
        <v>38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 s="3">
        <v>46088</v>
      </c>
    </row>
    <row r="679" spans="1:17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40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>
      <c r="A680" t="s">
        <v>767</v>
      </c>
      <c r="B680" t="s">
        <v>25</v>
      </c>
      <c r="C680" t="s">
        <v>26</v>
      </c>
      <c r="D680" t="s">
        <v>27</v>
      </c>
      <c r="E680" t="s">
        <v>30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 s="3">
        <v>46030</v>
      </c>
    </row>
    <row r="681" spans="1:17">
      <c r="A681" t="s">
        <v>768</v>
      </c>
      <c r="B681" t="s">
        <v>18</v>
      </c>
      <c r="C681" t="s">
        <v>19</v>
      </c>
      <c r="D681" t="s">
        <v>20</v>
      </c>
      <c r="E681" t="s">
        <v>30</v>
      </c>
      <c r="F681" t="s">
        <v>40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 s="3">
        <v>46121</v>
      </c>
    </row>
    <row r="682" spans="1:17">
      <c r="A682" t="s">
        <v>769</v>
      </c>
      <c r="B682" t="s">
        <v>34</v>
      </c>
      <c r="C682" t="s">
        <v>35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 s="3">
        <v>46148</v>
      </c>
    </row>
    <row r="683" spans="1:17">
      <c r="A683" t="s">
        <v>770</v>
      </c>
      <c r="B683" t="s">
        <v>34</v>
      </c>
      <c r="C683" t="s">
        <v>35</v>
      </c>
      <c r="D683" t="s">
        <v>27</v>
      </c>
      <c r="E683" t="s">
        <v>21</v>
      </c>
      <c r="F683" t="s">
        <v>38</v>
      </c>
      <c r="G683">
        <v>34.81</v>
      </c>
      <c r="H683">
        <v>1</v>
      </c>
      <c r="I683" s="4">
        <v>38353</v>
      </c>
      <c r="J683">
        <v>36.5505</v>
      </c>
      <c r="K683" t="s">
        <v>283</v>
      </c>
      <c r="L683" s="2">
        <v>0.42430555555555555</v>
      </c>
      <c r="M683" t="s">
        <v>33</v>
      </c>
      <c r="N683">
        <v>34.81</v>
      </c>
      <c r="O683">
        <v>4.7619047620000003</v>
      </c>
      <c r="P683" s="4">
        <v>38353</v>
      </c>
      <c r="Q683">
        <v>7</v>
      </c>
    </row>
    <row r="684" spans="1:17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43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 s="3">
        <v>46029</v>
      </c>
    </row>
    <row r="685" spans="1:17">
      <c r="A685" t="s">
        <v>772</v>
      </c>
      <c r="B685" t="s">
        <v>18</v>
      </c>
      <c r="C685" t="s">
        <v>19</v>
      </c>
      <c r="D685" t="s">
        <v>20</v>
      </c>
      <c r="E685" t="s">
        <v>30</v>
      </c>
      <c r="F685" t="s">
        <v>43</v>
      </c>
      <c r="G685">
        <v>21.48</v>
      </c>
      <c r="H685">
        <v>2</v>
      </c>
      <c r="I685">
        <v>2.1480000000000001</v>
      </c>
      <c r="J685">
        <v>45.107999999999997</v>
      </c>
      <c r="K685" t="s">
        <v>99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 s="3">
        <v>46179</v>
      </c>
    </row>
    <row r="686" spans="1:17">
      <c r="A686" t="s">
        <v>773</v>
      </c>
      <c r="B686" t="s">
        <v>34</v>
      </c>
      <c r="C686" t="s">
        <v>35</v>
      </c>
      <c r="D686" t="s">
        <v>20</v>
      </c>
      <c r="E686" t="s">
        <v>21</v>
      </c>
      <c r="F686" t="s">
        <v>38</v>
      </c>
      <c r="G686" s="3">
        <v>46257</v>
      </c>
      <c r="H686">
        <v>6</v>
      </c>
      <c r="I686">
        <v>6.9240000000000004</v>
      </c>
      <c r="J686">
        <v>145.404</v>
      </c>
      <c r="K686" t="s">
        <v>129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 s="3">
        <v>46269</v>
      </c>
    </row>
    <row r="687" spans="1:17">
      <c r="A687" t="s">
        <v>774</v>
      </c>
      <c r="B687" t="s">
        <v>34</v>
      </c>
      <c r="C687" t="s">
        <v>35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 s="4">
        <v>33329</v>
      </c>
      <c r="J687">
        <v>103.11</v>
      </c>
      <c r="K687" s="1">
        <v>43678</v>
      </c>
      <c r="L687" s="2">
        <v>0.54027777777777775</v>
      </c>
      <c r="M687" t="s">
        <v>33</v>
      </c>
      <c r="N687">
        <v>98.2</v>
      </c>
      <c r="O687">
        <v>4.7619047620000003</v>
      </c>
      <c r="P687" s="4">
        <v>33329</v>
      </c>
      <c r="Q687" s="3">
        <v>46118</v>
      </c>
    </row>
    <row r="688" spans="1:17">
      <c r="A688" t="s">
        <v>775</v>
      </c>
      <c r="B688" t="s">
        <v>34</v>
      </c>
      <c r="C688" t="s">
        <v>35</v>
      </c>
      <c r="D688" t="s">
        <v>20</v>
      </c>
      <c r="E688" t="s">
        <v>21</v>
      </c>
      <c r="F688" t="s">
        <v>38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>
      <c r="A689" t="s">
        <v>776</v>
      </c>
      <c r="B689" t="s">
        <v>18</v>
      </c>
      <c r="C689" t="s">
        <v>19</v>
      </c>
      <c r="D689" t="s">
        <v>20</v>
      </c>
      <c r="E689" t="s">
        <v>30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t="s">
        <v>188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 s="3">
        <v>46085</v>
      </c>
    </row>
    <row r="690" spans="1:17">
      <c r="A690" t="s">
        <v>777</v>
      </c>
      <c r="B690" t="s">
        <v>25</v>
      </c>
      <c r="C690" t="s">
        <v>26</v>
      </c>
      <c r="D690" t="s">
        <v>20</v>
      </c>
      <c r="E690" t="s">
        <v>30</v>
      </c>
      <c r="F690" t="s">
        <v>38</v>
      </c>
      <c r="G690">
        <v>72.88</v>
      </c>
      <c r="H690">
        <v>2</v>
      </c>
      <c r="I690">
        <v>7.2880000000000003</v>
      </c>
      <c r="J690">
        <v>153.048</v>
      </c>
      <c r="K690" t="s">
        <v>125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 s="3">
        <v>46028</v>
      </c>
    </row>
    <row r="691" spans="1:17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40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118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 s="3">
        <v>46149</v>
      </c>
    </row>
    <row r="692" spans="1:17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38</v>
      </c>
      <c r="G692">
        <v>70.19</v>
      </c>
      <c r="H692">
        <v>9</v>
      </c>
      <c r="I692">
        <v>31.5855</v>
      </c>
      <c r="J692">
        <v>663.29549999999995</v>
      </c>
      <c r="K692" t="s">
        <v>76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 s="3">
        <v>46209</v>
      </c>
    </row>
    <row r="693" spans="1:17">
      <c r="A693" t="s">
        <v>780</v>
      </c>
      <c r="B693" t="s">
        <v>25</v>
      </c>
      <c r="C693" t="s">
        <v>26</v>
      </c>
      <c r="D693" t="s">
        <v>20</v>
      </c>
      <c r="E693" t="s">
        <v>30</v>
      </c>
      <c r="F693" t="s">
        <v>40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 s="3">
        <v>46058</v>
      </c>
    </row>
    <row r="694" spans="1:17">
      <c r="A694" t="s">
        <v>781</v>
      </c>
      <c r="B694" t="s">
        <v>18</v>
      </c>
      <c r="C694" t="s">
        <v>19</v>
      </c>
      <c r="D694" t="s">
        <v>20</v>
      </c>
      <c r="E694" t="s">
        <v>30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 s="3">
        <v>46242</v>
      </c>
    </row>
    <row r="695" spans="1:17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43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 s="3">
        <v>46151</v>
      </c>
    </row>
    <row r="696" spans="1:17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40</v>
      </c>
      <c r="G696">
        <v>52.6</v>
      </c>
      <c r="H696">
        <v>9</v>
      </c>
      <c r="I696">
        <v>23.67</v>
      </c>
      <c r="J696">
        <v>497.07</v>
      </c>
      <c r="K696" t="s">
        <v>188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 s="3">
        <v>46180</v>
      </c>
    </row>
    <row r="697" spans="1:17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 s="3">
        <v>46179</v>
      </c>
    </row>
    <row r="698" spans="1:17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38</v>
      </c>
      <c r="G698" s="3">
        <v>46139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 s="3">
        <v>46271</v>
      </c>
    </row>
    <row r="699" spans="1:17">
      <c r="A699" t="s">
        <v>786</v>
      </c>
      <c r="B699" t="s">
        <v>34</v>
      </c>
      <c r="C699" t="s">
        <v>35</v>
      </c>
      <c r="D699" t="s">
        <v>27</v>
      </c>
      <c r="E699" t="s">
        <v>30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 s="3">
        <v>46085</v>
      </c>
    </row>
    <row r="700" spans="1:17">
      <c r="A700" t="s">
        <v>787</v>
      </c>
      <c r="B700" t="s">
        <v>18</v>
      </c>
      <c r="C700" t="s">
        <v>19</v>
      </c>
      <c r="D700" t="s">
        <v>20</v>
      </c>
      <c r="E700" t="s">
        <v>30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 s="3">
        <v>46241</v>
      </c>
    </row>
    <row r="701" spans="1:17">
      <c r="A701" t="s">
        <v>788</v>
      </c>
      <c r="B701" t="s">
        <v>25</v>
      </c>
      <c r="C701" t="s">
        <v>26</v>
      </c>
      <c r="D701" t="s">
        <v>27</v>
      </c>
      <c r="E701" t="s">
        <v>30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43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 s="3">
        <v>46182</v>
      </c>
    </row>
    <row r="703" spans="1:17">
      <c r="A703" t="s">
        <v>790</v>
      </c>
      <c r="B703" t="s">
        <v>34</v>
      </c>
      <c r="C703" t="s">
        <v>35</v>
      </c>
      <c r="D703" t="s">
        <v>27</v>
      </c>
      <c r="E703" t="s">
        <v>30</v>
      </c>
      <c r="F703" t="s">
        <v>40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112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 s="3">
        <v>46085</v>
      </c>
    </row>
    <row r="704" spans="1:17">
      <c r="A704" t="s">
        <v>791</v>
      </c>
      <c r="B704" t="s">
        <v>34</v>
      </c>
      <c r="C704" t="s">
        <v>35</v>
      </c>
      <c r="D704" t="s">
        <v>20</v>
      </c>
      <c r="E704" t="s">
        <v>21</v>
      </c>
      <c r="F704" t="s">
        <v>43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99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>
      <c r="A705" t="s">
        <v>792</v>
      </c>
      <c r="B705" t="s">
        <v>34</v>
      </c>
      <c r="C705" t="s">
        <v>35</v>
      </c>
      <c r="D705" t="s">
        <v>20</v>
      </c>
      <c r="E705" t="s">
        <v>30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 s="3">
        <v>46062</v>
      </c>
    </row>
    <row r="706" spans="1:17">
      <c r="A706" t="s">
        <v>793</v>
      </c>
      <c r="B706" t="s">
        <v>34</v>
      </c>
      <c r="C706" t="s">
        <v>35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 s="3">
        <v>46087</v>
      </c>
    </row>
    <row r="707" spans="1:17">
      <c r="A707" t="s">
        <v>794</v>
      </c>
      <c r="B707" t="s">
        <v>34</v>
      </c>
      <c r="C707" t="s">
        <v>35</v>
      </c>
      <c r="D707" t="s">
        <v>27</v>
      </c>
      <c r="E707" t="s">
        <v>30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56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 s="3">
        <v>46273</v>
      </c>
    </row>
    <row r="708" spans="1:17">
      <c r="A708" t="s">
        <v>795</v>
      </c>
      <c r="B708" t="s">
        <v>34</v>
      </c>
      <c r="C708" t="s">
        <v>35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 s="3">
        <v>46181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 s="3">
        <v>46181</v>
      </c>
      <c r="Q708" s="3">
        <v>46180</v>
      </c>
    </row>
    <row r="709" spans="1:17">
      <c r="A709" t="s">
        <v>796</v>
      </c>
      <c r="B709" t="s">
        <v>25</v>
      </c>
      <c r="C709" t="s">
        <v>26</v>
      </c>
      <c r="D709" t="s">
        <v>20</v>
      </c>
      <c r="E709" t="s">
        <v>30</v>
      </c>
      <c r="F709" t="s">
        <v>40</v>
      </c>
      <c r="G709">
        <v>68.98</v>
      </c>
      <c r="H709">
        <v>1</v>
      </c>
      <c r="I709">
        <v>3.4489999999999998</v>
      </c>
      <c r="J709">
        <v>72.429000000000002</v>
      </c>
      <c r="K709" t="s">
        <v>62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 s="3">
        <v>46238</v>
      </c>
    </row>
    <row r="710" spans="1:17">
      <c r="A710" t="s">
        <v>797</v>
      </c>
      <c r="B710" t="s">
        <v>25</v>
      </c>
      <c r="C710" t="s">
        <v>26</v>
      </c>
      <c r="D710" t="s">
        <v>27</v>
      </c>
      <c r="E710" t="s">
        <v>30</v>
      </c>
      <c r="F710" t="s">
        <v>43</v>
      </c>
      <c r="G710">
        <v>15.62</v>
      </c>
      <c r="H710">
        <v>8</v>
      </c>
      <c r="I710">
        <v>6.2480000000000002</v>
      </c>
      <c r="J710">
        <v>131.208</v>
      </c>
      <c r="K710" t="s">
        <v>115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 s="3">
        <v>46031</v>
      </c>
    </row>
    <row r="711" spans="1:17">
      <c r="A711" t="s">
        <v>798</v>
      </c>
      <c r="B711" t="s">
        <v>18</v>
      </c>
      <c r="C711" t="s">
        <v>19</v>
      </c>
      <c r="D711" t="s">
        <v>27</v>
      </c>
      <c r="E711" t="s">
        <v>30</v>
      </c>
      <c r="F711" t="s">
        <v>38</v>
      </c>
      <c r="G711" s="3">
        <v>46228</v>
      </c>
      <c r="H711">
        <v>3</v>
      </c>
      <c r="I711">
        <v>3.855</v>
      </c>
      <c r="J711">
        <v>80.954999999999998</v>
      </c>
      <c r="K711" t="s">
        <v>91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 s="3">
        <v>46028</v>
      </c>
    </row>
    <row r="712" spans="1:17">
      <c r="A712" t="s">
        <v>799</v>
      </c>
      <c r="B712" t="s">
        <v>18</v>
      </c>
      <c r="C712" t="s">
        <v>19</v>
      </c>
      <c r="D712" t="s">
        <v>20</v>
      </c>
      <c r="E712" t="s">
        <v>30</v>
      </c>
      <c r="F712" t="s">
        <v>40</v>
      </c>
      <c r="G712">
        <v>80.62</v>
      </c>
      <c r="H712">
        <v>6</v>
      </c>
      <c r="I712">
        <v>24.186</v>
      </c>
      <c r="J712">
        <v>507.90600000000001</v>
      </c>
      <c r="K712" t="s">
        <v>110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 s="3">
        <v>46031</v>
      </c>
    </row>
    <row r="713" spans="1:17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t="s">
        <v>103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 s="3">
        <v>46089</v>
      </c>
    </row>
    <row r="714" spans="1:17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 s="3">
        <v>46060</v>
      </c>
    </row>
    <row r="715" spans="1:17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 s="4">
        <v>45809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 s="4">
        <v>45809</v>
      </c>
      <c r="Q715">
        <v>6</v>
      </c>
    </row>
    <row r="716" spans="1:17">
      <c r="A716" t="s">
        <v>803</v>
      </c>
      <c r="B716" t="s">
        <v>25</v>
      </c>
      <c r="C716" t="s">
        <v>26</v>
      </c>
      <c r="D716" t="s">
        <v>20</v>
      </c>
      <c r="E716" t="s">
        <v>30</v>
      </c>
      <c r="F716" t="s">
        <v>43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 s="3">
        <v>46150</v>
      </c>
    </row>
    <row r="717" spans="1:17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 s="4">
        <v>33817</v>
      </c>
      <c r="J717">
        <v>187.32</v>
      </c>
      <c r="K717" s="1">
        <v>43618</v>
      </c>
      <c r="L717" s="2">
        <v>0.7729166666666667</v>
      </c>
      <c r="M717" t="s">
        <v>33</v>
      </c>
      <c r="N717">
        <v>178.4</v>
      </c>
      <c r="O717">
        <v>4.7619047620000003</v>
      </c>
      <c r="P717" s="4">
        <v>33817</v>
      </c>
      <c r="Q717" s="3">
        <v>46179</v>
      </c>
    </row>
    <row r="718" spans="1:17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43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171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 s="3">
        <v>46146</v>
      </c>
    </row>
    <row r="719" spans="1:17">
      <c r="A719" t="s">
        <v>806</v>
      </c>
      <c r="B719" t="s">
        <v>18</v>
      </c>
      <c r="C719" t="s">
        <v>19</v>
      </c>
      <c r="D719" t="s">
        <v>20</v>
      </c>
      <c r="E719" t="s">
        <v>30</v>
      </c>
      <c r="F719" t="s">
        <v>28</v>
      </c>
      <c r="G719" s="4">
        <v>34639</v>
      </c>
      <c r="H719">
        <v>3</v>
      </c>
      <c r="I719">
        <v>1.7909999999999999</v>
      </c>
      <c r="J719">
        <v>37.610999999999997</v>
      </c>
      <c r="K719" t="s">
        <v>183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 s="3">
        <v>46030</v>
      </c>
    </row>
    <row r="720" spans="1:17">
      <c r="A720" t="s">
        <v>807</v>
      </c>
      <c r="B720" t="s">
        <v>18</v>
      </c>
      <c r="C720" t="s">
        <v>19</v>
      </c>
      <c r="D720" t="s">
        <v>27</v>
      </c>
      <c r="E720" t="s">
        <v>30</v>
      </c>
      <c r="F720" t="s">
        <v>43</v>
      </c>
      <c r="G720">
        <v>45.38</v>
      </c>
      <c r="H720">
        <v>3</v>
      </c>
      <c r="I720">
        <v>6.8070000000000004</v>
      </c>
      <c r="J720">
        <v>142.947</v>
      </c>
      <c r="K720" t="s">
        <v>69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 s="3">
        <v>46060</v>
      </c>
    </row>
    <row r="721" spans="1:17">
      <c r="A721" t="s">
        <v>808</v>
      </c>
      <c r="B721" t="s">
        <v>34</v>
      </c>
      <c r="C721" t="s">
        <v>35</v>
      </c>
      <c r="D721" t="s">
        <v>20</v>
      </c>
      <c r="E721" t="s">
        <v>21</v>
      </c>
      <c r="F721" t="s">
        <v>43</v>
      </c>
      <c r="G721">
        <v>17.48</v>
      </c>
      <c r="H721">
        <v>6</v>
      </c>
      <c r="I721">
        <v>5.2439999999999998</v>
      </c>
      <c r="J721">
        <v>110.124</v>
      </c>
      <c r="K721" t="s">
        <v>209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 s="3">
        <v>46028</v>
      </c>
    </row>
    <row r="722" spans="1:17">
      <c r="A722" t="s">
        <v>809</v>
      </c>
      <c r="B722" t="s">
        <v>34</v>
      </c>
      <c r="C722" t="s">
        <v>35</v>
      </c>
      <c r="D722" t="s">
        <v>27</v>
      </c>
      <c r="E722" t="s">
        <v>21</v>
      </c>
      <c r="F722" t="s">
        <v>43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 s="3">
        <v>46029</v>
      </c>
    </row>
    <row r="723" spans="1:17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38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209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 s="3">
        <v>46027</v>
      </c>
    </row>
    <row r="724" spans="1:17">
      <c r="A724" t="s">
        <v>811</v>
      </c>
      <c r="B724" t="s">
        <v>34</v>
      </c>
      <c r="C724" t="s">
        <v>35</v>
      </c>
      <c r="D724" t="s">
        <v>27</v>
      </c>
      <c r="E724" t="s">
        <v>30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 s="3">
        <v>46272</v>
      </c>
    </row>
    <row r="725" spans="1:17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40</v>
      </c>
      <c r="G725">
        <v>36.770000000000003</v>
      </c>
      <c r="H725">
        <v>7</v>
      </c>
      <c r="I725" s="4">
        <v>35034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 s="4">
        <v>35034</v>
      </c>
      <c r="Q725" s="3">
        <v>46119</v>
      </c>
    </row>
    <row r="726" spans="1:17">
      <c r="A726" t="s">
        <v>813</v>
      </c>
      <c r="B726" t="s">
        <v>34</v>
      </c>
      <c r="C726" t="s">
        <v>35</v>
      </c>
      <c r="D726" t="s">
        <v>20</v>
      </c>
      <c r="E726" t="s">
        <v>30</v>
      </c>
      <c r="F726" t="s">
        <v>40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 s="3">
        <v>46119</v>
      </c>
    </row>
    <row r="727" spans="1:17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 s="3">
        <v>46170</v>
      </c>
      <c r="H727">
        <v>8</v>
      </c>
      <c r="I727" s="3">
        <v>46123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 s="3">
        <v>46123</v>
      </c>
      <c r="Q727" s="3">
        <v>46179</v>
      </c>
    </row>
    <row r="728" spans="1:17">
      <c r="A728" t="s">
        <v>815</v>
      </c>
      <c r="B728" t="s">
        <v>25</v>
      </c>
      <c r="C728" t="s">
        <v>26</v>
      </c>
      <c r="D728" t="s">
        <v>20</v>
      </c>
      <c r="E728" t="s">
        <v>30</v>
      </c>
      <c r="F728" t="s">
        <v>32</v>
      </c>
      <c r="G728">
        <v>55.57</v>
      </c>
      <c r="H728">
        <v>3</v>
      </c>
      <c r="I728" s="4">
        <v>20302</v>
      </c>
      <c r="J728">
        <v>175.0455</v>
      </c>
      <c r="K728" s="1">
        <v>43678</v>
      </c>
      <c r="L728" s="2">
        <v>0.48749999999999999</v>
      </c>
      <c r="M728" t="s">
        <v>33</v>
      </c>
      <c r="N728">
        <v>166.71</v>
      </c>
      <c r="O728">
        <v>4.7619047620000003</v>
      </c>
      <c r="P728" s="4">
        <v>20302</v>
      </c>
      <c r="Q728" s="3">
        <v>46270</v>
      </c>
    </row>
    <row r="729" spans="1:17">
      <c r="A729" t="s">
        <v>816</v>
      </c>
      <c r="B729" t="s">
        <v>34</v>
      </c>
      <c r="C729" t="s">
        <v>35</v>
      </c>
      <c r="D729" t="s">
        <v>27</v>
      </c>
      <c r="E729" t="s">
        <v>30</v>
      </c>
      <c r="F729" t="s">
        <v>38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 s="3">
        <v>46273</v>
      </c>
    </row>
    <row r="730" spans="1:17">
      <c r="A730" t="s">
        <v>817</v>
      </c>
      <c r="B730" t="s">
        <v>25</v>
      </c>
      <c r="C730" t="s">
        <v>26</v>
      </c>
      <c r="D730" t="s">
        <v>27</v>
      </c>
      <c r="E730" t="s">
        <v>30</v>
      </c>
      <c r="F730" t="s">
        <v>43</v>
      </c>
      <c r="G730">
        <v>97.26</v>
      </c>
      <c r="H730">
        <v>4</v>
      </c>
      <c r="I730">
        <v>19.452000000000002</v>
      </c>
      <c r="J730">
        <v>408.49200000000002</v>
      </c>
      <c r="K730" t="s">
        <v>96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 s="3">
        <v>46240</v>
      </c>
    </row>
    <row r="731" spans="1:17">
      <c r="A731" t="s">
        <v>818</v>
      </c>
      <c r="B731" t="s">
        <v>34</v>
      </c>
      <c r="C731" t="s">
        <v>35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 s="3">
        <v>46090</v>
      </c>
    </row>
    <row r="732" spans="1:17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43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 s="3">
        <v>46116</v>
      </c>
    </row>
    <row r="733" spans="1:17">
      <c r="A733" t="s">
        <v>820</v>
      </c>
      <c r="B733" t="s">
        <v>18</v>
      </c>
      <c r="C733" t="s">
        <v>19</v>
      </c>
      <c r="D733" t="s">
        <v>27</v>
      </c>
      <c r="E733" t="s">
        <v>30</v>
      </c>
      <c r="F733" t="s">
        <v>22</v>
      </c>
      <c r="G733">
        <v>56</v>
      </c>
      <c r="H733">
        <v>3</v>
      </c>
      <c r="I733" s="3">
        <v>46120</v>
      </c>
      <c r="J733">
        <v>176.4</v>
      </c>
      <c r="K733" t="s">
        <v>110</v>
      </c>
      <c r="L733" s="2">
        <v>0.81458333333333333</v>
      </c>
      <c r="M733" t="s">
        <v>23</v>
      </c>
      <c r="N733">
        <v>168</v>
      </c>
      <c r="O733">
        <v>4.7619047620000003</v>
      </c>
      <c r="P733" s="3">
        <v>46120</v>
      </c>
      <c r="Q733" s="3">
        <v>46238</v>
      </c>
    </row>
    <row r="734" spans="1:17">
      <c r="A734" t="s">
        <v>821</v>
      </c>
      <c r="B734" t="s">
        <v>18</v>
      </c>
      <c r="C734" t="s">
        <v>19</v>
      </c>
      <c r="D734" t="s">
        <v>20</v>
      </c>
      <c r="E734" t="s">
        <v>30</v>
      </c>
      <c r="F734" t="s">
        <v>43</v>
      </c>
      <c r="G734" s="3">
        <v>46222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 s="3">
        <v>46222</v>
      </c>
      <c r="O734">
        <v>4.7619047620000003</v>
      </c>
      <c r="P734">
        <v>0.98499999999999999</v>
      </c>
      <c r="Q734" s="3">
        <v>46151</v>
      </c>
    </row>
    <row r="735" spans="1:17">
      <c r="A735" t="s">
        <v>822</v>
      </c>
      <c r="B735" t="s">
        <v>34</v>
      </c>
      <c r="C735" t="s">
        <v>35</v>
      </c>
      <c r="D735" t="s">
        <v>27</v>
      </c>
      <c r="E735" t="s">
        <v>30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 s="3">
        <v>46273</v>
      </c>
    </row>
    <row r="736" spans="1:17">
      <c r="A736" t="s">
        <v>823</v>
      </c>
      <c r="B736" t="s">
        <v>34</v>
      </c>
      <c r="C736" t="s">
        <v>35</v>
      </c>
      <c r="D736" t="s">
        <v>20</v>
      </c>
      <c r="E736" t="s">
        <v>30</v>
      </c>
      <c r="F736" t="s">
        <v>40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 s="3">
        <v>46118</v>
      </c>
    </row>
    <row r="737" spans="1:17">
      <c r="A737" t="s">
        <v>824</v>
      </c>
      <c r="B737" t="s">
        <v>25</v>
      </c>
      <c r="C737" t="s">
        <v>26</v>
      </c>
      <c r="D737" t="s">
        <v>20</v>
      </c>
      <c r="E737" t="s">
        <v>30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t="s">
        <v>88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 s="3">
        <v>46030</v>
      </c>
    </row>
    <row r="739" spans="1:17">
      <c r="A739" t="s">
        <v>826</v>
      </c>
      <c r="B739" t="s">
        <v>25</v>
      </c>
      <c r="C739" t="s">
        <v>26</v>
      </c>
      <c r="D739" t="s">
        <v>27</v>
      </c>
      <c r="E739" t="s">
        <v>30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>
      <c r="A740" t="s">
        <v>827</v>
      </c>
      <c r="B740" t="s">
        <v>34</v>
      </c>
      <c r="C740" t="s">
        <v>35</v>
      </c>
      <c r="D740" t="s">
        <v>20</v>
      </c>
      <c r="E740" t="s">
        <v>30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>
      <c r="A741" t="s">
        <v>828</v>
      </c>
      <c r="B741" t="s">
        <v>18</v>
      </c>
      <c r="C741" t="s">
        <v>19</v>
      </c>
      <c r="D741" t="s">
        <v>27</v>
      </c>
      <c r="E741" t="s">
        <v>30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 s="3">
        <v>46243</v>
      </c>
    </row>
    <row r="742" spans="1:17">
      <c r="A742" t="s">
        <v>829</v>
      </c>
      <c r="B742" t="s">
        <v>25</v>
      </c>
      <c r="C742" t="s">
        <v>26</v>
      </c>
      <c r="D742" t="s">
        <v>27</v>
      </c>
      <c r="E742" t="s">
        <v>30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t="s">
        <v>88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 s="3">
        <v>46150</v>
      </c>
    </row>
    <row r="743" spans="1:17">
      <c r="A743" t="s">
        <v>830</v>
      </c>
      <c r="B743" t="s">
        <v>25</v>
      </c>
      <c r="C743" t="s">
        <v>26</v>
      </c>
      <c r="D743" t="s">
        <v>27</v>
      </c>
      <c r="E743" t="s">
        <v>30</v>
      </c>
      <c r="F743" t="s">
        <v>40</v>
      </c>
      <c r="G743">
        <v>84.83</v>
      </c>
      <c r="H743">
        <v>1</v>
      </c>
      <c r="I743" s="4">
        <v>42095</v>
      </c>
      <c r="J743">
        <v>89.0715</v>
      </c>
      <c r="K743" t="s">
        <v>283</v>
      </c>
      <c r="L743" s="2">
        <v>0.63888888888888895</v>
      </c>
      <c r="M743" t="s">
        <v>23</v>
      </c>
      <c r="N743">
        <v>84.83</v>
      </c>
      <c r="O743">
        <v>4.7619047620000003</v>
      </c>
      <c r="P743" s="4">
        <v>42095</v>
      </c>
      <c r="Q743" s="3">
        <v>46242</v>
      </c>
    </row>
    <row r="744" spans="1:17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38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 s="3">
        <v>46242</v>
      </c>
    </row>
    <row r="745" spans="1:17">
      <c r="A745" t="s">
        <v>832</v>
      </c>
      <c r="B745" t="s">
        <v>18</v>
      </c>
      <c r="C745" t="s">
        <v>19</v>
      </c>
      <c r="D745" t="s">
        <v>20</v>
      </c>
      <c r="E745" t="s">
        <v>30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t="s">
        <v>50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 s="3">
        <v>46151</v>
      </c>
    </row>
    <row r="746" spans="1:17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38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 s="3">
        <v>46178</v>
      </c>
    </row>
    <row r="747" spans="1:17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40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 s="3">
        <v>46181</v>
      </c>
    </row>
    <row r="748" spans="1:17">
      <c r="A748" t="s">
        <v>835</v>
      </c>
      <c r="B748" t="s">
        <v>34</v>
      </c>
      <c r="C748" t="s">
        <v>35</v>
      </c>
      <c r="D748" t="s">
        <v>20</v>
      </c>
      <c r="E748" t="s">
        <v>30</v>
      </c>
      <c r="F748" t="s">
        <v>43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0.79652777777777783</v>
      </c>
      <c r="M748" t="s">
        <v>33</v>
      </c>
      <c r="N748">
        <v>652.29999999999995</v>
      </c>
      <c r="O748">
        <v>4.7619047620000003</v>
      </c>
      <c r="P748">
        <v>32.615000000000002</v>
      </c>
      <c r="Q748" s="3">
        <v>46058</v>
      </c>
    </row>
    <row r="749" spans="1:17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 s="4">
        <v>19633</v>
      </c>
      <c r="H749">
        <v>5</v>
      </c>
      <c r="I749" s="4">
        <v>45689</v>
      </c>
      <c r="J749">
        <v>55.282499999999999</v>
      </c>
      <c r="K749" t="s">
        <v>241</v>
      </c>
      <c r="L749" s="2">
        <v>0.61319444444444449</v>
      </c>
      <c r="M749" t="s">
        <v>33</v>
      </c>
      <c r="N749">
        <v>52.65</v>
      </c>
      <c r="O749">
        <v>4.7619047620000003</v>
      </c>
      <c r="P749" s="4">
        <v>45689</v>
      </c>
      <c r="Q749" s="3">
        <v>46239</v>
      </c>
    </row>
    <row r="750" spans="1:17">
      <c r="A750" t="s">
        <v>837</v>
      </c>
      <c r="B750" t="s">
        <v>34</v>
      </c>
      <c r="C750" t="s">
        <v>35</v>
      </c>
      <c r="D750" t="s">
        <v>20</v>
      </c>
      <c r="E750" t="s">
        <v>21</v>
      </c>
      <c r="F750" t="s">
        <v>32</v>
      </c>
      <c r="G750" s="4">
        <v>47453</v>
      </c>
      <c r="H750">
        <v>9</v>
      </c>
      <c r="I750" s="4">
        <v>38473</v>
      </c>
      <c r="J750">
        <v>116.1405</v>
      </c>
      <c r="K750" t="s">
        <v>167</v>
      </c>
      <c r="L750" s="2">
        <v>0.81111111111111101</v>
      </c>
      <c r="M750" t="s">
        <v>33</v>
      </c>
      <c r="N750">
        <v>110.61</v>
      </c>
      <c r="O750">
        <v>4.7619047620000003</v>
      </c>
      <c r="P750" s="4">
        <v>38473</v>
      </c>
      <c r="Q750">
        <v>8</v>
      </c>
    </row>
    <row r="751" spans="1:17">
      <c r="A751" t="s">
        <v>838</v>
      </c>
      <c r="B751" t="s">
        <v>25</v>
      </c>
      <c r="C751" t="s">
        <v>26</v>
      </c>
      <c r="D751" t="s">
        <v>20</v>
      </c>
      <c r="E751" t="s">
        <v>30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58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>
      <c r="A752" t="s">
        <v>839</v>
      </c>
      <c r="B752" t="s">
        <v>34</v>
      </c>
      <c r="C752" t="s">
        <v>35</v>
      </c>
      <c r="D752" t="s">
        <v>20</v>
      </c>
      <c r="E752" t="s">
        <v>21</v>
      </c>
      <c r="F752" t="s">
        <v>43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 s="3">
        <v>46026</v>
      </c>
    </row>
    <row r="753" spans="1:17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40</v>
      </c>
      <c r="G753">
        <v>27.28</v>
      </c>
      <c r="H753">
        <v>5</v>
      </c>
      <c r="I753" s="4">
        <v>30103</v>
      </c>
      <c r="J753">
        <v>143.22</v>
      </c>
      <c r="K753" s="1">
        <v>43526</v>
      </c>
      <c r="L753" s="2">
        <v>0.4381944444444445</v>
      </c>
      <c r="M753" t="s">
        <v>33</v>
      </c>
      <c r="N753">
        <v>136.4</v>
      </c>
      <c r="O753">
        <v>4.7619047620000003</v>
      </c>
      <c r="P753" s="4">
        <v>30103</v>
      </c>
      <c r="Q753" s="3">
        <v>46181</v>
      </c>
    </row>
    <row r="754" spans="1:17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 s="4">
        <v>26146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 s="4">
        <v>26146</v>
      </c>
      <c r="Q754">
        <v>7</v>
      </c>
    </row>
    <row r="755" spans="1:17">
      <c r="A755" t="s">
        <v>842</v>
      </c>
      <c r="B755" t="s">
        <v>34</v>
      </c>
      <c r="C755" t="s">
        <v>35</v>
      </c>
      <c r="D755" t="s">
        <v>27</v>
      </c>
      <c r="E755" t="s">
        <v>30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t="s">
        <v>129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 s="3">
        <v>46120</v>
      </c>
    </row>
    <row r="756" spans="1:17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43</v>
      </c>
      <c r="G756">
        <v>84.87</v>
      </c>
      <c r="H756">
        <v>3</v>
      </c>
      <c r="I756" s="4">
        <v>38687</v>
      </c>
      <c r="J756">
        <v>267.34050000000002</v>
      </c>
      <c r="K756" t="s">
        <v>76</v>
      </c>
      <c r="L756" s="2">
        <v>0.77083333333333337</v>
      </c>
      <c r="M756" t="s">
        <v>23</v>
      </c>
      <c r="N756">
        <v>254.61</v>
      </c>
      <c r="O756">
        <v>4.7619047620000003</v>
      </c>
      <c r="P756" s="4">
        <v>38687</v>
      </c>
      <c r="Q756" s="3">
        <v>46119</v>
      </c>
    </row>
    <row r="757" spans="1:17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43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 s="3">
        <v>46059</v>
      </c>
    </row>
    <row r="758" spans="1:17">
      <c r="A758" t="s">
        <v>845</v>
      </c>
      <c r="B758" t="s">
        <v>34</v>
      </c>
      <c r="C758" t="s">
        <v>35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69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 s="3">
        <v>46269</v>
      </c>
    </row>
    <row r="759" spans="1:17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 s="3">
        <v>46146</v>
      </c>
    </row>
    <row r="760" spans="1:17">
      <c r="A760" t="s">
        <v>847</v>
      </c>
      <c r="B760" t="s">
        <v>18</v>
      </c>
      <c r="C760" t="s">
        <v>19</v>
      </c>
      <c r="D760" t="s">
        <v>20</v>
      </c>
      <c r="E760" t="s">
        <v>30</v>
      </c>
      <c r="F760" t="s">
        <v>40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99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 s="3">
        <v>46178</v>
      </c>
    </row>
    <row r="761" spans="1:17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40</v>
      </c>
      <c r="G761">
        <v>55.39</v>
      </c>
      <c r="H761">
        <v>4</v>
      </c>
      <c r="I761">
        <v>11.077999999999999</v>
      </c>
      <c r="J761">
        <v>232.63800000000001</v>
      </c>
      <c r="K761" t="s">
        <v>42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>
      <c r="A762" t="s">
        <v>849</v>
      </c>
      <c r="B762" t="s">
        <v>34</v>
      </c>
      <c r="C762" t="s">
        <v>35</v>
      </c>
      <c r="D762" t="s">
        <v>20</v>
      </c>
      <c r="E762" t="s">
        <v>21</v>
      </c>
      <c r="F762" t="s">
        <v>40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 s="3">
        <v>46178</v>
      </c>
    </row>
    <row r="763" spans="1:17">
      <c r="A763" t="s">
        <v>850</v>
      </c>
      <c r="B763" t="s">
        <v>34</v>
      </c>
      <c r="C763" t="s">
        <v>35</v>
      </c>
      <c r="D763" t="s">
        <v>27</v>
      </c>
      <c r="E763" t="s">
        <v>30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 s="3">
        <v>46057</v>
      </c>
    </row>
    <row r="764" spans="1:17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43</v>
      </c>
      <c r="G764">
        <v>63.88</v>
      </c>
      <c r="H764">
        <v>8</v>
      </c>
      <c r="I764">
        <v>25.552</v>
      </c>
      <c r="J764">
        <v>536.59199999999998</v>
      </c>
      <c r="K764" t="s">
        <v>115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 s="3">
        <v>46274</v>
      </c>
    </row>
    <row r="765" spans="1:17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s="4">
        <v>25477</v>
      </c>
      <c r="H765">
        <v>5</v>
      </c>
      <c r="I765" s="4">
        <v>45689</v>
      </c>
      <c r="J765">
        <v>56.122500000000002</v>
      </c>
      <c r="K765" t="s">
        <v>167</v>
      </c>
      <c r="L765" s="2">
        <v>0.46319444444444446</v>
      </c>
      <c r="M765" t="s">
        <v>23</v>
      </c>
      <c r="N765">
        <v>53.45</v>
      </c>
      <c r="O765">
        <v>4.7619047620000003</v>
      </c>
      <c r="P765" s="4">
        <v>45689</v>
      </c>
      <c r="Q765" s="3">
        <v>46180</v>
      </c>
    </row>
    <row r="766" spans="1:17">
      <c r="A766" t="s">
        <v>853</v>
      </c>
      <c r="B766" t="s">
        <v>18</v>
      </c>
      <c r="C766" t="s">
        <v>19</v>
      </c>
      <c r="D766" t="s">
        <v>20</v>
      </c>
      <c r="E766" t="s">
        <v>30</v>
      </c>
      <c r="F766" t="s">
        <v>22</v>
      </c>
      <c r="G766">
        <v>55.5</v>
      </c>
      <c r="H766">
        <v>4</v>
      </c>
      <c r="I766" s="3">
        <v>46033</v>
      </c>
      <c r="J766">
        <v>233.1</v>
      </c>
      <c r="K766" t="s">
        <v>115</v>
      </c>
      <c r="L766" s="2">
        <v>0.65833333333333333</v>
      </c>
      <c r="M766" t="s">
        <v>33</v>
      </c>
      <c r="N766">
        <v>222</v>
      </c>
      <c r="O766">
        <v>4.7619047620000003</v>
      </c>
      <c r="P766" s="3">
        <v>46033</v>
      </c>
      <c r="Q766" s="3">
        <v>46179</v>
      </c>
    </row>
    <row r="767" spans="1:17">
      <c r="A767" t="s">
        <v>854</v>
      </c>
      <c r="B767" t="s">
        <v>34</v>
      </c>
      <c r="C767" t="s">
        <v>35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 s="3">
        <v>46207</v>
      </c>
    </row>
    <row r="768" spans="1:17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43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 s="3">
        <v>46243</v>
      </c>
    </row>
    <row r="769" spans="1:18">
      <c r="A769" t="s">
        <v>856</v>
      </c>
      <c r="B769" t="s">
        <v>34</v>
      </c>
      <c r="C769" t="s">
        <v>35</v>
      </c>
      <c r="D769" t="s">
        <v>27</v>
      </c>
      <c r="E769" t="s">
        <v>30</v>
      </c>
      <c r="F769" t="s">
        <v>38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 s="3">
        <v>46087</v>
      </c>
    </row>
    <row r="770" spans="1:18">
      <c r="A770" t="s">
        <v>857</v>
      </c>
      <c r="B770" t="s">
        <v>34</v>
      </c>
      <c r="C770" t="s">
        <v>35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96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 s="3">
        <v>46272</v>
      </c>
    </row>
    <row r="771" spans="1:18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 s="4">
        <v>16011</v>
      </c>
      <c r="H771">
        <v>6</v>
      </c>
      <c r="I771">
        <v>3.4289999999999998</v>
      </c>
      <c r="J771">
        <v>72.009</v>
      </c>
      <c r="K771" t="s">
        <v>58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 s="3">
        <v>46210</v>
      </c>
    </row>
    <row r="772" spans="1:18">
      <c r="A772" t="s">
        <v>859</v>
      </c>
      <c r="B772" t="s">
        <v>34</v>
      </c>
      <c r="C772" t="s">
        <v>35</v>
      </c>
      <c r="D772" t="s">
        <v>20</v>
      </c>
      <c r="E772" t="s">
        <v>21</v>
      </c>
      <c r="F772" t="s">
        <v>38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 s="3">
        <v>46146</v>
      </c>
    </row>
    <row r="773" spans="1:18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99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8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38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69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 s="3">
        <v>46208</v>
      </c>
    </row>
    <row r="775" spans="1:18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40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 s="3">
        <v>46087</v>
      </c>
    </row>
    <row r="776" spans="1:18">
      <c r="A776" t="s">
        <v>863</v>
      </c>
      <c r="B776" t="s">
        <v>25</v>
      </c>
      <c r="C776" t="s">
        <v>26</v>
      </c>
      <c r="D776" t="s">
        <v>20</v>
      </c>
      <c r="E776" t="s">
        <v>30</v>
      </c>
      <c r="F776" t="s">
        <v>40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91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8">
      <c r="A777" t="s">
        <v>864</v>
      </c>
      <c r="B777" t="s">
        <v>34</v>
      </c>
      <c r="C777" t="s">
        <v>35</v>
      </c>
      <c r="D777" t="s">
        <v>27</v>
      </c>
      <c r="E777" t="s">
        <v>21</v>
      </c>
      <c r="F777" t="s">
        <v>40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136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8">
      <c r="A778" t="s">
        <v>865</v>
      </c>
      <c r="B778" t="s">
        <v>25</v>
      </c>
      <c r="C778" t="s">
        <v>26</v>
      </c>
      <c r="D778" t="s">
        <v>20</v>
      </c>
      <c r="E778" t="s">
        <v>30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0.75138888888888899</v>
      </c>
      <c r="M778" t="s">
        <v>33</v>
      </c>
      <c r="N778">
        <v>457.17</v>
      </c>
      <c r="O778">
        <v>4.7619047620000003</v>
      </c>
      <c r="P778">
        <v>22.858499999999999</v>
      </c>
      <c r="Q778" s="3">
        <v>46057</v>
      </c>
    </row>
    <row r="779" spans="1:18">
      <c r="A779" t="s">
        <v>866</v>
      </c>
      <c r="B779" t="s">
        <v>34</v>
      </c>
      <c r="C779" t="s">
        <v>35</v>
      </c>
      <c r="D779" t="s">
        <v>27</v>
      </c>
      <c r="E779" t="s">
        <v>30</v>
      </c>
      <c r="F779" t="s">
        <v>38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 s="3">
        <v>46182</v>
      </c>
    </row>
    <row r="780" spans="1:18">
      <c r="A780" t="s">
        <v>867</v>
      </c>
      <c r="B780" t="s">
        <v>25</v>
      </c>
      <c r="C780" t="s">
        <v>26</v>
      </c>
      <c r="D780" t="s">
        <v>20</v>
      </c>
      <c r="E780" t="s">
        <v>30</v>
      </c>
      <c r="F780" t="s">
        <v>38</v>
      </c>
      <c r="G780">
        <v>25.25</v>
      </c>
      <c r="H780">
        <v>5</v>
      </c>
      <c r="I780" s="4">
        <v>45809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 s="4">
        <v>45809</v>
      </c>
      <c r="Q780" s="3">
        <v>46028</v>
      </c>
    </row>
    <row r="781" spans="1:18">
      <c r="A781" t="s">
        <v>868</v>
      </c>
      <c r="B781" t="s">
        <v>34</v>
      </c>
      <c r="C781" t="s">
        <v>35</v>
      </c>
      <c r="D781" t="s">
        <v>20</v>
      </c>
      <c r="E781" t="s">
        <v>30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 s="3">
        <v>46178</v>
      </c>
      <c r="R781" s="3">
        <v>46255</v>
      </c>
    </row>
    <row r="782" spans="1:18">
      <c r="A782" t="s">
        <v>869</v>
      </c>
      <c r="B782" t="s">
        <v>25</v>
      </c>
      <c r="C782" t="s">
        <v>26</v>
      </c>
      <c r="D782" t="s">
        <v>27</v>
      </c>
      <c r="E782" t="s">
        <v>30</v>
      </c>
      <c r="F782" t="s">
        <v>22</v>
      </c>
      <c r="G782" s="3">
        <v>46255</v>
      </c>
      <c r="H782">
        <v>8</v>
      </c>
      <c r="I782" s="4">
        <v>26512</v>
      </c>
      <c r="J782">
        <v>183.12</v>
      </c>
      <c r="K782" t="s">
        <v>453</v>
      </c>
      <c r="L782" s="2">
        <v>0.80833333333333324</v>
      </c>
      <c r="M782" t="s">
        <v>29</v>
      </c>
      <c r="N782">
        <v>174.4</v>
      </c>
      <c r="O782">
        <v>4.7619047620000003</v>
      </c>
      <c r="P782" s="4">
        <v>26512</v>
      </c>
      <c r="Q782" s="3">
        <v>46089</v>
      </c>
      <c r="R782" s="3">
        <v>46255</v>
      </c>
    </row>
    <row r="783" spans="1:18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38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 s="3">
        <v>46241</v>
      </c>
    </row>
    <row r="784" spans="1:18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43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 s="3">
        <v>46026</v>
      </c>
    </row>
    <row r="785" spans="1:17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 s="3">
        <v>46242</v>
      </c>
    </row>
    <row r="786" spans="1:17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 s="4">
        <v>42644</v>
      </c>
      <c r="H786">
        <v>5</v>
      </c>
      <c r="I786" s="4">
        <v>19756</v>
      </c>
      <c r="J786">
        <v>53.34</v>
      </c>
      <c r="K786" t="s">
        <v>47</v>
      </c>
      <c r="L786" s="2">
        <v>0.54722222222222217</v>
      </c>
      <c r="M786" t="s">
        <v>23</v>
      </c>
      <c r="N786">
        <v>50.8</v>
      </c>
      <c r="O786">
        <v>4.7619047620000003</v>
      </c>
      <c r="P786" s="4">
        <v>19756</v>
      </c>
      <c r="Q786" s="3">
        <v>46026</v>
      </c>
    </row>
    <row r="787" spans="1:17">
      <c r="A787" t="s">
        <v>874</v>
      </c>
      <c r="B787" t="s">
        <v>18</v>
      </c>
      <c r="C787" t="s">
        <v>19</v>
      </c>
      <c r="D787" t="s">
        <v>27</v>
      </c>
      <c r="E787" t="s">
        <v>30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0.67291666666666661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>
      <c r="A788" t="s">
        <v>875</v>
      </c>
      <c r="B788" t="s">
        <v>25</v>
      </c>
      <c r="C788" t="s">
        <v>26</v>
      </c>
      <c r="D788" t="s">
        <v>27</v>
      </c>
      <c r="E788" t="s">
        <v>30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 s="3">
        <v>46147</v>
      </c>
    </row>
    <row r="789" spans="1:17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 s="4">
        <v>36434</v>
      </c>
      <c r="H789">
        <v>5</v>
      </c>
      <c r="I789" s="4">
        <v>27426</v>
      </c>
      <c r="J789">
        <v>57.697499999999998</v>
      </c>
      <c r="K789" t="s">
        <v>147</v>
      </c>
      <c r="L789" s="2">
        <v>0.4291666666666667</v>
      </c>
      <c r="M789" t="s">
        <v>33</v>
      </c>
      <c r="N789">
        <v>54.95</v>
      </c>
      <c r="O789">
        <v>4.7619047620000003</v>
      </c>
      <c r="P789" s="4">
        <v>27426</v>
      </c>
      <c r="Q789" s="3">
        <v>46090</v>
      </c>
    </row>
    <row r="790" spans="1:17">
      <c r="A790" t="s">
        <v>877</v>
      </c>
      <c r="B790" t="s">
        <v>25</v>
      </c>
      <c r="C790" t="s">
        <v>26</v>
      </c>
      <c r="D790" t="s">
        <v>20</v>
      </c>
      <c r="E790" t="s">
        <v>30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 s="3">
        <v>46178</v>
      </c>
    </row>
    <row r="791" spans="1:17">
      <c r="A791" t="s">
        <v>878</v>
      </c>
      <c r="B791" t="s">
        <v>18</v>
      </c>
      <c r="C791" t="s">
        <v>19</v>
      </c>
      <c r="D791" t="s">
        <v>27</v>
      </c>
      <c r="E791" t="s">
        <v>30</v>
      </c>
      <c r="F791" t="s">
        <v>38</v>
      </c>
      <c r="G791">
        <v>58.91</v>
      </c>
      <c r="H791">
        <v>7</v>
      </c>
      <c r="I791">
        <v>20.618500000000001</v>
      </c>
      <c r="J791">
        <v>432.98849999999999</v>
      </c>
      <c r="K791" t="s">
        <v>91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 s="3">
        <v>46212</v>
      </c>
    </row>
    <row r="792" spans="1:17">
      <c r="A792" t="s">
        <v>879</v>
      </c>
      <c r="B792" t="s">
        <v>18</v>
      </c>
      <c r="C792" t="s">
        <v>19</v>
      </c>
      <c r="D792" t="s">
        <v>27</v>
      </c>
      <c r="E792" t="s">
        <v>30</v>
      </c>
      <c r="F792" t="s">
        <v>43</v>
      </c>
      <c r="G792">
        <v>46.41</v>
      </c>
      <c r="H792">
        <v>1</v>
      </c>
      <c r="I792" s="4">
        <v>38384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 s="4">
        <v>38384</v>
      </c>
      <c r="Q792">
        <v>4</v>
      </c>
    </row>
    <row r="793" spans="1:17">
      <c r="A793" t="s">
        <v>880</v>
      </c>
      <c r="B793" t="s">
        <v>25</v>
      </c>
      <c r="C793" t="s">
        <v>26</v>
      </c>
      <c r="D793" t="s">
        <v>20</v>
      </c>
      <c r="E793" t="s">
        <v>30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118</v>
      </c>
      <c r="L793" s="2">
        <v>0.84791666666666676</v>
      </c>
      <c r="M793" t="s">
        <v>33</v>
      </c>
      <c r="N793">
        <v>274.2</v>
      </c>
      <c r="O793">
        <v>4.7619047620000003</v>
      </c>
      <c r="P793">
        <v>13.71</v>
      </c>
      <c r="Q793" s="3">
        <v>46062</v>
      </c>
    </row>
    <row r="794" spans="1:17">
      <c r="A794" t="s">
        <v>881</v>
      </c>
      <c r="B794" t="s">
        <v>34</v>
      </c>
      <c r="C794" t="s">
        <v>35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t="s">
        <v>58</v>
      </c>
      <c r="L794" s="2">
        <v>0.57500000000000007</v>
      </c>
      <c r="M794" t="s">
        <v>33</v>
      </c>
      <c r="N794">
        <v>973.7</v>
      </c>
      <c r="O794">
        <v>4.7619047620000003</v>
      </c>
      <c r="P794">
        <v>48.685000000000002</v>
      </c>
      <c r="Q794" s="3">
        <v>46269</v>
      </c>
    </row>
    <row r="795" spans="1:17">
      <c r="A795" t="s">
        <v>882</v>
      </c>
      <c r="B795" t="s">
        <v>18</v>
      </c>
      <c r="C795" t="s">
        <v>19</v>
      </c>
      <c r="D795" t="s">
        <v>20</v>
      </c>
      <c r="E795" t="s">
        <v>30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99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 s="3">
        <v>46090</v>
      </c>
    </row>
    <row r="796" spans="1:17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 s="3">
        <v>46179</v>
      </c>
    </row>
    <row r="797" spans="1:17">
      <c r="A797" t="s">
        <v>884</v>
      </c>
      <c r="B797" t="s">
        <v>34</v>
      </c>
      <c r="C797" t="s">
        <v>35</v>
      </c>
      <c r="D797" t="s">
        <v>27</v>
      </c>
      <c r="E797" t="s">
        <v>30</v>
      </c>
      <c r="F797" t="s">
        <v>43</v>
      </c>
      <c r="G797">
        <v>27.18</v>
      </c>
      <c r="H797">
        <v>2</v>
      </c>
      <c r="I797">
        <v>2.718</v>
      </c>
      <c r="J797">
        <v>57.078000000000003</v>
      </c>
      <c r="K797" t="s">
        <v>67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 s="3">
        <v>46085</v>
      </c>
    </row>
    <row r="798" spans="1:17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 s="3">
        <v>46147</v>
      </c>
    </row>
    <row r="799" spans="1:17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38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 s="3">
        <v>46030</v>
      </c>
    </row>
    <row r="800" spans="1:17">
      <c r="A800" t="s">
        <v>887</v>
      </c>
      <c r="B800" t="s">
        <v>34</v>
      </c>
      <c r="C800" t="s">
        <v>35</v>
      </c>
      <c r="D800" t="s">
        <v>27</v>
      </c>
      <c r="E800" t="s">
        <v>30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67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 s="3">
        <v>46243</v>
      </c>
    </row>
    <row r="801" spans="1:17">
      <c r="A801" t="s">
        <v>888</v>
      </c>
      <c r="B801" t="s">
        <v>25</v>
      </c>
      <c r="C801" t="s">
        <v>26</v>
      </c>
      <c r="D801" t="s">
        <v>20</v>
      </c>
      <c r="E801" t="s">
        <v>30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 s="3">
        <v>46121</v>
      </c>
    </row>
    <row r="802" spans="1:17">
      <c r="A802" t="s">
        <v>889</v>
      </c>
      <c r="B802" t="s">
        <v>34</v>
      </c>
      <c r="C802" t="s">
        <v>35</v>
      </c>
      <c r="D802" t="s">
        <v>27</v>
      </c>
      <c r="E802" t="s">
        <v>30</v>
      </c>
      <c r="F802" t="s">
        <v>38</v>
      </c>
      <c r="G802" s="3">
        <v>46045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 s="3">
        <v>46272</v>
      </c>
    </row>
    <row r="803" spans="1:17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 s="3">
        <v>46246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 s="3">
        <v>46246</v>
      </c>
      <c r="Q803" s="3">
        <v>46027</v>
      </c>
    </row>
    <row r="804" spans="1:17">
      <c r="A804" t="s">
        <v>891</v>
      </c>
      <c r="B804" t="s">
        <v>25</v>
      </c>
      <c r="C804" t="s">
        <v>26</v>
      </c>
      <c r="D804" t="s">
        <v>20</v>
      </c>
      <c r="E804" t="s">
        <v>30</v>
      </c>
      <c r="F804" t="s">
        <v>43</v>
      </c>
      <c r="G804">
        <v>67.39</v>
      </c>
      <c r="H804">
        <v>7</v>
      </c>
      <c r="I804">
        <v>23.586500000000001</v>
      </c>
      <c r="J804">
        <v>495.31650000000002</v>
      </c>
      <c r="K804" t="s">
        <v>88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 s="3">
        <v>46271</v>
      </c>
    </row>
    <row r="805" spans="1:17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43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>
      <c r="A806" t="s">
        <v>893</v>
      </c>
      <c r="B806" t="s">
        <v>34</v>
      </c>
      <c r="C806" t="s">
        <v>35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 s="3">
        <v>46057</v>
      </c>
    </row>
    <row r="808" spans="1:17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38</v>
      </c>
      <c r="G808">
        <v>93.18</v>
      </c>
      <c r="H808">
        <v>2</v>
      </c>
      <c r="I808">
        <v>9.3179999999999996</v>
      </c>
      <c r="J808">
        <v>195.678</v>
      </c>
      <c r="K808" t="s">
        <v>188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 s="3">
        <v>46150</v>
      </c>
    </row>
    <row r="809" spans="1:17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>
      <c r="A810" t="s">
        <v>897</v>
      </c>
      <c r="B810" t="s">
        <v>34</v>
      </c>
      <c r="C810" t="s">
        <v>35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 s="3">
        <v>46181</v>
      </c>
    </row>
    <row r="811" spans="1:17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43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>
      <c r="A812" t="s">
        <v>899</v>
      </c>
      <c r="B812" t="s">
        <v>34</v>
      </c>
      <c r="C812" t="s">
        <v>35</v>
      </c>
      <c r="D812" t="s">
        <v>27</v>
      </c>
      <c r="E812" t="s">
        <v>30</v>
      </c>
      <c r="F812" t="s">
        <v>22</v>
      </c>
      <c r="G812" s="4">
        <v>27668</v>
      </c>
      <c r="H812">
        <v>8</v>
      </c>
      <c r="I812" s="3">
        <v>46085</v>
      </c>
      <c r="J812">
        <v>90.3</v>
      </c>
      <c r="K812" t="s">
        <v>67</v>
      </c>
      <c r="L812" s="2">
        <v>0.60972222222222217</v>
      </c>
      <c r="M812" t="s">
        <v>23</v>
      </c>
      <c r="N812">
        <v>86</v>
      </c>
      <c r="O812">
        <v>4.7619047620000003</v>
      </c>
      <c r="P812" s="3">
        <v>46085</v>
      </c>
      <c r="Q812" s="3">
        <v>46059</v>
      </c>
    </row>
    <row r="813" spans="1:17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47</v>
      </c>
      <c r="L813" s="2">
        <v>0.75416666666666676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38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 s="3">
        <v>46148</v>
      </c>
    </row>
    <row r="815" spans="1:17">
      <c r="A815" t="s">
        <v>902</v>
      </c>
      <c r="B815" t="s">
        <v>18</v>
      </c>
      <c r="C815" t="s">
        <v>19</v>
      </c>
      <c r="D815" t="s">
        <v>27</v>
      </c>
      <c r="E815" t="s">
        <v>30</v>
      </c>
      <c r="F815" t="s">
        <v>28</v>
      </c>
      <c r="G815">
        <v>95.15</v>
      </c>
      <c r="H815">
        <v>1</v>
      </c>
      <c r="I815" s="4">
        <v>27485</v>
      </c>
      <c r="J815">
        <v>99.907499999999999</v>
      </c>
      <c r="K815" t="s">
        <v>72</v>
      </c>
      <c r="L815" s="2">
        <v>0.58333333333333337</v>
      </c>
      <c r="M815" t="s">
        <v>29</v>
      </c>
      <c r="N815">
        <v>95.15</v>
      </c>
      <c r="O815">
        <v>4.7619047620000003</v>
      </c>
      <c r="P815" s="4">
        <v>27485</v>
      </c>
      <c r="Q815">
        <v>6</v>
      </c>
    </row>
    <row r="816" spans="1:17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>
      <c r="A817" t="s">
        <v>904</v>
      </c>
      <c r="B817" t="s">
        <v>34</v>
      </c>
      <c r="C817" t="s">
        <v>35</v>
      </c>
      <c r="D817" t="s">
        <v>27</v>
      </c>
      <c r="E817" t="s">
        <v>21</v>
      </c>
      <c r="F817" t="s">
        <v>40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43</v>
      </c>
      <c r="G818">
        <v>45.44</v>
      </c>
      <c r="H818">
        <v>7</v>
      </c>
      <c r="I818">
        <v>15.904</v>
      </c>
      <c r="J818">
        <v>333.98399999999998</v>
      </c>
      <c r="K818" t="s">
        <v>147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 s="3">
        <v>46062</v>
      </c>
    </row>
    <row r="819" spans="1:17">
      <c r="A819" t="s">
        <v>906</v>
      </c>
      <c r="B819" t="s">
        <v>18</v>
      </c>
      <c r="C819" t="s">
        <v>19</v>
      </c>
      <c r="D819" t="s">
        <v>27</v>
      </c>
      <c r="E819" t="s">
        <v>30</v>
      </c>
      <c r="F819" t="s">
        <v>40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183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 s="3">
        <v>46182</v>
      </c>
    </row>
    <row r="820" spans="1:17">
      <c r="A820" t="s">
        <v>907</v>
      </c>
      <c r="B820" t="s">
        <v>34</v>
      </c>
      <c r="C820" t="s">
        <v>35</v>
      </c>
      <c r="D820" t="s">
        <v>20</v>
      </c>
      <c r="E820" t="s">
        <v>30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37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 s="3">
        <v>46120</v>
      </c>
    </row>
    <row r="821" spans="1:17">
      <c r="A821" t="s">
        <v>908</v>
      </c>
      <c r="B821" t="s">
        <v>34</v>
      </c>
      <c r="C821" t="s">
        <v>35</v>
      </c>
      <c r="D821" t="s">
        <v>20</v>
      </c>
      <c r="E821" t="s">
        <v>30</v>
      </c>
      <c r="F821" t="s">
        <v>40</v>
      </c>
      <c r="G821">
        <v>47.16</v>
      </c>
      <c r="H821">
        <v>5</v>
      </c>
      <c r="I821" s="4">
        <v>29160</v>
      </c>
      <c r="J821">
        <v>247.59</v>
      </c>
      <c r="K821" s="1">
        <v>43526</v>
      </c>
      <c r="L821" s="2">
        <v>0.60763888888888895</v>
      </c>
      <c r="M821" t="s">
        <v>33</v>
      </c>
      <c r="N821">
        <v>235.8</v>
      </c>
      <c r="O821">
        <v>4.7619047620000003</v>
      </c>
      <c r="P821" s="4">
        <v>29160</v>
      </c>
      <c r="Q821">
        <v>6</v>
      </c>
    </row>
    <row r="822" spans="1:17">
      <c r="A822" t="s">
        <v>909</v>
      </c>
      <c r="B822" t="s">
        <v>34</v>
      </c>
      <c r="C822" t="s">
        <v>35</v>
      </c>
      <c r="D822" t="s">
        <v>27</v>
      </c>
      <c r="E822" t="s">
        <v>30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42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 s="3">
        <v>46209</v>
      </c>
    </row>
    <row r="823" spans="1:17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t="s">
        <v>47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 s="3">
        <v>46026</v>
      </c>
    </row>
    <row r="824" spans="1:17">
      <c r="A824" t="s">
        <v>911</v>
      </c>
      <c r="B824" t="s">
        <v>25</v>
      </c>
      <c r="C824" t="s">
        <v>26</v>
      </c>
      <c r="D824" t="s">
        <v>20</v>
      </c>
      <c r="E824" t="s">
        <v>30</v>
      </c>
      <c r="F824" t="s">
        <v>38</v>
      </c>
      <c r="G824" s="4">
        <v>43009</v>
      </c>
      <c r="H824">
        <v>1</v>
      </c>
      <c r="I824">
        <v>0.50849999999999995</v>
      </c>
      <c r="J824" s="4">
        <v>31321</v>
      </c>
      <c r="K824" s="1">
        <v>43648</v>
      </c>
      <c r="L824" s="2">
        <v>0.59375</v>
      </c>
      <c r="M824" t="s">
        <v>29</v>
      </c>
      <c r="N824" s="4">
        <v>43009</v>
      </c>
      <c r="O824">
        <v>4.7619047620000003</v>
      </c>
      <c r="P824">
        <v>0.50849999999999995</v>
      </c>
      <c r="Q824" s="3">
        <v>46270</v>
      </c>
    </row>
    <row r="825" spans="1:17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 s="4">
        <v>24016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 s="4">
        <v>24016</v>
      </c>
      <c r="Q825" s="3">
        <v>46211</v>
      </c>
    </row>
    <row r="826" spans="1:17">
      <c r="A826" t="s">
        <v>913</v>
      </c>
      <c r="B826" t="s">
        <v>34</v>
      </c>
      <c r="C826" t="s">
        <v>35</v>
      </c>
      <c r="D826" t="s">
        <v>20</v>
      </c>
      <c r="E826" t="s">
        <v>21</v>
      </c>
      <c r="F826" t="s">
        <v>38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123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 s="3">
        <v>46146</v>
      </c>
    </row>
    <row r="827" spans="1:17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38</v>
      </c>
      <c r="G827" s="3">
        <v>46044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 s="3">
        <v>46179</v>
      </c>
    </row>
    <row r="828" spans="1:17">
      <c r="A828" t="s">
        <v>915</v>
      </c>
      <c r="B828" t="s">
        <v>34</v>
      </c>
      <c r="C828" t="s">
        <v>35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80</v>
      </c>
      <c r="L828" s="2">
        <v>0.57847222222222217</v>
      </c>
      <c r="M828" t="s">
        <v>33</v>
      </c>
      <c r="N828">
        <v>648.99</v>
      </c>
      <c r="O828">
        <v>4.7619047620000003</v>
      </c>
      <c r="P828">
        <v>32.4495</v>
      </c>
      <c r="Q828" s="3">
        <v>46210</v>
      </c>
    </row>
    <row r="829" spans="1:17">
      <c r="A829" t="s">
        <v>916</v>
      </c>
      <c r="B829" t="s">
        <v>18</v>
      </c>
      <c r="C829" t="s">
        <v>19</v>
      </c>
      <c r="D829" t="s">
        <v>20</v>
      </c>
      <c r="E829" t="s">
        <v>30</v>
      </c>
      <c r="F829" t="s">
        <v>43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167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 s="3">
        <v>46150</v>
      </c>
    </row>
    <row r="830" spans="1:17">
      <c r="A830" t="s">
        <v>917</v>
      </c>
      <c r="B830" t="s">
        <v>25</v>
      </c>
      <c r="C830" t="s">
        <v>26</v>
      </c>
      <c r="D830" t="s">
        <v>27</v>
      </c>
      <c r="E830" t="s">
        <v>30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177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 s="3">
        <v>46058</v>
      </c>
    </row>
    <row r="831" spans="1:17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33</v>
      </c>
      <c r="N831">
        <v>742.2</v>
      </c>
      <c r="O831">
        <v>4.7619047620000003</v>
      </c>
      <c r="P831">
        <v>37.11</v>
      </c>
      <c r="Q831" s="3">
        <v>46085</v>
      </c>
    </row>
    <row r="832" spans="1:17">
      <c r="A832" t="s">
        <v>919</v>
      </c>
      <c r="B832" t="s">
        <v>18</v>
      </c>
      <c r="C832" t="s">
        <v>19</v>
      </c>
      <c r="D832" t="s">
        <v>27</v>
      </c>
      <c r="E832" t="s">
        <v>30</v>
      </c>
      <c r="F832" t="s">
        <v>28</v>
      </c>
      <c r="G832" s="4">
        <v>20729</v>
      </c>
      <c r="H832">
        <v>8</v>
      </c>
      <c r="I832">
        <v>4.2240000000000002</v>
      </c>
      <c r="J832">
        <v>88.703999999999994</v>
      </c>
      <c r="K832" t="s">
        <v>129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 s="3">
        <v>46180</v>
      </c>
    </row>
    <row r="833" spans="1:17">
      <c r="A833" t="s">
        <v>920</v>
      </c>
      <c r="B833" t="s">
        <v>34</v>
      </c>
      <c r="C833" t="s">
        <v>35</v>
      </c>
      <c r="D833" t="s">
        <v>27</v>
      </c>
      <c r="E833" t="s">
        <v>30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45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 s="3">
        <v>46151</v>
      </c>
    </row>
    <row r="834" spans="1:17">
      <c r="A834" t="s">
        <v>921</v>
      </c>
      <c r="B834" t="s">
        <v>34</v>
      </c>
      <c r="C834" t="s">
        <v>35</v>
      </c>
      <c r="D834" t="s">
        <v>20</v>
      </c>
      <c r="E834" t="s">
        <v>21</v>
      </c>
      <c r="F834" t="s">
        <v>38</v>
      </c>
      <c r="G834" s="4">
        <v>31352</v>
      </c>
      <c r="H834">
        <v>8</v>
      </c>
      <c r="I834" s="4">
        <v>27120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 s="4">
        <v>27120</v>
      </c>
      <c r="Q834" s="3">
        <v>46026</v>
      </c>
    </row>
    <row r="835" spans="1:17">
      <c r="A835" t="s">
        <v>922</v>
      </c>
      <c r="B835" t="s">
        <v>18</v>
      </c>
      <c r="C835" t="s">
        <v>19</v>
      </c>
      <c r="D835" t="s">
        <v>20</v>
      </c>
      <c r="E835" t="s">
        <v>30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123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 s="3">
        <v>46062</v>
      </c>
    </row>
    <row r="836" spans="1:17">
      <c r="A836" t="s">
        <v>923</v>
      </c>
      <c r="B836" t="s">
        <v>34</v>
      </c>
      <c r="C836" t="s">
        <v>35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 s="3">
        <v>46117</v>
      </c>
    </row>
    <row r="837" spans="1:17">
      <c r="A837" t="s">
        <v>924</v>
      </c>
      <c r="B837" t="s">
        <v>18</v>
      </c>
      <c r="C837" t="s">
        <v>19</v>
      </c>
      <c r="D837" t="s">
        <v>27</v>
      </c>
      <c r="E837" t="s">
        <v>30</v>
      </c>
      <c r="F837" t="s">
        <v>43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167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 s="3">
        <v>46239</v>
      </c>
    </row>
    <row r="838" spans="1:17">
      <c r="A838" t="s">
        <v>925</v>
      </c>
      <c r="B838" t="s">
        <v>18</v>
      </c>
      <c r="C838" t="s">
        <v>19</v>
      </c>
      <c r="D838" t="s">
        <v>20</v>
      </c>
      <c r="E838" t="s">
        <v>30</v>
      </c>
      <c r="F838" t="s">
        <v>43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 s="3">
        <v>46178</v>
      </c>
    </row>
    <row r="839" spans="1:17">
      <c r="A839" t="s">
        <v>926</v>
      </c>
      <c r="B839" t="s">
        <v>34</v>
      </c>
      <c r="C839" t="s">
        <v>35</v>
      </c>
      <c r="D839" t="s">
        <v>27</v>
      </c>
      <c r="E839" t="s">
        <v>30</v>
      </c>
      <c r="F839" t="s">
        <v>38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 s="3">
        <v>46027</v>
      </c>
    </row>
    <row r="840" spans="1:17">
      <c r="A840" t="s">
        <v>927</v>
      </c>
      <c r="B840" t="s">
        <v>25</v>
      </c>
      <c r="C840" t="s">
        <v>26</v>
      </c>
      <c r="D840" t="s">
        <v>27</v>
      </c>
      <c r="E840" t="s">
        <v>30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58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 s="3">
        <v>46239</v>
      </c>
    </row>
    <row r="841" spans="1:17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38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>
      <c r="A842" t="s">
        <v>929</v>
      </c>
      <c r="B842" t="s">
        <v>18</v>
      </c>
      <c r="C842" t="s">
        <v>19</v>
      </c>
      <c r="D842" t="s">
        <v>27</v>
      </c>
      <c r="E842" t="s">
        <v>30</v>
      </c>
      <c r="F842" t="s">
        <v>43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118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 s="3">
        <v>46272</v>
      </c>
    </row>
    <row r="843" spans="1:17">
      <c r="A843" t="s">
        <v>930</v>
      </c>
      <c r="B843" t="s">
        <v>34</v>
      </c>
      <c r="C843" t="s">
        <v>35</v>
      </c>
      <c r="D843" t="s">
        <v>27</v>
      </c>
      <c r="E843" t="s">
        <v>30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110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38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0.6777777777777777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40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 s="3">
        <v>46273</v>
      </c>
    </row>
    <row r="846" spans="1:17">
      <c r="A846" t="s">
        <v>933</v>
      </c>
      <c r="B846" t="s">
        <v>18</v>
      </c>
      <c r="C846" t="s">
        <v>19</v>
      </c>
      <c r="D846" t="s">
        <v>27</v>
      </c>
      <c r="E846" t="s">
        <v>30</v>
      </c>
      <c r="F846" t="s">
        <v>43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145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 s="3">
        <v>46270</v>
      </c>
    </row>
    <row r="847" spans="1:17">
      <c r="A847" t="s">
        <v>934</v>
      </c>
      <c r="B847" t="s">
        <v>18</v>
      </c>
      <c r="C847" t="s">
        <v>19</v>
      </c>
      <c r="D847" t="s">
        <v>20</v>
      </c>
      <c r="E847" t="s">
        <v>30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 s="3">
        <v>46270</v>
      </c>
    </row>
    <row r="848" spans="1:17">
      <c r="A848" t="s">
        <v>935</v>
      </c>
      <c r="B848" t="s">
        <v>18</v>
      </c>
      <c r="C848" t="s">
        <v>19</v>
      </c>
      <c r="D848" t="s">
        <v>20</v>
      </c>
      <c r="E848" t="s">
        <v>30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37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 s="3">
        <v>46212</v>
      </c>
    </row>
    <row r="849" spans="1:17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38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 s="3">
        <v>46181</v>
      </c>
    </row>
    <row r="850" spans="1:17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40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43</v>
      </c>
      <c r="G851">
        <v>99.1</v>
      </c>
      <c r="H851">
        <v>6</v>
      </c>
      <c r="I851">
        <v>29.73</v>
      </c>
      <c r="J851">
        <v>624.33000000000004</v>
      </c>
      <c r="K851" t="s">
        <v>183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 s="3">
        <v>46057</v>
      </c>
    </row>
    <row r="852" spans="1:17">
      <c r="A852" t="s">
        <v>939</v>
      </c>
      <c r="B852" t="s">
        <v>18</v>
      </c>
      <c r="C852" t="s">
        <v>19</v>
      </c>
      <c r="D852" t="s">
        <v>27</v>
      </c>
      <c r="E852" t="s">
        <v>30</v>
      </c>
      <c r="F852" t="s">
        <v>43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76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 s="3">
        <v>46062</v>
      </c>
    </row>
    <row r="853" spans="1:17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43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 s="3">
        <v>46062</v>
      </c>
    </row>
    <row r="854" spans="1:17">
      <c r="A854" t="s">
        <v>941</v>
      </c>
      <c r="B854" t="s">
        <v>25</v>
      </c>
      <c r="C854" t="s">
        <v>26</v>
      </c>
      <c r="D854" t="s">
        <v>27</v>
      </c>
      <c r="E854" t="s">
        <v>30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>
      <c r="A855" t="s">
        <v>942</v>
      </c>
      <c r="B855" t="s">
        <v>34</v>
      </c>
      <c r="C855" t="s">
        <v>35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45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147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 s="3">
        <v>46242</v>
      </c>
    </row>
    <row r="857" spans="1:17">
      <c r="A857" t="s">
        <v>944</v>
      </c>
      <c r="B857" t="s">
        <v>34</v>
      </c>
      <c r="C857" t="s">
        <v>35</v>
      </c>
      <c r="D857" t="s">
        <v>27</v>
      </c>
      <c r="E857" t="s">
        <v>21</v>
      </c>
      <c r="F857" t="s">
        <v>43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 s="3">
        <v>46057</v>
      </c>
    </row>
    <row r="858" spans="1:17">
      <c r="A858" t="s">
        <v>945</v>
      </c>
      <c r="B858" t="s">
        <v>34</v>
      </c>
      <c r="C858" t="s">
        <v>35</v>
      </c>
      <c r="D858" t="s">
        <v>27</v>
      </c>
      <c r="E858" t="s">
        <v>30</v>
      </c>
      <c r="F858" t="s">
        <v>40</v>
      </c>
      <c r="G858" s="3">
        <v>46377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 s="3">
        <v>46087</v>
      </c>
    </row>
    <row r="859" spans="1:17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 s="3">
        <v>46061</v>
      </c>
    </row>
    <row r="860" spans="1:17">
      <c r="A860" t="s">
        <v>947</v>
      </c>
      <c r="B860" t="s">
        <v>34</v>
      </c>
      <c r="C860" t="s">
        <v>35</v>
      </c>
      <c r="D860" t="s">
        <v>27</v>
      </c>
      <c r="E860" t="s">
        <v>30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118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 s="3">
        <v>46027</v>
      </c>
    </row>
    <row r="861" spans="1:17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40</v>
      </c>
      <c r="G861">
        <v>47.63</v>
      </c>
      <c r="H861">
        <v>9</v>
      </c>
      <c r="I861">
        <v>21.433499999999999</v>
      </c>
      <c r="J861">
        <v>450.1035</v>
      </c>
      <c r="K861" t="s">
        <v>147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 s="4">
        <v>12875</v>
      </c>
      <c r="J862">
        <v>90.583500000000001</v>
      </c>
      <c r="K862" t="s">
        <v>50</v>
      </c>
      <c r="L862" s="2">
        <v>0.55833333333333335</v>
      </c>
      <c r="M862" t="s">
        <v>23</v>
      </c>
      <c r="N862">
        <v>86.27</v>
      </c>
      <c r="O862">
        <v>4.7619047620000003</v>
      </c>
      <c r="P862" s="4">
        <v>12875</v>
      </c>
      <c r="Q862">
        <v>7</v>
      </c>
    </row>
    <row r="863" spans="1:17">
      <c r="A863" t="s">
        <v>950</v>
      </c>
      <c r="B863" t="s">
        <v>18</v>
      </c>
      <c r="C863" t="s">
        <v>19</v>
      </c>
      <c r="D863" t="s">
        <v>20</v>
      </c>
      <c r="E863" t="s">
        <v>30</v>
      </c>
      <c r="F863" t="s">
        <v>38</v>
      </c>
      <c r="G863" s="4">
        <v>28095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 s="3">
        <v>46241</v>
      </c>
    </row>
    <row r="864" spans="1:17">
      <c r="A864" t="s">
        <v>951</v>
      </c>
      <c r="B864" t="s">
        <v>34</v>
      </c>
      <c r="C864" t="s">
        <v>35</v>
      </c>
      <c r="D864" t="s">
        <v>27</v>
      </c>
      <c r="E864" t="s">
        <v>21</v>
      </c>
      <c r="F864" t="s">
        <v>32</v>
      </c>
      <c r="G864" s="4">
        <v>47058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0.49652777777777773</v>
      </c>
      <c r="M864" t="s">
        <v>33</v>
      </c>
      <c r="N864">
        <v>101.52</v>
      </c>
      <c r="O864">
        <v>4.7619047620000003</v>
      </c>
      <c r="P864">
        <v>5.0759999999999996</v>
      </c>
      <c r="Q864" s="3">
        <v>46085</v>
      </c>
    </row>
    <row r="865" spans="1:17">
      <c r="A865" t="s">
        <v>952</v>
      </c>
      <c r="B865" t="s">
        <v>34</v>
      </c>
      <c r="C865" t="s">
        <v>35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 s="4">
        <v>31352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 s="4">
        <v>31352</v>
      </c>
      <c r="Q866" s="3">
        <v>46179</v>
      </c>
    </row>
    <row r="867" spans="1:17">
      <c r="A867" t="s">
        <v>954</v>
      </c>
      <c r="B867" t="s">
        <v>25</v>
      </c>
      <c r="C867" t="s">
        <v>26</v>
      </c>
      <c r="D867" t="s">
        <v>20</v>
      </c>
      <c r="E867" t="s">
        <v>30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145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 s="3">
        <v>46088</v>
      </c>
    </row>
    <row r="868" spans="1:17">
      <c r="A868" t="s">
        <v>955</v>
      </c>
      <c r="B868" t="s">
        <v>34</v>
      </c>
      <c r="C868" t="s">
        <v>35</v>
      </c>
      <c r="D868" t="s">
        <v>20</v>
      </c>
      <c r="E868" t="s">
        <v>30</v>
      </c>
      <c r="F868" t="s">
        <v>38</v>
      </c>
      <c r="G868">
        <v>90.53</v>
      </c>
      <c r="H868">
        <v>8</v>
      </c>
      <c r="I868">
        <v>36.212000000000003</v>
      </c>
      <c r="J868">
        <v>760.452</v>
      </c>
      <c r="K868" t="s">
        <v>67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 s="3">
        <v>46148</v>
      </c>
    </row>
    <row r="869" spans="1:17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91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 s="3">
        <v>46269</v>
      </c>
    </row>
    <row r="870" spans="1:17">
      <c r="A870" t="s">
        <v>957</v>
      </c>
      <c r="B870" t="s">
        <v>25</v>
      </c>
      <c r="C870" t="s">
        <v>26</v>
      </c>
      <c r="D870" t="s">
        <v>20</v>
      </c>
      <c r="E870" t="s">
        <v>30</v>
      </c>
      <c r="F870" t="s">
        <v>40</v>
      </c>
      <c r="G870">
        <v>24.31</v>
      </c>
      <c r="H870">
        <v>3</v>
      </c>
      <c r="I870" s="4">
        <v>23802</v>
      </c>
      <c r="J870">
        <v>76.576499999999996</v>
      </c>
      <c r="K870" s="1">
        <v>43678</v>
      </c>
      <c r="L870" s="2">
        <v>0.79791666666666661</v>
      </c>
      <c r="M870" t="s">
        <v>33</v>
      </c>
      <c r="N870">
        <v>72.930000000000007</v>
      </c>
      <c r="O870">
        <v>4.7619047620000003</v>
      </c>
      <c r="P870" s="4">
        <v>23802</v>
      </c>
      <c r="Q870" s="3">
        <v>46085</v>
      </c>
    </row>
    <row r="871" spans="1:17">
      <c r="A871" t="s">
        <v>958</v>
      </c>
      <c r="B871" t="s">
        <v>18</v>
      </c>
      <c r="C871" t="s">
        <v>19</v>
      </c>
      <c r="D871" t="s">
        <v>27</v>
      </c>
      <c r="E871" t="s">
        <v>30</v>
      </c>
      <c r="F871" t="s">
        <v>38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 s="3">
        <v>46090</v>
      </c>
    </row>
    <row r="872" spans="1:17">
      <c r="A872" t="s">
        <v>959</v>
      </c>
      <c r="B872" t="s">
        <v>18</v>
      </c>
      <c r="C872" t="s">
        <v>19</v>
      </c>
      <c r="D872" t="s">
        <v>20</v>
      </c>
      <c r="E872" t="s">
        <v>30</v>
      </c>
      <c r="F872" t="s">
        <v>40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212</v>
      </c>
      <c r="L872" s="2">
        <v>0.43958333333333338</v>
      </c>
      <c r="M872" t="s">
        <v>33</v>
      </c>
      <c r="N872">
        <v>173.74</v>
      </c>
      <c r="O872">
        <v>4.7619047620000003</v>
      </c>
      <c r="P872">
        <v>8.6869999999999994</v>
      </c>
      <c r="Q872" s="3">
        <v>46029</v>
      </c>
    </row>
    <row r="873" spans="1:17">
      <c r="A873" t="s">
        <v>960</v>
      </c>
      <c r="B873" t="s">
        <v>25</v>
      </c>
      <c r="C873" t="s">
        <v>26</v>
      </c>
      <c r="D873" t="s">
        <v>27</v>
      </c>
      <c r="E873" t="s">
        <v>30</v>
      </c>
      <c r="F873" t="s">
        <v>43</v>
      </c>
      <c r="G873">
        <v>56.5</v>
      </c>
      <c r="H873">
        <v>1</v>
      </c>
      <c r="I873">
        <v>2.8250000000000002</v>
      </c>
      <c r="J873">
        <v>59.325000000000003</v>
      </c>
      <c r="K873" t="s">
        <v>125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 s="3">
        <v>46182</v>
      </c>
    </row>
    <row r="874" spans="1:17">
      <c r="A874" t="s">
        <v>961</v>
      </c>
      <c r="B874" t="s">
        <v>34</v>
      </c>
      <c r="C874" t="s">
        <v>35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80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 s="3">
        <v>46059</v>
      </c>
    </row>
    <row r="875" spans="1:17">
      <c r="A875" t="s">
        <v>962</v>
      </c>
      <c r="B875" t="s">
        <v>18</v>
      </c>
      <c r="C875" t="s">
        <v>19</v>
      </c>
      <c r="D875" t="s">
        <v>20</v>
      </c>
      <c r="E875" t="s">
        <v>30</v>
      </c>
      <c r="F875" t="s">
        <v>38</v>
      </c>
      <c r="G875">
        <v>89.06</v>
      </c>
      <c r="H875">
        <v>6</v>
      </c>
      <c r="I875">
        <v>26.718</v>
      </c>
      <c r="J875">
        <v>561.07799999999997</v>
      </c>
      <c r="K875" t="s">
        <v>209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 s="3">
        <v>46274</v>
      </c>
    </row>
    <row r="876" spans="1:17">
      <c r="A876" t="s">
        <v>963</v>
      </c>
      <c r="B876" t="s">
        <v>18</v>
      </c>
      <c r="C876" t="s">
        <v>19</v>
      </c>
      <c r="D876" t="s">
        <v>20</v>
      </c>
      <c r="E876" t="s">
        <v>30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 s="3">
        <v>46270</v>
      </c>
    </row>
    <row r="877" spans="1:17">
      <c r="A877" t="s">
        <v>964</v>
      </c>
      <c r="B877" t="s">
        <v>25</v>
      </c>
      <c r="C877" t="s">
        <v>26</v>
      </c>
      <c r="D877" t="s">
        <v>27</v>
      </c>
      <c r="E877" t="s">
        <v>30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67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 s="3">
        <v>46087</v>
      </c>
    </row>
    <row r="878" spans="1:17">
      <c r="A878" t="s">
        <v>965</v>
      </c>
      <c r="B878" t="s">
        <v>25</v>
      </c>
      <c r="C878" t="s">
        <v>26</v>
      </c>
      <c r="D878" t="s">
        <v>20</v>
      </c>
      <c r="E878" t="s">
        <v>30</v>
      </c>
      <c r="F878" t="s">
        <v>43</v>
      </c>
      <c r="G878">
        <v>52.35</v>
      </c>
      <c r="H878">
        <v>1</v>
      </c>
      <c r="I878" s="4">
        <v>27426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 s="4">
        <v>27426</v>
      </c>
      <c r="Q878">
        <v>4</v>
      </c>
    </row>
    <row r="879" spans="1:17">
      <c r="A879" t="s">
        <v>966</v>
      </c>
      <c r="B879" t="s">
        <v>34</v>
      </c>
      <c r="C879" t="s">
        <v>35</v>
      </c>
      <c r="D879" t="s">
        <v>20</v>
      </c>
      <c r="E879" t="s">
        <v>30</v>
      </c>
      <c r="F879" t="s">
        <v>28</v>
      </c>
      <c r="G879">
        <v>39.75</v>
      </c>
      <c r="H879">
        <v>1</v>
      </c>
      <c r="I879" s="4">
        <v>27395</v>
      </c>
      <c r="J879">
        <v>41.737499999999997</v>
      </c>
      <c r="K879" t="s">
        <v>45</v>
      </c>
      <c r="L879" s="2">
        <v>0.84652777777777777</v>
      </c>
      <c r="M879" t="s">
        <v>29</v>
      </c>
      <c r="N879">
        <v>39.75</v>
      </c>
      <c r="O879">
        <v>4.7619047620000003</v>
      </c>
      <c r="P879" s="4">
        <v>27395</v>
      </c>
      <c r="Q879" s="3">
        <v>46028</v>
      </c>
    </row>
    <row r="880" spans="1:17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0.67222222222222217</v>
      </c>
      <c r="M880" t="s">
        <v>33</v>
      </c>
      <c r="N880">
        <v>720.16</v>
      </c>
      <c r="O880">
        <v>4.7619047620000003</v>
      </c>
      <c r="P880">
        <v>36.008000000000003</v>
      </c>
      <c r="Q880" s="3">
        <v>46146</v>
      </c>
    </row>
    <row r="881" spans="1:17">
      <c r="A881" t="s">
        <v>968</v>
      </c>
      <c r="B881" t="s">
        <v>34</v>
      </c>
      <c r="C881" t="s">
        <v>35</v>
      </c>
      <c r="D881" t="s">
        <v>20</v>
      </c>
      <c r="E881" t="s">
        <v>21</v>
      </c>
      <c r="F881" t="s">
        <v>28</v>
      </c>
      <c r="G881" s="3">
        <v>46034</v>
      </c>
      <c r="H881">
        <v>8</v>
      </c>
      <c r="I881" s="4">
        <v>30773</v>
      </c>
      <c r="J881">
        <v>101.64</v>
      </c>
      <c r="K881" t="s">
        <v>183</v>
      </c>
      <c r="L881" s="2">
        <v>0.4284722222222222</v>
      </c>
      <c r="M881" t="s">
        <v>23</v>
      </c>
      <c r="N881">
        <v>96.8</v>
      </c>
      <c r="O881">
        <v>4.7619047620000003</v>
      </c>
      <c r="P881" s="4">
        <v>30773</v>
      </c>
      <c r="Q881" s="3">
        <v>46181</v>
      </c>
    </row>
    <row r="882" spans="1:17">
      <c r="A882" t="s">
        <v>969</v>
      </c>
      <c r="B882" t="s">
        <v>34</v>
      </c>
      <c r="C882" t="s">
        <v>35</v>
      </c>
      <c r="D882" t="s">
        <v>20</v>
      </c>
      <c r="E882" t="s">
        <v>21</v>
      </c>
      <c r="F882" t="s">
        <v>40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43</v>
      </c>
      <c r="G883" s="4">
        <v>43374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 s="3">
        <v>46151</v>
      </c>
    </row>
    <row r="884" spans="1:17">
      <c r="A884" t="s">
        <v>971</v>
      </c>
      <c r="B884" t="s">
        <v>34</v>
      </c>
      <c r="C884" t="s">
        <v>35</v>
      </c>
      <c r="D884" t="s">
        <v>20</v>
      </c>
      <c r="E884" t="s">
        <v>30</v>
      </c>
      <c r="F884" t="s">
        <v>38</v>
      </c>
      <c r="G884">
        <v>31.99</v>
      </c>
      <c r="H884">
        <v>10</v>
      </c>
      <c r="I884">
        <v>15.994999999999999</v>
      </c>
      <c r="J884">
        <v>335.89499999999998</v>
      </c>
      <c r="K884" t="s">
        <v>50</v>
      </c>
      <c r="L884" s="2">
        <v>0.63750000000000007</v>
      </c>
      <c r="M884" t="s">
        <v>33</v>
      </c>
      <c r="N884">
        <v>319.89999999999998</v>
      </c>
      <c r="O884">
        <v>4.7619047620000003</v>
      </c>
      <c r="P884">
        <v>15.994999999999999</v>
      </c>
      <c r="Q884" s="3">
        <v>46274</v>
      </c>
    </row>
    <row r="885" spans="1:17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 s="3">
        <v>46149</v>
      </c>
    </row>
    <row r="886" spans="1:17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40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 s="3">
        <v>46180</v>
      </c>
    </row>
    <row r="887" spans="1:17">
      <c r="A887" t="s">
        <v>974</v>
      </c>
      <c r="B887" t="s">
        <v>18</v>
      </c>
      <c r="C887" t="s">
        <v>19</v>
      </c>
      <c r="D887" t="s">
        <v>27</v>
      </c>
      <c r="E887" t="s">
        <v>30</v>
      </c>
      <c r="F887" t="s">
        <v>38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>
      <c r="A888" t="s">
        <v>975</v>
      </c>
      <c r="B888" t="s">
        <v>18</v>
      </c>
      <c r="C888" t="s">
        <v>19</v>
      </c>
      <c r="D888" t="s">
        <v>20</v>
      </c>
      <c r="E888" t="s">
        <v>30</v>
      </c>
      <c r="F888" t="s">
        <v>40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 s="3">
        <v>46209</v>
      </c>
    </row>
    <row r="889" spans="1:17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88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 s="3">
        <v>46151</v>
      </c>
    </row>
    <row r="890" spans="1:17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43</v>
      </c>
      <c r="G890" s="4">
        <v>43800</v>
      </c>
      <c r="H890">
        <v>8</v>
      </c>
      <c r="I890">
        <v>4.8760000000000003</v>
      </c>
      <c r="J890">
        <v>102.396</v>
      </c>
      <c r="K890" t="s">
        <v>125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 s="3">
        <v>46240</v>
      </c>
    </row>
    <row r="891" spans="1:17">
      <c r="A891" t="s">
        <v>978</v>
      </c>
      <c r="B891" t="s">
        <v>18</v>
      </c>
      <c r="C891" t="s">
        <v>19</v>
      </c>
      <c r="D891" t="s">
        <v>20</v>
      </c>
      <c r="E891" t="s">
        <v>30</v>
      </c>
      <c r="F891" t="s">
        <v>38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 s="3">
        <v>46178</v>
      </c>
    </row>
    <row r="892" spans="1:17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 s="3">
        <v>46060</v>
      </c>
    </row>
    <row r="893" spans="1:17">
      <c r="A893" t="s">
        <v>980</v>
      </c>
      <c r="B893" t="s">
        <v>34</v>
      </c>
      <c r="C893" t="s">
        <v>35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 s="3">
        <v>46030</v>
      </c>
    </row>
    <row r="894" spans="1:17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43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 s="3">
        <v>46181</v>
      </c>
    </row>
    <row r="895" spans="1:17">
      <c r="A895" t="s">
        <v>982</v>
      </c>
      <c r="B895" t="s">
        <v>34</v>
      </c>
      <c r="C895" t="s">
        <v>35</v>
      </c>
      <c r="D895" t="s">
        <v>27</v>
      </c>
      <c r="E895" t="s">
        <v>30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 s="3">
        <v>46121</v>
      </c>
    </row>
    <row r="896" spans="1:17">
      <c r="A896" t="s">
        <v>983</v>
      </c>
      <c r="B896" t="s">
        <v>34</v>
      </c>
      <c r="C896" t="s">
        <v>35</v>
      </c>
      <c r="D896" t="s">
        <v>20</v>
      </c>
      <c r="E896" t="s">
        <v>30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0.63611111111111118</v>
      </c>
      <c r="M896" t="s">
        <v>33</v>
      </c>
      <c r="N896">
        <v>302.7</v>
      </c>
      <c r="O896">
        <v>4.7619047620000003</v>
      </c>
      <c r="P896">
        <v>15.135</v>
      </c>
      <c r="Q896" s="3">
        <v>46273</v>
      </c>
    </row>
    <row r="897" spans="1:17">
      <c r="A897" t="s">
        <v>984</v>
      </c>
      <c r="B897" t="s">
        <v>34</v>
      </c>
      <c r="C897" t="s">
        <v>35</v>
      </c>
      <c r="D897" t="s">
        <v>27</v>
      </c>
      <c r="E897" t="s">
        <v>30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80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 s="3">
        <v>46057</v>
      </c>
    </row>
    <row r="898" spans="1:17">
      <c r="A898" t="s">
        <v>985</v>
      </c>
      <c r="B898" t="s">
        <v>25</v>
      </c>
      <c r="C898" t="s">
        <v>26</v>
      </c>
      <c r="D898" t="s">
        <v>27</v>
      </c>
      <c r="E898" t="s">
        <v>30</v>
      </c>
      <c r="F898" t="s">
        <v>43</v>
      </c>
      <c r="G898">
        <v>60.74</v>
      </c>
      <c r="H898">
        <v>7</v>
      </c>
      <c r="I898">
        <v>21.259</v>
      </c>
      <c r="J898">
        <v>446.43900000000002</v>
      </c>
      <c r="K898" t="s">
        <v>209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40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 s="3">
        <v>46242</v>
      </c>
    </row>
    <row r="900" spans="1:17">
      <c r="A900" t="s">
        <v>987</v>
      </c>
      <c r="B900" t="s">
        <v>25</v>
      </c>
      <c r="C900" t="s">
        <v>26</v>
      </c>
      <c r="D900" t="s">
        <v>20</v>
      </c>
      <c r="E900" t="s">
        <v>30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 s="3">
        <v>46086</v>
      </c>
    </row>
    <row r="901" spans="1:17">
      <c r="A901" t="s">
        <v>988</v>
      </c>
      <c r="B901" t="s">
        <v>18</v>
      </c>
      <c r="C901" t="s">
        <v>19</v>
      </c>
      <c r="D901" t="s">
        <v>20</v>
      </c>
      <c r="E901" t="s">
        <v>30</v>
      </c>
      <c r="F901" t="s">
        <v>40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 s="3">
        <v>46177</v>
      </c>
    </row>
    <row r="902" spans="1:17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 s="3">
        <v>46149</v>
      </c>
    </row>
    <row r="903" spans="1:17">
      <c r="A903" t="s">
        <v>990</v>
      </c>
      <c r="B903" t="s">
        <v>34</v>
      </c>
      <c r="C903" t="s">
        <v>35</v>
      </c>
      <c r="D903" t="s">
        <v>27</v>
      </c>
      <c r="E903" t="s">
        <v>30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 s="3">
        <v>46027</v>
      </c>
    </row>
    <row r="904" spans="1:17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 s="4">
        <v>45809</v>
      </c>
      <c r="J904">
        <v>145.58250000000001</v>
      </c>
      <c r="K904" t="s">
        <v>167</v>
      </c>
      <c r="L904" s="2">
        <v>0.84791666666666676</v>
      </c>
      <c r="M904" t="s">
        <v>33</v>
      </c>
      <c r="N904">
        <v>138.65</v>
      </c>
      <c r="O904">
        <v>4.7619047620000003</v>
      </c>
      <c r="P904" s="4">
        <v>45809</v>
      </c>
      <c r="Q904" s="3">
        <v>46057</v>
      </c>
    </row>
    <row r="905" spans="1:17">
      <c r="A905" t="s">
        <v>992</v>
      </c>
      <c r="B905" t="s">
        <v>18</v>
      </c>
      <c r="C905" t="s">
        <v>19</v>
      </c>
      <c r="D905" t="s">
        <v>27</v>
      </c>
      <c r="E905" t="s">
        <v>30</v>
      </c>
      <c r="F905" t="s">
        <v>40</v>
      </c>
      <c r="G905" s="4">
        <v>19664</v>
      </c>
      <c r="H905">
        <v>7</v>
      </c>
      <c r="I905">
        <v>4.0354999999999999</v>
      </c>
      <c r="J905">
        <v>84.745500000000007</v>
      </c>
      <c r="K905" t="s">
        <v>80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 s="3">
        <v>46030</v>
      </c>
    </row>
    <row r="906" spans="1:17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123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t="s">
        <v>177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 s="3">
        <v>46272</v>
      </c>
    </row>
    <row r="908" spans="1:17">
      <c r="A908" t="s">
        <v>995</v>
      </c>
      <c r="B908" t="s">
        <v>25</v>
      </c>
      <c r="C908" t="s">
        <v>26</v>
      </c>
      <c r="D908" t="s">
        <v>27</v>
      </c>
      <c r="E908" t="s">
        <v>30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 s="3">
        <v>46242</v>
      </c>
    </row>
    <row r="909" spans="1:17">
      <c r="A909" t="s">
        <v>996</v>
      </c>
      <c r="B909" t="s">
        <v>34</v>
      </c>
      <c r="C909" t="s">
        <v>35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177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 s="3">
        <v>46179</v>
      </c>
    </row>
    <row r="910" spans="1:17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40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112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 s="3">
        <v>46059</v>
      </c>
    </row>
    <row r="911" spans="1:17">
      <c r="A911" t="s">
        <v>998</v>
      </c>
      <c r="B911" t="s">
        <v>34</v>
      </c>
      <c r="C911" t="s">
        <v>35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37</v>
      </c>
      <c r="L911" s="2">
        <v>0.44722222222222219</v>
      </c>
      <c r="M911" t="s">
        <v>33</v>
      </c>
      <c r="N911">
        <v>490.1</v>
      </c>
      <c r="O911">
        <v>4.7619047620000003</v>
      </c>
      <c r="P911">
        <v>24.504999999999999</v>
      </c>
      <c r="Q911" s="3">
        <v>46057</v>
      </c>
    </row>
    <row r="912" spans="1:17">
      <c r="A912" t="s">
        <v>999</v>
      </c>
      <c r="B912" t="s">
        <v>34</v>
      </c>
      <c r="C912" t="s">
        <v>35</v>
      </c>
      <c r="D912" t="s">
        <v>20</v>
      </c>
      <c r="E912" t="s">
        <v>21</v>
      </c>
      <c r="F912" t="s">
        <v>40</v>
      </c>
      <c r="G912">
        <v>29.15</v>
      </c>
      <c r="H912">
        <v>3</v>
      </c>
      <c r="I912" s="4">
        <v>45748</v>
      </c>
      <c r="J912">
        <v>91.822500000000005</v>
      </c>
      <c r="K912" t="s">
        <v>112</v>
      </c>
      <c r="L912" s="2">
        <v>0.8534722222222223</v>
      </c>
      <c r="M912" t="s">
        <v>33</v>
      </c>
      <c r="N912">
        <v>87.45</v>
      </c>
      <c r="O912">
        <v>4.7619047620000003</v>
      </c>
      <c r="P912" s="4">
        <v>45748</v>
      </c>
      <c r="Q912" s="3">
        <v>46088</v>
      </c>
    </row>
    <row r="913" spans="1:17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183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 s="3">
        <v>46181</v>
      </c>
    </row>
    <row r="914" spans="1:17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 s="3">
        <v>46240</v>
      </c>
    </row>
    <row r="915" spans="1:17">
      <c r="A915" t="s">
        <v>1002</v>
      </c>
      <c r="B915" t="s">
        <v>18</v>
      </c>
      <c r="C915" t="s">
        <v>19</v>
      </c>
      <c r="D915" t="s">
        <v>20</v>
      </c>
      <c r="E915" t="s">
        <v>30</v>
      </c>
      <c r="F915" t="s">
        <v>43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 s="3">
        <v>46180</v>
      </c>
    </row>
    <row r="916" spans="1:17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40</v>
      </c>
      <c r="G916">
        <v>99.6</v>
      </c>
      <c r="H916">
        <v>3</v>
      </c>
      <c r="I916">
        <v>14.94</v>
      </c>
      <c r="J916">
        <v>313.74</v>
      </c>
      <c r="K916" t="s">
        <v>45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 s="3">
        <v>46239</v>
      </c>
    </row>
    <row r="917" spans="1:17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 s="3">
        <v>46026</v>
      </c>
    </row>
    <row r="918" spans="1:17">
      <c r="A918" t="s">
        <v>1005</v>
      </c>
      <c r="B918" t="s">
        <v>25</v>
      </c>
      <c r="C918" t="s">
        <v>26</v>
      </c>
      <c r="D918" t="s">
        <v>20</v>
      </c>
      <c r="E918" t="s">
        <v>30</v>
      </c>
      <c r="F918" t="s">
        <v>38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 s="3">
        <v>46090</v>
      </c>
    </row>
    <row r="919" spans="1:17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43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 s="3">
        <v>46240</v>
      </c>
    </row>
    <row r="920" spans="1:17">
      <c r="A920" t="s">
        <v>1007</v>
      </c>
      <c r="B920" t="s">
        <v>34</v>
      </c>
      <c r="C920" t="s">
        <v>35</v>
      </c>
      <c r="D920" t="s">
        <v>27</v>
      </c>
      <c r="E920" t="s">
        <v>30</v>
      </c>
      <c r="F920" t="s">
        <v>32</v>
      </c>
      <c r="G920">
        <v>68.97</v>
      </c>
      <c r="H920">
        <v>3</v>
      </c>
      <c r="I920" s="4">
        <v>20363</v>
      </c>
      <c r="J920">
        <v>217.25550000000001</v>
      </c>
      <c r="K920" t="s">
        <v>218</v>
      </c>
      <c r="L920" s="2">
        <v>0.47638888888888892</v>
      </c>
      <c r="M920" t="s">
        <v>23</v>
      </c>
      <c r="N920">
        <v>206.91</v>
      </c>
      <c r="O920">
        <v>4.7619047620000003</v>
      </c>
      <c r="P920" s="4">
        <v>20363</v>
      </c>
      <c r="Q920" s="3">
        <v>46211</v>
      </c>
    </row>
    <row r="921" spans="1:17">
      <c r="A921" t="s">
        <v>1008</v>
      </c>
      <c r="B921" t="s">
        <v>34</v>
      </c>
      <c r="C921" t="s">
        <v>35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 s="3">
        <v>46087</v>
      </c>
    </row>
    <row r="922" spans="1:17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 s="3">
        <v>46027</v>
      </c>
    </row>
    <row r="923" spans="1:17">
      <c r="A923" t="s">
        <v>1010</v>
      </c>
      <c r="B923" t="s">
        <v>34</v>
      </c>
      <c r="C923" t="s">
        <v>35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 s="4">
        <v>26999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 s="3">
        <v>46058</v>
      </c>
    </row>
    <row r="925" spans="1:17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38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0.4381944444444445</v>
      </c>
      <c r="M925" t="s">
        <v>33</v>
      </c>
      <c r="N925">
        <v>581.98</v>
      </c>
      <c r="O925">
        <v>4.7619047620000003</v>
      </c>
      <c r="P925">
        <v>29.099</v>
      </c>
      <c r="Q925" s="3">
        <v>46179</v>
      </c>
    </row>
    <row r="926" spans="1:17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38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 s="3">
        <v>46148</v>
      </c>
    </row>
    <row r="927" spans="1:17">
      <c r="A927" t="s">
        <v>1014</v>
      </c>
      <c r="B927" t="s">
        <v>34</v>
      </c>
      <c r="C927" t="s">
        <v>35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>
      <c r="A928" t="s">
        <v>1015</v>
      </c>
      <c r="B928" t="s">
        <v>34</v>
      </c>
      <c r="C928" t="s">
        <v>35</v>
      </c>
      <c r="D928" t="s">
        <v>20</v>
      </c>
      <c r="E928" t="s">
        <v>30</v>
      </c>
      <c r="F928" t="s">
        <v>38</v>
      </c>
      <c r="G928">
        <v>88.31</v>
      </c>
      <c r="H928">
        <v>1</v>
      </c>
      <c r="I928" s="4">
        <v>20180</v>
      </c>
      <c r="J928">
        <v>92.725499999999997</v>
      </c>
      <c r="K928" t="s">
        <v>118</v>
      </c>
      <c r="L928" s="2">
        <v>0.73472222222222217</v>
      </c>
      <c r="M928" t="s">
        <v>33</v>
      </c>
      <c r="N928">
        <v>88.31</v>
      </c>
      <c r="O928">
        <v>4.7619047620000003</v>
      </c>
      <c r="P928" s="4">
        <v>20180</v>
      </c>
      <c r="Q928" s="3">
        <v>46058</v>
      </c>
    </row>
    <row r="929" spans="1:17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138</v>
      </c>
      <c r="L929" s="2">
        <v>0.74583333333333324</v>
      </c>
      <c r="M929" t="s">
        <v>33</v>
      </c>
      <c r="N929">
        <v>356.58</v>
      </c>
      <c r="O929">
        <v>4.7619047620000003</v>
      </c>
      <c r="P929">
        <v>17.829000000000001</v>
      </c>
      <c r="Q929" s="3">
        <v>46240</v>
      </c>
    </row>
    <row r="930" spans="1:17">
      <c r="A930" t="s">
        <v>1017</v>
      </c>
      <c r="B930" t="s">
        <v>34</v>
      </c>
      <c r="C930" t="s">
        <v>35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118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 s="3">
        <v>46180</v>
      </c>
    </row>
    <row r="931" spans="1:17">
      <c r="A931" t="s">
        <v>1018</v>
      </c>
      <c r="B931" t="s">
        <v>34</v>
      </c>
      <c r="C931" t="s">
        <v>35</v>
      </c>
      <c r="D931" t="s">
        <v>27</v>
      </c>
      <c r="E931" t="s">
        <v>30</v>
      </c>
      <c r="F931" t="s">
        <v>38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 s="3">
        <v>46060</v>
      </c>
    </row>
    <row r="932" spans="1:17">
      <c r="A932" t="s">
        <v>1019</v>
      </c>
      <c r="B932" t="s">
        <v>34</v>
      </c>
      <c r="C932" t="s">
        <v>35</v>
      </c>
      <c r="D932" t="s">
        <v>27</v>
      </c>
      <c r="E932" t="s">
        <v>30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177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 s="3">
        <v>46029</v>
      </c>
    </row>
    <row r="933" spans="1:17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43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 s="3">
        <v>46151</v>
      </c>
    </row>
    <row r="934" spans="1:17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40</v>
      </c>
      <c r="G934">
        <v>74.44</v>
      </c>
      <c r="H934">
        <v>10</v>
      </c>
      <c r="I934">
        <v>37.22</v>
      </c>
      <c r="J934">
        <v>781.62</v>
      </c>
      <c r="K934" t="s">
        <v>99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 s="3">
        <v>46027</v>
      </c>
    </row>
    <row r="935" spans="1:17">
      <c r="A935" t="s">
        <v>1022</v>
      </c>
      <c r="B935" t="s">
        <v>25</v>
      </c>
      <c r="C935" t="s">
        <v>26</v>
      </c>
      <c r="D935" t="s">
        <v>27</v>
      </c>
      <c r="E935" t="s">
        <v>30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 s="3">
        <v>46180</v>
      </c>
    </row>
    <row r="936" spans="1:17">
      <c r="A936" t="s">
        <v>1023</v>
      </c>
      <c r="B936" t="s">
        <v>34</v>
      </c>
      <c r="C936" t="s">
        <v>35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 s="3">
        <v>46243</v>
      </c>
    </row>
    <row r="937" spans="1:17">
      <c r="A937" t="s">
        <v>1024</v>
      </c>
      <c r="B937" t="s">
        <v>25</v>
      </c>
      <c r="C937" t="s">
        <v>26</v>
      </c>
      <c r="D937" t="s">
        <v>20</v>
      </c>
      <c r="E937" t="s">
        <v>30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 s="3">
        <v>46027</v>
      </c>
    </row>
    <row r="938" spans="1:17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 s="3">
        <v>46149</v>
      </c>
    </row>
    <row r="939" spans="1:17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38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 s="3">
        <v>46119</v>
      </c>
    </row>
    <row r="940" spans="1:17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69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 s="3">
        <v>46057</v>
      </c>
    </row>
    <row r="941" spans="1:17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40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 s="3">
        <v>46270</v>
      </c>
    </row>
    <row r="942" spans="1:17">
      <c r="A942" t="s">
        <v>1029</v>
      </c>
      <c r="B942" t="s">
        <v>18</v>
      </c>
      <c r="C942" t="s">
        <v>19</v>
      </c>
      <c r="D942" t="s">
        <v>27</v>
      </c>
      <c r="E942" t="s">
        <v>30</v>
      </c>
      <c r="F942" t="s">
        <v>40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 s="3">
        <v>46271</v>
      </c>
    </row>
    <row r="943" spans="1:17">
      <c r="A943" t="s">
        <v>1030</v>
      </c>
      <c r="B943" t="s">
        <v>25</v>
      </c>
      <c r="C943" t="s">
        <v>26</v>
      </c>
      <c r="D943" t="s">
        <v>20</v>
      </c>
      <c r="E943" t="s">
        <v>30</v>
      </c>
      <c r="F943" t="s">
        <v>43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112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 s="3">
        <v>46179</v>
      </c>
    </row>
    <row r="944" spans="1:17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t="s">
        <v>183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 s="3">
        <v>46208</v>
      </c>
    </row>
    <row r="945" spans="1:17">
      <c r="A945" t="s">
        <v>1032</v>
      </c>
      <c r="B945" t="s">
        <v>18</v>
      </c>
      <c r="C945" t="s">
        <v>19</v>
      </c>
      <c r="D945" t="s">
        <v>27</v>
      </c>
      <c r="E945" t="s">
        <v>30</v>
      </c>
      <c r="F945" t="s">
        <v>22</v>
      </c>
      <c r="G945">
        <v>50.79</v>
      </c>
      <c r="H945">
        <v>5</v>
      </c>
      <c r="I945" s="4">
        <v>27729</v>
      </c>
      <c r="J945">
        <v>266.64749999999998</v>
      </c>
      <c r="K945" t="s">
        <v>453</v>
      </c>
      <c r="L945" s="2">
        <v>0.62013888888888891</v>
      </c>
      <c r="M945" t="s">
        <v>33</v>
      </c>
      <c r="N945">
        <v>253.95</v>
      </c>
      <c r="O945">
        <v>4.7619047620000003</v>
      </c>
      <c r="P945" s="4">
        <v>27729</v>
      </c>
      <c r="Q945" s="3">
        <v>46086</v>
      </c>
    </row>
    <row r="946" spans="1:17">
      <c r="A946" t="s">
        <v>1033</v>
      </c>
      <c r="B946" t="s">
        <v>18</v>
      </c>
      <c r="C946" t="s">
        <v>19</v>
      </c>
      <c r="D946" t="s">
        <v>20</v>
      </c>
      <c r="E946" t="s">
        <v>30</v>
      </c>
      <c r="F946" t="s">
        <v>22</v>
      </c>
      <c r="G946" s="3">
        <v>46244</v>
      </c>
      <c r="H946">
        <v>7</v>
      </c>
      <c r="I946">
        <v>3.528</v>
      </c>
      <c r="J946">
        <v>74.087999999999994</v>
      </c>
      <c r="K946" t="s">
        <v>171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 s="3">
        <v>46057</v>
      </c>
    </row>
    <row r="947" spans="1:17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0.49374999999999997</v>
      </c>
      <c r="M947" t="s">
        <v>33</v>
      </c>
      <c r="N947">
        <v>657.16</v>
      </c>
      <c r="O947">
        <v>4.7619047620000003</v>
      </c>
      <c r="P947">
        <v>32.857999999999997</v>
      </c>
      <c r="Q947" s="3">
        <v>46088</v>
      </c>
    </row>
    <row r="948" spans="1:17">
      <c r="A948" t="s">
        <v>1035</v>
      </c>
      <c r="B948" t="s">
        <v>25</v>
      </c>
      <c r="C948" t="s">
        <v>26</v>
      </c>
      <c r="D948" t="s">
        <v>20</v>
      </c>
      <c r="E948" t="s">
        <v>30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167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 s="3">
        <v>46086</v>
      </c>
    </row>
    <row r="949" spans="1:17">
      <c r="A949" t="s">
        <v>1036</v>
      </c>
      <c r="B949" t="s">
        <v>34</v>
      </c>
      <c r="C949" t="s">
        <v>35</v>
      </c>
      <c r="D949" t="s">
        <v>20</v>
      </c>
      <c r="E949" t="s">
        <v>30</v>
      </c>
      <c r="F949" t="s">
        <v>43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 s="3">
        <v>46207</v>
      </c>
    </row>
    <row r="950" spans="1:17">
      <c r="A950" t="s">
        <v>1037</v>
      </c>
      <c r="B950" t="s">
        <v>25</v>
      </c>
      <c r="C950" t="s">
        <v>26</v>
      </c>
      <c r="D950" t="s">
        <v>20</v>
      </c>
      <c r="E950" t="s">
        <v>30</v>
      </c>
      <c r="F950" t="s">
        <v>32</v>
      </c>
      <c r="G950">
        <v>35.81</v>
      </c>
      <c r="H950">
        <v>5</v>
      </c>
      <c r="I950" s="4">
        <v>45870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 s="4">
        <v>45870</v>
      </c>
      <c r="Q950" s="3">
        <v>46272</v>
      </c>
    </row>
    <row r="951" spans="1:17">
      <c r="A951" t="s">
        <v>1038</v>
      </c>
      <c r="B951" t="s">
        <v>34</v>
      </c>
      <c r="C951" t="s">
        <v>35</v>
      </c>
      <c r="D951" t="s">
        <v>27</v>
      </c>
      <c r="E951" t="s">
        <v>21</v>
      </c>
      <c r="F951" t="s">
        <v>40</v>
      </c>
      <c r="G951">
        <v>26.43</v>
      </c>
      <c r="H951">
        <v>8</v>
      </c>
      <c r="I951">
        <v>10.571999999999999</v>
      </c>
      <c r="J951">
        <v>222.012</v>
      </c>
      <c r="K951" t="s">
        <v>47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 s="3">
        <v>46273</v>
      </c>
    </row>
    <row r="952" spans="1:17">
      <c r="A952" t="s">
        <v>1039</v>
      </c>
      <c r="B952" t="s">
        <v>34</v>
      </c>
      <c r="C952" t="s">
        <v>35</v>
      </c>
      <c r="D952" t="s">
        <v>20</v>
      </c>
      <c r="E952" t="s">
        <v>30</v>
      </c>
      <c r="F952" t="s">
        <v>22</v>
      </c>
      <c r="G952">
        <v>39.909999999999997</v>
      </c>
      <c r="H952">
        <v>3</v>
      </c>
      <c r="I952" s="4">
        <v>23863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 s="4">
        <v>23863</v>
      </c>
      <c r="Q952" s="3">
        <v>46090</v>
      </c>
    </row>
    <row r="953" spans="1:17">
      <c r="A953" t="s">
        <v>1040</v>
      </c>
      <c r="B953" t="s">
        <v>34</v>
      </c>
      <c r="C953" t="s">
        <v>35</v>
      </c>
      <c r="D953" t="s">
        <v>20</v>
      </c>
      <c r="E953" t="s">
        <v>21</v>
      </c>
      <c r="F953" t="s">
        <v>32</v>
      </c>
      <c r="G953" s="3">
        <v>46286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 s="3">
        <v>46207</v>
      </c>
    </row>
    <row r="954" spans="1:17">
      <c r="A954" t="s">
        <v>1041</v>
      </c>
      <c r="B954" t="s">
        <v>34</v>
      </c>
      <c r="C954" t="s">
        <v>35</v>
      </c>
      <c r="D954" t="s">
        <v>20</v>
      </c>
      <c r="E954" t="s">
        <v>21</v>
      </c>
      <c r="F954" t="s">
        <v>40</v>
      </c>
      <c r="G954">
        <v>62.85</v>
      </c>
      <c r="H954">
        <v>4</v>
      </c>
      <c r="I954" s="4">
        <v>21155</v>
      </c>
      <c r="J954">
        <v>263.97000000000003</v>
      </c>
      <c r="K954" t="s">
        <v>45</v>
      </c>
      <c r="L954" s="2">
        <v>0.55694444444444446</v>
      </c>
      <c r="M954" t="s">
        <v>23</v>
      </c>
      <c r="N954">
        <v>251.4</v>
      </c>
      <c r="O954">
        <v>4.7619047620000003</v>
      </c>
      <c r="P954" s="4">
        <v>21155</v>
      </c>
      <c r="Q954" s="3">
        <v>46211</v>
      </c>
    </row>
    <row r="955" spans="1:17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40</v>
      </c>
      <c r="G955" s="3">
        <v>46133</v>
      </c>
      <c r="H955">
        <v>4</v>
      </c>
      <c r="I955">
        <v>4.2080000000000002</v>
      </c>
      <c r="J955">
        <v>88.367999999999995</v>
      </c>
      <c r="K955" t="s">
        <v>138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 s="3">
        <v>46180</v>
      </c>
    </row>
    <row r="956" spans="1:17">
      <c r="A956" t="s">
        <v>1043</v>
      </c>
      <c r="B956" t="s">
        <v>34</v>
      </c>
      <c r="C956" t="s">
        <v>35</v>
      </c>
      <c r="D956" t="s">
        <v>20</v>
      </c>
      <c r="E956" t="s">
        <v>30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 s="3">
        <v>46208</v>
      </c>
    </row>
    <row r="957" spans="1:17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43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 s="3">
        <v>46240</v>
      </c>
    </row>
    <row r="958" spans="1:17">
      <c r="A958" t="s">
        <v>1045</v>
      </c>
      <c r="B958" t="s">
        <v>25</v>
      </c>
      <c r="C958" t="s">
        <v>26</v>
      </c>
      <c r="D958" t="s">
        <v>20</v>
      </c>
      <c r="E958" t="s">
        <v>30</v>
      </c>
      <c r="F958" t="s">
        <v>40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 s="3">
        <v>46117</v>
      </c>
    </row>
    <row r="959" spans="1:17">
      <c r="A959" t="s">
        <v>1046</v>
      </c>
      <c r="B959" t="s">
        <v>34</v>
      </c>
      <c r="C959" t="s">
        <v>35</v>
      </c>
      <c r="D959" t="s">
        <v>27</v>
      </c>
      <c r="E959" t="s">
        <v>30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 s="3">
        <v>46029</v>
      </c>
    </row>
    <row r="960" spans="1:17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 s="3">
        <v>46249</v>
      </c>
      <c r="H960">
        <v>10</v>
      </c>
      <c r="I960" s="3">
        <v>46272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 s="3">
        <v>46272</v>
      </c>
      <c r="Q960" s="3">
        <v>46241</v>
      </c>
    </row>
    <row r="961" spans="1:17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40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 s="3">
        <v>46120</v>
      </c>
    </row>
    <row r="962" spans="1:17">
      <c r="A962" t="s">
        <v>1049</v>
      </c>
      <c r="B962" t="s">
        <v>25</v>
      </c>
      <c r="C962" t="s">
        <v>26</v>
      </c>
      <c r="D962" t="s">
        <v>20</v>
      </c>
      <c r="E962" t="s">
        <v>30</v>
      </c>
      <c r="F962" t="s">
        <v>43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 s="3">
        <v>46243</v>
      </c>
    </row>
    <row r="963" spans="1:17">
      <c r="A963" t="s">
        <v>1050</v>
      </c>
      <c r="B963" t="s">
        <v>18</v>
      </c>
      <c r="C963" t="s">
        <v>19</v>
      </c>
      <c r="D963" t="s">
        <v>20</v>
      </c>
      <c r="E963" t="s">
        <v>30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 s="3">
        <v>46243</v>
      </c>
    </row>
    <row r="964" spans="1:17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43</v>
      </c>
      <c r="G964" s="3">
        <v>46157</v>
      </c>
      <c r="H964">
        <v>1</v>
      </c>
      <c r="I964">
        <v>0.77500000000000002</v>
      </c>
      <c r="J964">
        <v>16.274999999999999</v>
      </c>
      <c r="K964" t="s">
        <v>103</v>
      </c>
      <c r="L964" s="2">
        <v>0.64097222222222217</v>
      </c>
      <c r="M964" t="s">
        <v>33</v>
      </c>
      <c r="N964" s="7">
        <v>46157</v>
      </c>
      <c r="O964">
        <v>4.7619047620000003</v>
      </c>
      <c r="P964">
        <v>0.77500000000000002</v>
      </c>
      <c r="Q964" s="3">
        <v>46119</v>
      </c>
    </row>
    <row r="965" spans="1:17">
      <c r="A965" t="s">
        <v>1052</v>
      </c>
      <c r="B965" t="s">
        <v>25</v>
      </c>
      <c r="C965" t="s">
        <v>26</v>
      </c>
      <c r="D965" t="s">
        <v>20</v>
      </c>
      <c r="E965" t="s">
        <v>30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 s="3">
        <v>46209</v>
      </c>
    </row>
    <row r="966" spans="1:17">
      <c r="A966" t="s">
        <v>1053</v>
      </c>
      <c r="B966" t="s">
        <v>34</v>
      </c>
      <c r="C966" t="s">
        <v>35</v>
      </c>
      <c r="D966" t="s">
        <v>27</v>
      </c>
      <c r="E966" t="s">
        <v>30</v>
      </c>
      <c r="F966" t="s">
        <v>40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145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 s="3">
        <v>46118</v>
      </c>
    </row>
    <row r="967" spans="1:17">
      <c r="A967" t="s">
        <v>1054</v>
      </c>
      <c r="B967" t="s">
        <v>34</v>
      </c>
      <c r="C967" t="s">
        <v>35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0.76250000000000007</v>
      </c>
      <c r="M967" t="s">
        <v>33</v>
      </c>
      <c r="N967">
        <v>76.540000000000006</v>
      </c>
      <c r="O967">
        <v>4.7619047620000003</v>
      </c>
      <c r="P967">
        <v>3.827</v>
      </c>
      <c r="Q967" s="3">
        <v>46239</v>
      </c>
    </row>
    <row r="968" spans="1:17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 s="3">
        <v>46060</v>
      </c>
    </row>
    <row r="969" spans="1:17">
      <c r="A969" t="s">
        <v>1056</v>
      </c>
      <c r="B969" t="s">
        <v>18</v>
      </c>
      <c r="C969" t="s">
        <v>19</v>
      </c>
      <c r="D969" t="s">
        <v>20</v>
      </c>
      <c r="E969" t="s">
        <v>30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t="s">
        <v>138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 s="3">
        <v>46090</v>
      </c>
    </row>
    <row r="970" spans="1:17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 s="3">
        <v>46249</v>
      </c>
      <c r="H970">
        <v>3</v>
      </c>
      <c r="I970" s="4">
        <v>13547</v>
      </c>
      <c r="J970">
        <v>49.77</v>
      </c>
      <c r="K970" t="s">
        <v>42</v>
      </c>
      <c r="L970" s="2">
        <v>0.75138888888888899</v>
      </c>
      <c r="M970" t="s">
        <v>29</v>
      </c>
      <c r="N970">
        <v>47.4</v>
      </c>
      <c r="O970">
        <v>4.7619047620000003</v>
      </c>
      <c r="P970" s="4">
        <v>13547</v>
      </c>
      <c r="Q970" s="3">
        <v>46151</v>
      </c>
    </row>
    <row r="971" spans="1:17">
      <c r="A971" t="s">
        <v>1058</v>
      </c>
      <c r="B971" t="s">
        <v>34</v>
      </c>
      <c r="C971" t="s">
        <v>35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 s="4">
        <v>45870</v>
      </c>
      <c r="J971">
        <v>181.07249999999999</v>
      </c>
      <c r="K971" s="1">
        <v>43772</v>
      </c>
      <c r="L971" s="2">
        <v>0.8222222222222223</v>
      </c>
      <c r="M971" t="s">
        <v>33</v>
      </c>
      <c r="N971">
        <v>172.45</v>
      </c>
      <c r="O971">
        <v>4.7619047620000003</v>
      </c>
      <c r="P971" s="4">
        <v>45870</v>
      </c>
      <c r="Q971">
        <v>9</v>
      </c>
    </row>
    <row r="972" spans="1:17">
      <c r="A972" t="s">
        <v>1059</v>
      </c>
      <c r="B972" t="s">
        <v>34</v>
      </c>
      <c r="C972" t="s">
        <v>35</v>
      </c>
      <c r="D972" t="s">
        <v>20</v>
      </c>
      <c r="E972" t="s">
        <v>21</v>
      </c>
      <c r="F972" t="s">
        <v>40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>
      <c r="A973" t="s">
        <v>1060</v>
      </c>
      <c r="B973" t="s">
        <v>34</v>
      </c>
      <c r="C973" t="s">
        <v>35</v>
      </c>
      <c r="D973" t="s">
        <v>20</v>
      </c>
      <c r="E973" t="s">
        <v>30</v>
      </c>
      <c r="F973" t="s">
        <v>32</v>
      </c>
      <c r="G973">
        <v>36.909999999999997</v>
      </c>
      <c r="H973">
        <v>7</v>
      </c>
      <c r="I973" s="4">
        <v>31382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 s="4">
        <v>31382</v>
      </c>
      <c r="Q973" s="3">
        <v>46209</v>
      </c>
    </row>
    <row r="974" spans="1:17">
      <c r="A974" t="s">
        <v>1061</v>
      </c>
      <c r="B974" t="s">
        <v>34</v>
      </c>
      <c r="C974" t="s">
        <v>35</v>
      </c>
      <c r="D974" t="s">
        <v>27</v>
      </c>
      <c r="E974" t="s">
        <v>30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145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 s="3">
        <v>46147</v>
      </c>
    </row>
    <row r="975" spans="1:17">
      <c r="A975" t="s">
        <v>1062</v>
      </c>
      <c r="B975" t="s">
        <v>18</v>
      </c>
      <c r="C975" t="s">
        <v>19</v>
      </c>
      <c r="D975" t="s">
        <v>27</v>
      </c>
      <c r="E975" t="s">
        <v>30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 s="3">
        <v>46117</v>
      </c>
    </row>
    <row r="976" spans="1:17">
      <c r="A976" t="s">
        <v>1063</v>
      </c>
      <c r="B976" t="s">
        <v>25</v>
      </c>
      <c r="C976" t="s">
        <v>26</v>
      </c>
      <c r="D976" t="s">
        <v>27</v>
      </c>
      <c r="E976" t="s">
        <v>30</v>
      </c>
      <c r="F976" t="s">
        <v>43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 s="3">
        <v>46061</v>
      </c>
    </row>
    <row r="977" spans="1:17">
      <c r="A977" t="s">
        <v>1064</v>
      </c>
      <c r="B977" t="s">
        <v>34</v>
      </c>
      <c r="C977" t="s">
        <v>35</v>
      </c>
      <c r="D977" t="s">
        <v>20</v>
      </c>
      <c r="E977" t="s">
        <v>30</v>
      </c>
      <c r="F977" t="s">
        <v>43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0.49652777777777773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40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 s="3">
        <v>46150</v>
      </c>
    </row>
    <row r="979" spans="1:17">
      <c r="A979" t="s">
        <v>1066</v>
      </c>
      <c r="B979" t="s">
        <v>34</v>
      </c>
      <c r="C979" t="s">
        <v>35</v>
      </c>
      <c r="D979" t="s">
        <v>20</v>
      </c>
      <c r="E979" t="s">
        <v>30</v>
      </c>
      <c r="F979" t="s">
        <v>40</v>
      </c>
      <c r="G979" s="3">
        <v>46199</v>
      </c>
      <c r="H979">
        <v>6</v>
      </c>
      <c r="I979" s="4">
        <v>35977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 s="4">
        <v>35977</v>
      </c>
      <c r="Q979" s="3">
        <v>46269</v>
      </c>
    </row>
    <row r="980" spans="1:17">
      <c r="A980" t="s">
        <v>1067</v>
      </c>
      <c r="B980" t="s">
        <v>34</v>
      </c>
      <c r="C980" t="s">
        <v>35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 s="4">
        <v>45658</v>
      </c>
      <c r="J980">
        <v>26.7225</v>
      </c>
      <c r="K980" s="1">
        <v>43741</v>
      </c>
      <c r="L980" s="2">
        <v>0.75694444444444453</v>
      </c>
      <c r="M980" t="s">
        <v>33</v>
      </c>
      <c r="N980">
        <v>25.45</v>
      </c>
      <c r="O980">
        <v>4.7619047620000003</v>
      </c>
      <c r="P980" s="4">
        <v>45658</v>
      </c>
      <c r="Q980" s="3">
        <v>46027</v>
      </c>
    </row>
    <row r="981" spans="1:17">
      <c r="A981" t="s">
        <v>1068</v>
      </c>
      <c r="B981" t="s">
        <v>34</v>
      </c>
      <c r="C981" t="s">
        <v>35</v>
      </c>
      <c r="D981" t="s">
        <v>27</v>
      </c>
      <c r="E981" t="s">
        <v>21</v>
      </c>
      <c r="F981" t="s">
        <v>40</v>
      </c>
      <c r="G981">
        <v>67.77</v>
      </c>
      <c r="H981">
        <v>1</v>
      </c>
      <c r="I981" s="4">
        <v>31107</v>
      </c>
      <c r="J981">
        <v>71.158500000000004</v>
      </c>
      <c r="K981" s="1">
        <v>43557</v>
      </c>
      <c r="L981" s="2">
        <v>0.86319444444444438</v>
      </c>
      <c r="M981" t="s">
        <v>33</v>
      </c>
      <c r="N981">
        <v>67.77</v>
      </c>
      <c r="O981">
        <v>4.7619047620000003</v>
      </c>
      <c r="P981" s="4">
        <v>31107</v>
      </c>
      <c r="Q981" s="3">
        <v>46148</v>
      </c>
    </row>
    <row r="982" spans="1:17">
      <c r="A982" t="s">
        <v>1069</v>
      </c>
      <c r="B982" t="s">
        <v>25</v>
      </c>
      <c r="C982" t="s">
        <v>26</v>
      </c>
      <c r="D982" t="s">
        <v>20</v>
      </c>
      <c r="E982" t="s">
        <v>30</v>
      </c>
      <c r="F982" t="s">
        <v>40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183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 s="3">
        <v>46243</v>
      </c>
    </row>
    <row r="983" spans="1:17">
      <c r="A983" t="s">
        <v>1070</v>
      </c>
      <c r="B983" t="s">
        <v>18</v>
      </c>
      <c r="C983" t="s">
        <v>19</v>
      </c>
      <c r="D983" t="s">
        <v>27</v>
      </c>
      <c r="E983" t="s">
        <v>30</v>
      </c>
      <c r="F983" t="s">
        <v>22</v>
      </c>
      <c r="G983">
        <v>58.15</v>
      </c>
      <c r="H983">
        <v>4</v>
      </c>
      <c r="I983" s="4">
        <v>23316</v>
      </c>
      <c r="J983">
        <v>244.23</v>
      </c>
      <c r="K983" t="s">
        <v>147</v>
      </c>
      <c r="L983" s="2">
        <v>0.73888888888888893</v>
      </c>
      <c r="M983" t="s">
        <v>29</v>
      </c>
      <c r="N983">
        <v>232.6</v>
      </c>
      <c r="O983">
        <v>4.7619047620000003</v>
      </c>
      <c r="P983" s="4">
        <v>23316</v>
      </c>
      <c r="Q983" s="3">
        <v>46120</v>
      </c>
    </row>
    <row r="984" spans="1:17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38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 s="3">
        <v>46119</v>
      </c>
    </row>
    <row r="985" spans="1:17">
      <c r="A985" t="s">
        <v>1072</v>
      </c>
      <c r="B985" t="s">
        <v>25</v>
      </c>
      <c r="C985" t="s">
        <v>26</v>
      </c>
      <c r="D985" t="s">
        <v>27</v>
      </c>
      <c r="E985" t="s">
        <v>30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147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 s="3">
        <v>46028</v>
      </c>
    </row>
    <row r="986" spans="1:17">
      <c r="A986" t="s">
        <v>1073</v>
      </c>
      <c r="B986" t="s">
        <v>25</v>
      </c>
      <c r="C986" t="s">
        <v>26</v>
      </c>
      <c r="D986" t="s">
        <v>27</v>
      </c>
      <c r="E986" t="s">
        <v>30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>
      <c r="A987" t="s">
        <v>1074</v>
      </c>
      <c r="B987" t="s">
        <v>34</v>
      </c>
      <c r="C987" t="s">
        <v>35</v>
      </c>
      <c r="D987" t="s">
        <v>27</v>
      </c>
      <c r="E987" t="s">
        <v>21</v>
      </c>
      <c r="F987" t="s">
        <v>43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 s="3">
        <v>46150</v>
      </c>
    </row>
    <row r="988" spans="1:17">
      <c r="A988" t="s">
        <v>1075</v>
      </c>
      <c r="B988" t="s">
        <v>34</v>
      </c>
      <c r="C988" t="s">
        <v>35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207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 s="3">
        <v>46085</v>
      </c>
    </row>
    <row r="989" spans="1:17">
      <c r="A989" t="s">
        <v>1076</v>
      </c>
      <c r="B989" t="s">
        <v>34</v>
      </c>
      <c r="C989" t="s">
        <v>35</v>
      </c>
      <c r="D989" t="s">
        <v>20</v>
      </c>
      <c r="E989" t="s">
        <v>30</v>
      </c>
      <c r="F989" t="s">
        <v>22</v>
      </c>
      <c r="G989">
        <v>62</v>
      </c>
      <c r="H989">
        <v>8</v>
      </c>
      <c r="I989" s="3">
        <v>46258</v>
      </c>
      <c r="J989">
        <v>520.79999999999995</v>
      </c>
      <c r="K989" s="1">
        <v>43525</v>
      </c>
      <c r="L989" s="2">
        <v>0.79722222222222217</v>
      </c>
      <c r="M989" t="s">
        <v>33</v>
      </c>
      <c r="N989">
        <v>496</v>
      </c>
      <c r="O989">
        <v>4.7619047620000003</v>
      </c>
      <c r="P989" s="3">
        <v>46258</v>
      </c>
      <c r="Q989" s="3">
        <v>46059</v>
      </c>
    </row>
    <row r="990" spans="1:17">
      <c r="A990" t="s">
        <v>1077</v>
      </c>
      <c r="B990" t="s">
        <v>25</v>
      </c>
      <c r="C990" t="s">
        <v>26</v>
      </c>
      <c r="D990" t="s">
        <v>20</v>
      </c>
      <c r="E990" t="s">
        <v>30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56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 s="3">
        <v>46085</v>
      </c>
    </row>
    <row r="991" spans="1:17">
      <c r="A991" t="s">
        <v>1078</v>
      </c>
      <c r="B991" t="s">
        <v>34</v>
      </c>
      <c r="C991" t="s">
        <v>35</v>
      </c>
      <c r="D991" t="s">
        <v>20</v>
      </c>
      <c r="E991" t="s">
        <v>30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80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 s="3">
        <v>46120</v>
      </c>
    </row>
    <row r="992" spans="1:17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40</v>
      </c>
      <c r="G992">
        <v>56.56</v>
      </c>
      <c r="H992">
        <v>5</v>
      </c>
      <c r="I992">
        <v>14.14</v>
      </c>
      <c r="J992">
        <v>296.94</v>
      </c>
      <c r="K992" t="s">
        <v>72</v>
      </c>
      <c r="L992" s="2">
        <v>0.79583333333333339</v>
      </c>
      <c r="M992" t="s">
        <v>33</v>
      </c>
      <c r="N992">
        <v>282.8</v>
      </c>
      <c r="O992">
        <v>4.7619047620000003</v>
      </c>
      <c r="P992">
        <v>14.14</v>
      </c>
      <c r="Q992" s="3">
        <v>46146</v>
      </c>
    </row>
    <row r="993" spans="1:17">
      <c r="A993" t="s">
        <v>1080</v>
      </c>
      <c r="B993" t="s">
        <v>34</v>
      </c>
      <c r="C993" t="s">
        <v>35</v>
      </c>
      <c r="D993" t="s">
        <v>27</v>
      </c>
      <c r="E993" t="s">
        <v>21</v>
      </c>
      <c r="F993" t="s">
        <v>38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>
      <c r="A994" t="s">
        <v>1081</v>
      </c>
      <c r="B994" t="s">
        <v>18</v>
      </c>
      <c r="C994" t="s">
        <v>19</v>
      </c>
      <c r="D994" t="s">
        <v>27</v>
      </c>
      <c r="E994" t="s">
        <v>30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 s="3">
        <v>46242</v>
      </c>
    </row>
    <row r="995" spans="1:17">
      <c r="A995" t="s">
        <v>1082</v>
      </c>
      <c r="B995" t="s">
        <v>34</v>
      </c>
      <c r="C995" t="s">
        <v>35</v>
      </c>
      <c r="D995" t="s">
        <v>27</v>
      </c>
      <c r="E995" t="s">
        <v>30</v>
      </c>
      <c r="F995" t="s">
        <v>43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 s="3">
        <v>46179</v>
      </c>
    </row>
    <row r="996" spans="1:17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207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 s="3">
        <v>46270</v>
      </c>
    </row>
    <row r="997" spans="1:17">
      <c r="A997" t="s">
        <v>1084</v>
      </c>
      <c r="B997" t="s">
        <v>25</v>
      </c>
      <c r="C997" t="s">
        <v>26</v>
      </c>
      <c r="D997" t="s">
        <v>27</v>
      </c>
      <c r="E997" t="s">
        <v>30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 s="3">
        <v>46059</v>
      </c>
    </row>
    <row r="998" spans="1:17">
      <c r="A998" t="s">
        <v>1085</v>
      </c>
      <c r="B998" t="s">
        <v>34</v>
      </c>
      <c r="C998" t="s">
        <v>35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 s="3">
        <v>46116</v>
      </c>
    </row>
    <row r="999" spans="1:17">
      <c r="A999" t="s">
        <v>1086</v>
      </c>
      <c r="B999" t="s">
        <v>18</v>
      </c>
      <c r="C999" t="s">
        <v>19</v>
      </c>
      <c r="D999" t="s">
        <v>20</v>
      </c>
      <c r="E999" t="s">
        <v>30</v>
      </c>
      <c r="F999" t="s">
        <v>40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 s="3">
        <v>46210</v>
      </c>
    </row>
    <row r="1000" spans="1:17">
      <c r="A1000" t="s">
        <v>1087</v>
      </c>
      <c r="B1000" t="s">
        <v>18</v>
      </c>
      <c r="C1000" t="s">
        <v>19</v>
      </c>
      <c r="D1000" t="s">
        <v>27</v>
      </c>
      <c r="E1000" t="s">
        <v>30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 s="3">
        <v>46026</v>
      </c>
    </row>
    <row r="1001" spans="1:17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43</v>
      </c>
      <c r="G1001">
        <v>88.34</v>
      </c>
      <c r="H1001">
        <v>7</v>
      </c>
      <c r="I1001">
        <v>30.919</v>
      </c>
      <c r="J1001">
        <v>649.29899999999998</v>
      </c>
      <c r="K1001" t="s">
        <v>207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 s="3">
        <v>46179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1001"/>
  <sheetViews>
    <sheetView workbookViewId="0">
      <selection activeCell="G2" sqref="G2"/>
    </sheetView>
  </sheetViews>
  <sheetFormatPr defaultRowHeight="14.5"/>
  <cols>
    <col min="1" max="1" width="11.453125" customWidth="1"/>
    <col min="2" max="2" width="8.6328125" customWidth="1"/>
    <col min="3" max="3" width="11.453125" customWidth="1"/>
    <col min="4" max="4" width="15" customWidth="1"/>
    <col min="5" max="5" width="11.453125" customWidth="1"/>
    <col min="6" max="6" width="22.36328125" customWidth="1"/>
    <col min="7" max="10" width="11" customWidth="1"/>
    <col min="11" max="11" width="13.1796875" customWidth="1"/>
    <col min="12" max="12" width="11" customWidth="1"/>
    <col min="13" max="13" width="12.1796875" customWidth="1"/>
    <col min="14" max="14" width="11" customWidth="1"/>
    <col min="15" max="15" width="23.54296875" customWidth="1"/>
    <col min="16" max="16" width="14.08984375" customWidth="1"/>
    <col min="17" max="17" width="1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f>VALUE(IF(AND(ISERR(FIND(".",'Raw Data'!G2)),LEN('Raw Data'!G2)=5), IF(YEAR('Raw Data'!G2)=2026,CONCATENATE(DAY('Raw Data'!G2),".",IF(LEN(MONTH('Raw Data'!G2))=2,MONTH('Raw Data'!G2),CONCATENATE("0",MONTH('Raw Data'!G2)))),CONCATENATE(MONTH('Raw Data'!G2),".",RIGHT(YEAR('Raw Data'!G2),2))),'Raw Data'!G2))</f>
        <v>74.69</v>
      </c>
      <c r="H2">
        <f>'Raw Data'!H2</f>
        <v>7</v>
      </c>
      <c r="I2" s="6">
        <f>J2-G2*H2</f>
        <v>26.141500000000065</v>
      </c>
      <c r="J2" s="6">
        <f>'Raw Data'!J2</f>
        <v>548.97149999999999</v>
      </c>
      <c r="K2" s="1">
        <f>VALUE(IFERROR(VALUE('Raw Data'!K2),CONCATENATE(MID('Raw Data'!K2,3,2),".","0",LEFT('Raw Data'!K2,1),".", RIGHT('Raw Data'!K2,4))))</f>
        <v>43586</v>
      </c>
      <c r="L2" s="2">
        <f>'Raw Data'!L2</f>
        <v>0.54722222222222217</v>
      </c>
      <c r="M2" t="s">
        <v>23</v>
      </c>
      <c r="N2">
        <f>VALUE(IF(AND(ISERR(FIND(".",'Raw Data'!N2)),LEN('Raw Data'!N2)=5), IF(YEAR('Raw Data'!N2)=2026,CONCATENATE(DAY('Raw Data'!N2),".",IF(LEN(MONTH('Raw Data'!N2))=2,MONTH('Raw Data'!N2),CONCATENATE("0",MONTH('Raw Data'!N2)))),CONCATENATE(MONTH('Raw Data'!N2),".",RIGHT(YEAR('Raw Data'!N2),2))),'Raw Data'!N2))</f>
        <v>522.83000000000004</v>
      </c>
      <c r="O2" s="6">
        <f>P2/J2*100</f>
        <v>4.761904761904753</v>
      </c>
      <c r="P2" s="6">
        <f>J2-N2</f>
        <v>26.141499999999951</v>
      </c>
      <c r="Q2">
        <f>VALUE(IF(AND(ISERR(FIND(".",'Raw Data'!Q2)),LEN('Raw Data'!Q2)=5), IF(YEAR('Raw Data'!Q2)=2026,CONCATENATE(DAY('Raw Data'!Q2),".",IF(LEN(MONTH('Raw Data'!Q2))=2,MONTH('Raw Data'!Q2),CONCATENATE(MONTH('Raw Data'!Q2)))),CONCATENATE(MONTH('Raw Data'!Q2),".",RIGHT(YEAR('Raw Data'!Q2),2))),'Raw Data'!Q2))</f>
        <v>9.1</v>
      </c>
    </row>
    <row r="3" spans="1:17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f>VALUE(IF(AND(ISERR(FIND(".",'Raw Data'!G3)),LEN('Raw Data'!G3)=5), IF(YEAR('Raw Data'!G3)=2026,CONCATENATE(DAY('Raw Data'!G3),".",IF(LEN(MONTH('Raw Data'!G3))=2,MONTH('Raw Data'!G3),CONCATENATE("0",MONTH('Raw Data'!G3)))),CONCATENATE(MONTH('Raw Data'!G3),".",RIGHT(YEAR('Raw Data'!G3),2))),'Raw Data'!G3))</f>
        <v>15.28</v>
      </c>
      <c r="H3">
        <f>'Raw Data'!H3</f>
        <v>5</v>
      </c>
      <c r="I3" s="6">
        <f t="shared" ref="I3:I66" si="0">J3-G3*H3</f>
        <v>3.8200000000000074</v>
      </c>
      <c r="J3" s="6">
        <f>'Raw Data'!J3</f>
        <v>80.22</v>
      </c>
      <c r="K3" s="1">
        <f>VALUE(IFERROR(VALUE('Raw Data'!K3),CONCATENATE(MID('Raw Data'!K3,3,2),".","0",LEFT('Raw Data'!K3,1),".", RIGHT('Raw Data'!K3,4))))</f>
        <v>43680</v>
      </c>
      <c r="L3" s="2">
        <f>'Raw Data'!L3</f>
        <v>0.4368055555555555</v>
      </c>
      <c r="M3" t="s">
        <v>29</v>
      </c>
      <c r="N3">
        <f>VALUE(IF(AND(ISERR(FIND(".",'Raw Data'!N3)),LEN('Raw Data'!N3)=5), IF(YEAR('Raw Data'!N3)=2026,CONCATENATE(DAY('Raw Data'!N3),".",IF(LEN(MONTH('Raw Data'!N3))=2,MONTH('Raw Data'!N3),CONCATENATE("0",MONTH('Raw Data'!N3)))),CONCATENATE(MONTH('Raw Data'!N3),".",RIGHT(YEAR('Raw Data'!N3),2))),'Raw Data'!N3))</f>
        <v>76.400000000000006</v>
      </c>
      <c r="O3" s="6">
        <f t="shared" ref="O3:O66" si="1">P3/J3*100</f>
        <v>4.761904761904753</v>
      </c>
      <c r="P3" s="6">
        <f t="shared" ref="P3:P66" si="2">J3-N3</f>
        <v>3.8199999999999932</v>
      </c>
      <c r="Q3">
        <f>VALUE(IF(AND(ISERR(FIND(".",'Raw Data'!Q3)),LEN('Raw Data'!Q3)=5), IF(YEAR('Raw Data'!Q3)=2026,CONCATENATE(DAY('Raw Data'!Q3),".",IF(LEN(MONTH('Raw Data'!Q3))=2,MONTH('Raw Data'!Q3),CONCATENATE(MONTH('Raw Data'!Q3)))),CONCATENATE(MONTH('Raw Data'!Q3),".",RIGHT(YEAR('Raw Data'!Q3),2))),'Raw Data'!Q3))</f>
        <v>9.6</v>
      </c>
    </row>
    <row r="4" spans="1:17">
      <c r="A4" t="s">
        <v>31</v>
      </c>
      <c r="B4" t="s">
        <v>18</v>
      </c>
      <c r="C4" t="s">
        <v>19</v>
      </c>
      <c r="D4" t="s">
        <v>27</v>
      </c>
      <c r="E4" t="s">
        <v>30</v>
      </c>
      <c r="F4" t="s">
        <v>32</v>
      </c>
      <c r="G4">
        <f>VALUE(IF(AND(ISERR(FIND(".",'Raw Data'!G4)),LEN('Raw Data'!G4)=5), IF(YEAR('Raw Data'!G4)=2026,CONCATENATE(DAY('Raw Data'!G4),".",IF(LEN(MONTH('Raw Data'!G4))=2,MONTH('Raw Data'!G4),CONCATENATE("0",MONTH('Raw Data'!G4)))),CONCATENATE(MONTH('Raw Data'!G4),".",RIGHT(YEAR('Raw Data'!G4),2))),'Raw Data'!G4))</f>
        <v>46.33</v>
      </c>
      <c r="H4">
        <f>'Raw Data'!H4</f>
        <v>7</v>
      </c>
      <c r="I4" s="6">
        <f t="shared" si="0"/>
        <v>16.21550000000002</v>
      </c>
      <c r="J4" s="6">
        <f>'Raw Data'!J4</f>
        <v>340.52550000000002</v>
      </c>
      <c r="K4" s="1">
        <f>VALUE(IFERROR(VALUE('Raw Data'!K4),CONCATENATE(MID('Raw Data'!K4,3,2),".","0",LEFT('Raw Data'!K4,1),".", RIGHT('Raw Data'!K4,4))))</f>
        <v>43527</v>
      </c>
      <c r="L4" s="2">
        <f>'Raw Data'!L4</f>
        <v>0.55763888888888891</v>
      </c>
      <c r="M4" t="s">
        <v>33</v>
      </c>
      <c r="N4">
        <f>VALUE(IF(AND(ISERR(FIND(".",'Raw Data'!N4)),LEN('Raw Data'!N4)=5), IF(YEAR('Raw Data'!N4)=2026,CONCATENATE(DAY('Raw Data'!N4),".",IF(LEN(MONTH('Raw Data'!N4))=2,MONTH('Raw Data'!N4),CONCATENATE("0",MONTH('Raw Data'!N4)))),CONCATENATE(MONTH('Raw Data'!N4),".",RIGHT(YEAR('Raw Data'!N4),2))),'Raw Data'!N4))</f>
        <v>324.31</v>
      </c>
      <c r="O4" s="6">
        <f t="shared" si="1"/>
        <v>4.7619047619047672</v>
      </c>
      <c r="P4" s="6">
        <f t="shared" si="2"/>
        <v>16.21550000000002</v>
      </c>
      <c r="Q4">
        <f>VALUE(IF(AND(ISERR(FIND(".",'Raw Data'!Q4)),LEN('Raw Data'!Q4)=5), IF(YEAR('Raw Data'!Q4)=2026,CONCATENATE(DAY('Raw Data'!Q4),".",IF(LEN(MONTH('Raw Data'!Q4))=2,MONTH('Raw Data'!Q4),CONCATENATE(MONTH('Raw Data'!Q4)))),CONCATENATE(MONTH('Raw Data'!Q4),".",RIGHT(YEAR('Raw Data'!Q4),2))),'Raw Data'!Q4))</f>
        <v>7.4</v>
      </c>
    </row>
    <row r="5" spans="1:17">
      <c r="A5" t="s">
        <v>36</v>
      </c>
      <c r="B5" t="s">
        <v>18</v>
      </c>
      <c r="C5" t="s">
        <v>19</v>
      </c>
      <c r="D5" t="s">
        <v>20</v>
      </c>
      <c r="E5" t="s">
        <v>30</v>
      </c>
      <c r="F5" t="s">
        <v>22</v>
      </c>
      <c r="G5">
        <f>VALUE(IF(AND(ISERR(FIND(".",'Raw Data'!G5)),LEN('Raw Data'!G5)=5), IF(YEAR('Raw Data'!G5)=2026,CONCATENATE(DAY('Raw Data'!G5),".",IF(LEN(MONTH('Raw Data'!G5))=2,MONTH('Raw Data'!G5),CONCATENATE("0",MONTH('Raw Data'!G5)))),CONCATENATE(MONTH('Raw Data'!G5),".",RIGHT(YEAR('Raw Data'!G5),2))),'Raw Data'!G5))</f>
        <v>58.22</v>
      </c>
      <c r="H5">
        <f>'Raw Data'!H5</f>
        <v>8</v>
      </c>
      <c r="I5" s="6">
        <f t="shared" si="0"/>
        <v>23.288000000000011</v>
      </c>
      <c r="J5" s="6">
        <f>'Raw Data'!J5</f>
        <v>489.048</v>
      </c>
      <c r="K5" s="1">
        <f>VALUE(IFERROR(VALUE('Raw Data'!K5),CONCATENATE(MID('Raw Data'!K5,3,2),".","0",LEFT('Raw Data'!K5,1),".", RIGHT('Raw Data'!K5,4))))</f>
        <v>43492</v>
      </c>
      <c r="L5" s="2">
        <f>'Raw Data'!L5</f>
        <v>0.85625000000000007</v>
      </c>
      <c r="M5" t="s">
        <v>23</v>
      </c>
      <c r="N5">
        <f>VALUE(IF(AND(ISERR(FIND(".",'Raw Data'!N5)),LEN('Raw Data'!N5)=5), IF(YEAR('Raw Data'!N5)=2026,CONCATENATE(DAY('Raw Data'!N5),".",IF(LEN(MONTH('Raw Data'!N5))=2,MONTH('Raw Data'!N5),CONCATENATE("0",MONTH('Raw Data'!N5)))),CONCATENATE(MONTH('Raw Data'!N5),".",RIGHT(YEAR('Raw Data'!N5),2))),'Raw Data'!N5))</f>
        <v>465.76</v>
      </c>
      <c r="O5" s="6">
        <f t="shared" si="1"/>
        <v>4.7619047619047645</v>
      </c>
      <c r="P5" s="6">
        <f t="shared" si="2"/>
        <v>23.288000000000011</v>
      </c>
      <c r="Q5">
        <f>VALUE(IF(AND(ISERR(FIND(".",'Raw Data'!Q5)),LEN('Raw Data'!Q5)=5), IF(YEAR('Raw Data'!Q5)=2026,CONCATENATE(DAY('Raw Data'!Q5),".",IF(LEN(MONTH('Raw Data'!Q5))=2,MONTH('Raw Data'!Q5),CONCATENATE(MONTH('Raw Data'!Q5)))),CONCATENATE(MONTH('Raw Data'!Q5),".",RIGHT(YEAR('Raw Data'!Q5),2))),'Raw Data'!Q5))</f>
        <v>8.4</v>
      </c>
    </row>
    <row r="6" spans="1:17">
      <c r="A6" t="s">
        <v>39</v>
      </c>
      <c r="B6" t="s">
        <v>18</v>
      </c>
      <c r="C6" t="s">
        <v>19</v>
      </c>
      <c r="D6" t="s">
        <v>27</v>
      </c>
      <c r="E6" t="s">
        <v>30</v>
      </c>
      <c r="F6" t="s">
        <v>38</v>
      </c>
      <c r="G6">
        <f>VALUE(IF(AND(ISERR(FIND(".",'Raw Data'!G6)),LEN('Raw Data'!G6)=5), IF(YEAR('Raw Data'!G6)=2026,CONCATENATE(DAY('Raw Data'!G6),".",IF(LEN(MONTH('Raw Data'!G6))=2,MONTH('Raw Data'!G6),CONCATENATE("0",MONTH('Raw Data'!G6)))),CONCATENATE(MONTH('Raw Data'!G6),".",RIGHT(YEAR('Raw Data'!G6),2))),'Raw Data'!G6))</f>
        <v>86.31</v>
      </c>
      <c r="H6">
        <f>'Raw Data'!H6</f>
        <v>7</v>
      </c>
      <c r="I6" s="6">
        <f t="shared" si="0"/>
        <v>30.208499999999958</v>
      </c>
      <c r="J6" s="6">
        <f>'Raw Data'!J6</f>
        <v>634.37850000000003</v>
      </c>
      <c r="K6" s="1">
        <f>VALUE(IFERROR(VALUE('Raw Data'!K6),CONCATENATE(MID('Raw Data'!K6,3,2),".","0",LEFT('Raw Data'!K6,1),".", RIGHT('Raw Data'!K6,4))))</f>
        <v>43679</v>
      </c>
      <c r="L6" s="2">
        <f>'Raw Data'!L6</f>
        <v>0.44236111111111115</v>
      </c>
      <c r="M6" t="s">
        <v>23</v>
      </c>
      <c r="N6">
        <f>VALUE(IF(AND(ISERR(FIND(".",'Raw Data'!N6)),LEN('Raw Data'!N6)=5), IF(YEAR('Raw Data'!N6)=2026,CONCATENATE(DAY('Raw Data'!N6),".",IF(LEN(MONTH('Raw Data'!N6))=2,MONTH('Raw Data'!N6),CONCATENATE("0",MONTH('Raw Data'!N6)))),CONCATENATE(MONTH('Raw Data'!N6),".",RIGHT(YEAR('Raw Data'!N6),2))),'Raw Data'!N6))</f>
        <v>604.16999999999996</v>
      </c>
      <c r="O6" s="6">
        <f t="shared" si="1"/>
        <v>4.7619047619047725</v>
      </c>
      <c r="P6" s="6">
        <f t="shared" si="2"/>
        <v>30.208500000000072</v>
      </c>
      <c r="Q6">
        <f>VALUE(IF(AND(ISERR(FIND(".",'Raw Data'!Q6)),LEN('Raw Data'!Q6)=5), IF(YEAR('Raw Data'!Q6)=2026,CONCATENATE(DAY('Raw Data'!Q6),".",IF(LEN(MONTH('Raw Data'!Q6))=2,MONTH('Raw Data'!Q6),CONCATENATE(MONTH('Raw Data'!Q6)))),CONCATENATE(MONTH('Raw Data'!Q6),".",RIGHT(YEAR('Raw Data'!Q6),2))),'Raw Data'!Q6))</f>
        <v>5.3</v>
      </c>
    </row>
    <row r="7" spans="1:17">
      <c r="A7" t="s">
        <v>41</v>
      </c>
      <c r="B7" t="s">
        <v>25</v>
      </c>
      <c r="C7" t="s">
        <v>26</v>
      </c>
      <c r="D7" t="s">
        <v>27</v>
      </c>
      <c r="E7" t="s">
        <v>30</v>
      </c>
      <c r="F7" t="s">
        <v>28</v>
      </c>
      <c r="G7">
        <f>VALUE(IF(AND(ISERR(FIND(".",'Raw Data'!G7)),LEN('Raw Data'!G7)=5), IF(YEAR('Raw Data'!G7)=2026,CONCATENATE(DAY('Raw Data'!G7),".",IF(LEN(MONTH('Raw Data'!G7))=2,MONTH('Raw Data'!G7),CONCATENATE("0",MONTH('Raw Data'!G7)))),CONCATENATE(MONTH('Raw Data'!G7),".",RIGHT(YEAR('Raw Data'!G7),2))),'Raw Data'!G7))</f>
        <v>85.39</v>
      </c>
      <c r="H7">
        <f>'Raw Data'!H7</f>
        <v>7</v>
      </c>
      <c r="I7" s="6">
        <f t="shared" si="0"/>
        <v>29.886499999999955</v>
      </c>
      <c r="J7" s="6">
        <f>'Raw Data'!J7</f>
        <v>627.61649999999997</v>
      </c>
      <c r="K7" s="1">
        <f>VALUE(IFERROR(VALUE('Raw Data'!K7),CONCATENATE(MID('Raw Data'!K7,3,2),".","0",LEFT('Raw Data'!K7,1),".", RIGHT('Raw Data'!K7,4))))</f>
        <v>43549</v>
      </c>
      <c r="L7" s="2">
        <f>'Raw Data'!L7</f>
        <v>0.77083333333333337</v>
      </c>
      <c r="M7" t="s">
        <v>23</v>
      </c>
      <c r="N7">
        <f>VALUE(IF(AND(ISERR(FIND(".",'Raw Data'!N7)),LEN('Raw Data'!N7)=5), IF(YEAR('Raw Data'!N7)=2026,CONCATENATE(DAY('Raw Data'!N7),".",IF(LEN(MONTH('Raw Data'!N7))=2,MONTH('Raw Data'!N7),CONCATENATE("0",MONTH('Raw Data'!N7)))),CONCATENATE(MONTH('Raw Data'!N7),".",RIGHT(YEAR('Raw Data'!N7),2))),'Raw Data'!N7))</f>
        <v>597.73</v>
      </c>
      <c r="O7" s="6">
        <f t="shared" si="1"/>
        <v>4.7619047619047548</v>
      </c>
      <c r="P7" s="6">
        <f t="shared" si="2"/>
        <v>29.886499999999955</v>
      </c>
      <c r="Q7">
        <f>VALUE(IF(AND(ISERR(FIND(".",'Raw Data'!Q7)),LEN('Raw Data'!Q7)=5), IF(YEAR('Raw Data'!Q7)=2026,CONCATENATE(DAY('Raw Data'!Q7),".",IF(LEN(MONTH('Raw Data'!Q7))=2,MONTH('Raw Data'!Q7),CONCATENATE(MONTH('Raw Data'!Q7)))),CONCATENATE(MONTH('Raw Data'!Q7),".",RIGHT(YEAR('Raw Data'!Q7),2))),'Raw Data'!Q7))</f>
        <v>4.0999999999999996</v>
      </c>
    </row>
    <row r="8" spans="1:17">
      <c r="A8" t="s">
        <v>44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f>VALUE(IF(AND(ISERR(FIND(".",'Raw Data'!G8)),LEN('Raw Data'!G8)=5), IF(YEAR('Raw Data'!G8)=2026,CONCATENATE(DAY('Raw Data'!G8),".",IF(LEN(MONTH('Raw Data'!G8))=2,MONTH('Raw Data'!G8),CONCATENATE("0",MONTH('Raw Data'!G8)))),CONCATENATE(MONTH('Raw Data'!G8),".",RIGHT(YEAR('Raw Data'!G8),2))),'Raw Data'!G8))</f>
        <v>68.84</v>
      </c>
      <c r="H8">
        <f>'Raw Data'!H8</f>
        <v>6</v>
      </c>
      <c r="I8" s="6">
        <f t="shared" si="0"/>
        <v>20.651999999999987</v>
      </c>
      <c r="J8" s="6">
        <f>'Raw Data'!J8</f>
        <v>433.69200000000001</v>
      </c>
      <c r="K8" s="1">
        <f>VALUE(IFERROR(VALUE('Raw Data'!K8),CONCATENATE(MID('Raw Data'!K8,3,2),".","0",LEFT('Raw Data'!K8,1),".", RIGHT('Raw Data'!K8,4))))</f>
        <v>43521</v>
      </c>
      <c r="L8" s="2">
        <f>'Raw Data'!L8</f>
        <v>0.60833333333333328</v>
      </c>
      <c r="M8" t="s">
        <v>23</v>
      </c>
      <c r="N8">
        <f>VALUE(IF(AND(ISERR(FIND(".",'Raw Data'!N8)),LEN('Raw Data'!N8)=5), IF(YEAR('Raw Data'!N8)=2026,CONCATENATE(DAY('Raw Data'!N8),".",IF(LEN(MONTH('Raw Data'!N8))=2,MONTH('Raw Data'!N8),CONCATENATE("0",MONTH('Raw Data'!N8)))),CONCATENATE(MONTH('Raw Data'!N8),".",RIGHT(YEAR('Raw Data'!N8),2))),'Raw Data'!N8))</f>
        <v>413.04</v>
      </c>
      <c r="O8" s="6">
        <f t="shared" si="1"/>
        <v>4.7619047619047592</v>
      </c>
      <c r="P8" s="6">
        <f t="shared" si="2"/>
        <v>20.651999999999987</v>
      </c>
      <c r="Q8">
        <f>VALUE(IF(AND(ISERR(FIND(".",'Raw Data'!Q8)),LEN('Raw Data'!Q8)=5), IF(YEAR('Raw Data'!Q8)=2026,CONCATENATE(DAY('Raw Data'!Q8),".",IF(LEN(MONTH('Raw Data'!Q8))=2,MONTH('Raw Data'!Q8),CONCATENATE(MONTH('Raw Data'!Q8)))),CONCATENATE(MONTH('Raw Data'!Q8),".",RIGHT(YEAR('Raw Data'!Q8),2))),'Raw Data'!Q8))</f>
        <v>5.8</v>
      </c>
    </row>
    <row r="9" spans="1:17">
      <c r="A9" t="s">
        <v>46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f>VALUE(IF(AND(ISERR(FIND(".",'Raw Data'!G9)),LEN('Raw Data'!G9)=5), IF(YEAR('Raw Data'!G9)=2026,CONCATENATE(DAY('Raw Data'!G9),".",IF(LEN(MONTH('Raw Data'!G9))=2,MONTH('Raw Data'!G9),CONCATENATE("0",MONTH('Raw Data'!G9)))),CONCATENATE(MONTH('Raw Data'!G9),".",RIGHT(YEAR('Raw Data'!G9),2))),'Raw Data'!G9))</f>
        <v>73.56</v>
      </c>
      <c r="H9">
        <f>'Raw Data'!H9</f>
        <v>10</v>
      </c>
      <c r="I9" s="6">
        <f t="shared" si="0"/>
        <v>36.779999999999973</v>
      </c>
      <c r="J9" s="6">
        <f>'Raw Data'!J9</f>
        <v>772.38</v>
      </c>
      <c r="K9" s="1">
        <f>VALUE(IFERROR(VALUE('Raw Data'!K9),CONCATENATE(MID('Raw Data'!K9,3,2),".","0",LEFT('Raw Data'!K9,1),".", RIGHT('Raw Data'!K9,4))))</f>
        <v>43520</v>
      </c>
      <c r="L9" s="2">
        <f>'Raw Data'!L9</f>
        <v>0.48472222222222222</v>
      </c>
      <c r="M9" t="s">
        <v>23</v>
      </c>
      <c r="N9">
        <f>VALUE(IF(AND(ISERR(FIND(".",'Raw Data'!N9)),LEN('Raw Data'!N9)=5), IF(YEAR('Raw Data'!N9)=2026,CONCATENATE(DAY('Raw Data'!N9),".",IF(LEN(MONTH('Raw Data'!N9))=2,MONTH('Raw Data'!N9),CONCATENATE("0",MONTH('Raw Data'!N9)))),CONCATENATE(MONTH('Raw Data'!N9),".",RIGHT(YEAR('Raw Data'!N9),2))),'Raw Data'!N9))</f>
        <v>735.6</v>
      </c>
      <c r="O9" s="6">
        <f t="shared" si="1"/>
        <v>4.7619047619047583</v>
      </c>
      <c r="P9" s="6">
        <f t="shared" si="2"/>
        <v>36.779999999999973</v>
      </c>
      <c r="Q9">
        <f>VALUE(IF(AND(ISERR(FIND(".",'Raw Data'!Q9)),LEN('Raw Data'!Q9)=5), IF(YEAR('Raw Data'!Q9)=2026,CONCATENATE(DAY('Raw Data'!Q9),".",IF(LEN(MONTH('Raw Data'!Q9))=2,MONTH('Raw Data'!Q9),CONCATENATE(MONTH('Raw Data'!Q9)))),CONCATENATE(MONTH('Raw Data'!Q9),".",RIGHT(YEAR('Raw Data'!Q9),2))),'Raw Data'!Q9))</f>
        <v>8</v>
      </c>
    </row>
    <row r="10" spans="1:17">
      <c r="A10" t="s">
        <v>48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f>VALUE(IF(AND(ISERR(FIND(".",'Raw Data'!G10)),LEN('Raw Data'!G10)=5), IF(YEAR('Raw Data'!G10)=2026,CONCATENATE(DAY('Raw Data'!G10),".",IF(LEN(MONTH('Raw Data'!G10))=2,MONTH('Raw Data'!G10),CONCATENATE("0",MONTH('Raw Data'!G10)))),CONCATENATE(MONTH('Raw Data'!G10),".",RIGHT(YEAR('Raw Data'!G10),2))),'Raw Data'!G10))</f>
        <v>36.26</v>
      </c>
      <c r="H10">
        <f>'Raw Data'!H10</f>
        <v>2</v>
      </c>
      <c r="I10" s="6">
        <f t="shared" si="0"/>
        <v>3.6260000000000048</v>
      </c>
      <c r="J10" s="6">
        <f>'Raw Data'!J10</f>
        <v>76.146000000000001</v>
      </c>
      <c r="K10" s="1">
        <f>VALUE(IFERROR(VALUE('Raw Data'!K10),CONCATENATE(MID('Raw Data'!K10,3,2),".","0",LEFT('Raw Data'!K10,1),".", RIGHT('Raw Data'!K10,4))))</f>
        <v>43739</v>
      </c>
      <c r="L10" s="2">
        <f>'Raw Data'!L10</f>
        <v>0.71875</v>
      </c>
      <c r="M10" t="s">
        <v>33</v>
      </c>
      <c r="N10">
        <f>VALUE(IF(AND(ISERR(FIND(".",'Raw Data'!N10)),LEN('Raw Data'!N10)=5), IF(YEAR('Raw Data'!N10)=2026,CONCATENATE(DAY('Raw Data'!N10),".",IF(LEN(MONTH('Raw Data'!N10))=2,MONTH('Raw Data'!N10),CONCATENATE("0",MONTH('Raw Data'!N10)))),CONCATENATE(MONTH('Raw Data'!N10),".",RIGHT(YEAR('Raw Data'!N10),2))),'Raw Data'!N10))</f>
        <v>72.52</v>
      </c>
      <c r="O10" s="6">
        <f t="shared" si="1"/>
        <v>4.7619047619047681</v>
      </c>
      <c r="P10" s="6">
        <f t="shared" si="2"/>
        <v>3.6260000000000048</v>
      </c>
      <c r="Q10">
        <f>VALUE(IF(AND(ISERR(FIND(".",'Raw Data'!Q10)),LEN('Raw Data'!Q10)=5), IF(YEAR('Raw Data'!Q10)=2026,CONCATENATE(DAY('Raw Data'!Q10),".",IF(LEN(MONTH('Raw Data'!Q10))=2,MONTH('Raw Data'!Q10),CONCATENATE(MONTH('Raw Data'!Q10)))),CONCATENATE(MONTH('Raw Data'!Q10),".",RIGHT(YEAR('Raw Data'!Q10),2))),'Raw Data'!Q10))</f>
        <v>7.2</v>
      </c>
    </row>
    <row r="11" spans="1:17">
      <c r="A11" t="s">
        <v>49</v>
      </c>
      <c r="B11" t="s">
        <v>34</v>
      </c>
      <c r="C11" t="s">
        <v>35</v>
      </c>
      <c r="D11" t="s">
        <v>20</v>
      </c>
      <c r="E11" t="s">
        <v>21</v>
      </c>
      <c r="F11" t="s">
        <v>40</v>
      </c>
      <c r="G11">
        <f>VALUE(IF(AND(ISERR(FIND(".",'Raw Data'!G11)),LEN('Raw Data'!G11)=5), IF(YEAR('Raw Data'!G11)=2026,CONCATENATE(DAY('Raw Data'!G11),".",IF(LEN(MONTH('Raw Data'!G11))=2,MONTH('Raw Data'!G11),CONCATENATE("0",MONTH('Raw Data'!G11)))),CONCATENATE(MONTH('Raw Data'!G11),".",RIGHT(YEAR('Raw Data'!G11),2))),'Raw Data'!G11))</f>
        <v>54.84</v>
      </c>
      <c r="H11">
        <f>'Raw Data'!H11</f>
        <v>3</v>
      </c>
      <c r="I11" s="6">
        <f t="shared" si="0"/>
        <v>8.2259999999999991</v>
      </c>
      <c r="J11" s="6">
        <f>'Raw Data'!J11</f>
        <v>172.74600000000001</v>
      </c>
      <c r="K11" s="1">
        <f>VALUE(IFERROR(VALUE('Raw Data'!K11),CONCATENATE(MID('Raw Data'!K11,3,2),".","0",LEFT('Raw Data'!K11,1),".", RIGHT('Raw Data'!K11,4))))</f>
        <v>43516</v>
      </c>
      <c r="L11" s="2">
        <f>'Raw Data'!L11</f>
        <v>0.56041666666666667</v>
      </c>
      <c r="M11" t="s">
        <v>33</v>
      </c>
      <c r="N11">
        <f>VALUE(IF(AND(ISERR(FIND(".",'Raw Data'!N11)),LEN('Raw Data'!N11)=5), IF(YEAR('Raw Data'!N11)=2026,CONCATENATE(DAY('Raw Data'!N11),".",IF(LEN(MONTH('Raw Data'!N11))=2,MONTH('Raw Data'!N11),CONCATENATE("0",MONTH('Raw Data'!N11)))),CONCATENATE(MONTH('Raw Data'!N11),".",RIGHT(YEAR('Raw Data'!N11),2))),'Raw Data'!N11))</f>
        <v>164.52</v>
      </c>
      <c r="O11" s="6">
        <f t="shared" si="1"/>
        <v>4.761904761904761</v>
      </c>
      <c r="P11" s="6">
        <f t="shared" si="2"/>
        <v>8.2259999999999991</v>
      </c>
      <c r="Q11">
        <f>VALUE(IF(AND(ISERR(FIND(".",'Raw Data'!Q11)),LEN('Raw Data'!Q11)=5), IF(YEAR('Raw Data'!Q11)=2026,CONCATENATE(DAY('Raw Data'!Q11),".",IF(LEN(MONTH('Raw Data'!Q11))=2,MONTH('Raw Data'!Q11),CONCATENATE(MONTH('Raw Data'!Q11)))),CONCATENATE(MONTH('Raw Data'!Q11),".",RIGHT(YEAR('Raw Data'!Q11),2))),'Raw Data'!Q11))</f>
        <v>5.9</v>
      </c>
    </row>
    <row r="12" spans="1:17">
      <c r="A12" t="s">
        <v>51</v>
      </c>
      <c r="B12" t="s">
        <v>34</v>
      </c>
      <c r="C12" t="s">
        <v>35</v>
      </c>
      <c r="D12" t="s">
        <v>20</v>
      </c>
      <c r="E12" t="s">
        <v>21</v>
      </c>
      <c r="F12" t="s">
        <v>43</v>
      </c>
      <c r="G12">
        <f>VALUE(IF(AND(ISERR(FIND(".",'Raw Data'!G12)),LEN('Raw Data'!G12)=5), IF(YEAR('Raw Data'!G12)=2026,CONCATENATE(DAY('Raw Data'!G12),".",IF(LEN(MONTH('Raw Data'!G12))=2,MONTH('Raw Data'!G12),CONCATENATE("0",MONTH('Raw Data'!G12)))),CONCATENATE(MONTH('Raw Data'!G12),".",RIGHT(YEAR('Raw Data'!G12),2))),'Raw Data'!G12))</f>
        <v>14.48</v>
      </c>
      <c r="H12">
        <f>'Raw Data'!H12</f>
        <v>4</v>
      </c>
      <c r="I12" s="6">
        <f t="shared" si="0"/>
        <v>2.8960000000000008</v>
      </c>
      <c r="J12" s="6">
        <f>'Raw Data'!J12</f>
        <v>60.816000000000003</v>
      </c>
      <c r="K12" s="1">
        <f>VALUE(IFERROR(VALUE('Raw Data'!K12),CONCATENATE(MID('Raw Data'!K12,3,2),".","0",LEFT('Raw Data'!K12,1),".", RIGHT('Raw Data'!K12,4))))</f>
        <v>43618</v>
      </c>
      <c r="L12" s="2">
        <f>'Raw Data'!L12</f>
        <v>0.75486111111111109</v>
      </c>
      <c r="M12" t="s">
        <v>23</v>
      </c>
      <c r="N12">
        <f>VALUE(IF(AND(ISERR(FIND(".",'Raw Data'!N12)),LEN('Raw Data'!N12)=5), IF(YEAR('Raw Data'!N12)=2026,CONCATENATE(DAY('Raw Data'!N12),".",IF(LEN(MONTH('Raw Data'!N12))=2,MONTH('Raw Data'!N12),CONCATENATE("0",MONTH('Raw Data'!N12)))),CONCATENATE(MONTH('Raw Data'!N12),".",RIGHT(YEAR('Raw Data'!N12),2))),'Raw Data'!N12))</f>
        <v>57.92</v>
      </c>
      <c r="O12" s="6">
        <f t="shared" si="1"/>
        <v>4.7619047619047628</v>
      </c>
      <c r="P12" s="6">
        <f t="shared" si="2"/>
        <v>2.8960000000000008</v>
      </c>
      <c r="Q12">
        <f>VALUE(IF(AND(ISERR(FIND(".",'Raw Data'!Q12)),LEN('Raw Data'!Q12)=5), IF(YEAR('Raw Data'!Q12)=2026,CONCATENATE(DAY('Raw Data'!Q12),".",IF(LEN(MONTH('Raw Data'!Q12))=2,MONTH('Raw Data'!Q12),CONCATENATE(MONTH('Raw Data'!Q12)))),CONCATENATE(MONTH('Raw Data'!Q12),".",RIGHT(YEAR('Raw Data'!Q12),2))),'Raw Data'!Q12))</f>
        <v>4.5</v>
      </c>
    </row>
    <row r="13" spans="1:17">
      <c r="A13" t="s">
        <v>52</v>
      </c>
      <c r="B13" t="s">
        <v>34</v>
      </c>
      <c r="C13" t="s">
        <v>35</v>
      </c>
      <c r="D13" t="s">
        <v>20</v>
      </c>
      <c r="E13" t="s">
        <v>30</v>
      </c>
      <c r="F13" t="s">
        <v>28</v>
      </c>
      <c r="G13">
        <f>VALUE(IF(AND(ISERR(FIND(".",'Raw Data'!G13)),LEN('Raw Data'!G13)=5), IF(YEAR('Raw Data'!G13)=2026,CONCATENATE(DAY('Raw Data'!G13),".",IF(LEN(MONTH('Raw Data'!G13))=2,MONTH('Raw Data'!G13),CONCATENATE("0",MONTH('Raw Data'!G13)))),CONCATENATE(MONTH('Raw Data'!G13),".",RIGHT(YEAR('Raw Data'!G13),2))),'Raw Data'!G13))</f>
        <v>25.51</v>
      </c>
      <c r="H13">
        <f>'Raw Data'!H13</f>
        <v>4</v>
      </c>
      <c r="I13" s="6">
        <f t="shared" si="0"/>
        <v>5.1019999999999897</v>
      </c>
      <c r="J13" s="6">
        <f>'Raw Data'!J13</f>
        <v>107.142</v>
      </c>
      <c r="K13" s="1">
        <f>VALUE(IFERROR(VALUE('Raw Data'!K13),CONCATENATE(MID('Raw Data'!K13,3,2),".","0",LEFT('Raw Data'!K13,1),".", RIGHT('Raw Data'!K13,4))))</f>
        <v>43711</v>
      </c>
      <c r="L13" s="2">
        <f>'Raw Data'!L13</f>
        <v>0.7104166666666667</v>
      </c>
      <c r="M13" t="s">
        <v>29</v>
      </c>
      <c r="N13">
        <f>VALUE(IF(AND(ISERR(FIND(".",'Raw Data'!N13)),LEN('Raw Data'!N13)=5), IF(YEAR('Raw Data'!N13)=2026,CONCATENATE(DAY('Raw Data'!N13),".",IF(LEN(MONTH('Raw Data'!N13))=2,MONTH('Raw Data'!N13),CONCATENATE("0",MONTH('Raw Data'!N13)))),CONCATENATE(MONTH('Raw Data'!N13),".",RIGHT(YEAR('Raw Data'!N13),2))),'Raw Data'!N13))</f>
        <v>102.04</v>
      </c>
      <c r="O13" s="6">
        <f t="shared" si="1"/>
        <v>4.761904761904753</v>
      </c>
      <c r="P13" s="6">
        <f t="shared" si="2"/>
        <v>5.1019999999999897</v>
      </c>
      <c r="Q13">
        <f>VALUE(IF(AND(ISERR(FIND(".",'Raw Data'!Q13)),LEN('Raw Data'!Q13)=5), IF(YEAR('Raw Data'!Q13)=2026,CONCATENATE(DAY('Raw Data'!Q13),".",IF(LEN(MONTH('Raw Data'!Q13))=2,MONTH('Raw Data'!Q13),CONCATENATE(MONTH('Raw Data'!Q13)))),CONCATENATE(MONTH('Raw Data'!Q13),".",RIGHT(YEAR('Raw Data'!Q13),2))),'Raw Data'!Q13))</f>
        <v>6.8</v>
      </c>
    </row>
    <row r="14" spans="1:17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f>VALUE(IF(AND(ISERR(FIND(".",'Raw Data'!G14)),LEN('Raw Data'!G14)=5), IF(YEAR('Raw Data'!G14)=2026,CONCATENATE(DAY('Raw Data'!G14),".",IF(LEN(MONTH('Raw Data'!G14))=2,MONTH('Raw Data'!G14),CONCATENATE("0",MONTH('Raw Data'!G14)))),CONCATENATE(MONTH('Raw Data'!G14),".",RIGHT(YEAR('Raw Data'!G14),2))),'Raw Data'!G14))</f>
        <v>46.95</v>
      </c>
      <c r="H14">
        <f>'Raw Data'!H14</f>
        <v>5</v>
      </c>
      <c r="I14" s="6">
        <f t="shared" si="0"/>
        <v>11.737500000000011</v>
      </c>
      <c r="J14" s="6">
        <f>'Raw Data'!J14</f>
        <v>246.48750000000001</v>
      </c>
      <c r="K14" s="1">
        <f>VALUE(IFERROR(VALUE('Raw Data'!K14),CONCATENATE(MID('Raw Data'!K14,3,2),".","0",LEFT('Raw Data'!K14,1),".", RIGHT('Raw Data'!K14,4))))</f>
        <v>43801</v>
      </c>
      <c r="L14" s="2">
        <f>'Raw Data'!L14</f>
        <v>0.43402777777777773</v>
      </c>
      <c r="M14" t="s">
        <v>23</v>
      </c>
      <c r="N14">
        <f>VALUE(IF(AND(ISERR(FIND(".",'Raw Data'!N14)),LEN('Raw Data'!N14)=5), IF(YEAR('Raw Data'!N14)=2026,CONCATENATE(DAY('Raw Data'!N14),".",IF(LEN(MONTH('Raw Data'!N14))=2,MONTH('Raw Data'!N14),CONCATENATE("0",MONTH('Raw Data'!N14)))),CONCATENATE(MONTH('Raw Data'!N14),".",RIGHT(YEAR('Raw Data'!N14),2))),'Raw Data'!N14))</f>
        <v>234.75</v>
      </c>
      <c r="O14" s="6">
        <f t="shared" si="1"/>
        <v>4.7619047619047663</v>
      </c>
      <c r="P14" s="6">
        <f t="shared" si="2"/>
        <v>11.737500000000011</v>
      </c>
      <c r="Q14">
        <f>VALUE(IF(AND(ISERR(FIND(".",'Raw Data'!Q14)),LEN('Raw Data'!Q14)=5), IF(YEAR('Raw Data'!Q14)=2026,CONCATENATE(DAY('Raw Data'!Q14),".",IF(LEN(MONTH('Raw Data'!Q14))=2,MONTH('Raw Data'!Q14),CONCATENATE(MONTH('Raw Data'!Q14)))),CONCATENATE(MONTH('Raw Data'!Q14),".",RIGHT(YEAR('Raw Data'!Q14),2))),'Raw Data'!Q14))</f>
        <v>7.1</v>
      </c>
    </row>
    <row r="15" spans="1:17">
      <c r="A15" t="s">
        <v>54</v>
      </c>
      <c r="B15" t="s">
        <v>18</v>
      </c>
      <c r="C15" t="s">
        <v>19</v>
      </c>
      <c r="D15" t="s">
        <v>27</v>
      </c>
      <c r="E15" t="s">
        <v>30</v>
      </c>
      <c r="F15" t="s">
        <v>40</v>
      </c>
      <c r="G15">
        <f>VALUE(IF(AND(ISERR(FIND(".",'Raw Data'!G15)),LEN('Raw Data'!G15)=5), IF(YEAR('Raw Data'!G15)=2026,CONCATENATE(DAY('Raw Data'!G15),".",IF(LEN(MONTH('Raw Data'!G15))=2,MONTH('Raw Data'!G15),CONCATENATE("0",MONTH('Raw Data'!G15)))),CONCATENATE(MONTH('Raw Data'!G15),".",RIGHT(YEAR('Raw Data'!G15),2))),'Raw Data'!G15))</f>
        <v>43.19</v>
      </c>
      <c r="H15">
        <f>'Raw Data'!H15</f>
        <v>10</v>
      </c>
      <c r="I15" s="6">
        <f t="shared" si="0"/>
        <v>21.595000000000027</v>
      </c>
      <c r="J15" s="6">
        <f>'Raw Data'!J15</f>
        <v>453.495</v>
      </c>
      <c r="K15" s="1">
        <f>VALUE(IFERROR(VALUE('Raw Data'!K15),CONCATENATE(MID('Raw Data'!K15,3,2),".","0",LEFT('Raw Data'!K15,1),".", RIGHT('Raw Data'!K15,4))))</f>
        <v>43648</v>
      </c>
      <c r="L15" s="2">
        <f>'Raw Data'!L15</f>
        <v>0.70000000000000007</v>
      </c>
      <c r="M15" t="s">
        <v>23</v>
      </c>
      <c r="N15">
        <f>VALUE(IF(AND(ISERR(FIND(".",'Raw Data'!N15)),LEN('Raw Data'!N15)=5), IF(YEAR('Raw Data'!N15)=2026,CONCATENATE(DAY('Raw Data'!N15),".",IF(LEN(MONTH('Raw Data'!N15))=2,MONTH('Raw Data'!N15),CONCATENATE("0",MONTH('Raw Data'!N15)))),CONCATENATE(MONTH('Raw Data'!N15),".",RIGHT(YEAR('Raw Data'!N15),2))),'Raw Data'!N15))</f>
        <v>431.9</v>
      </c>
      <c r="O15" s="6">
        <f t="shared" si="1"/>
        <v>4.7619047619047681</v>
      </c>
      <c r="P15" s="6">
        <f t="shared" si="2"/>
        <v>21.595000000000027</v>
      </c>
      <c r="Q15">
        <f>VALUE(IF(AND(ISERR(FIND(".",'Raw Data'!Q15)),LEN('Raw Data'!Q15)=5), IF(YEAR('Raw Data'!Q15)=2026,CONCATENATE(DAY('Raw Data'!Q15),".",IF(LEN(MONTH('Raw Data'!Q15))=2,MONTH('Raw Data'!Q15),CONCATENATE(MONTH('Raw Data'!Q15)))),CONCATENATE(MONTH('Raw Data'!Q15),".",RIGHT(YEAR('Raw Data'!Q15),2))),'Raw Data'!Q15))</f>
        <v>8.1999999999999993</v>
      </c>
    </row>
    <row r="16" spans="1:17">
      <c r="A16" t="s">
        <v>55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f>VALUE(IF(AND(ISERR(FIND(".",'Raw Data'!G16)),LEN('Raw Data'!G16)=5), IF(YEAR('Raw Data'!G16)=2026,CONCATENATE(DAY('Raw Data'!G16),".",IF(LEN(MONTH('Raw Data'!G16))=2,MONTH('Raw Data'!G16),CONCATENATE("0",MONTH('Raw Data'!G16)))),CONCATENATE(MONTH('Raw Data'!G16),".",RIGHT(YEAR('Raw Data'!G16),2))),'Raw Data'!G16))</f>
        <v>71.38</v>
      </c>
      <c r="H16">
        <f>'Raw Data'!H16</f>
        <v>10</v>
      </c>
      <c r="I16" s="6">
        <f t="shared" si="0"/>
        <v>35.690000000000055</v>
      </c>
      <c r="J16" s="6">
        <f>'Raw Data'!J16</f>
        <v>749.49</v>
      </c>
      <c r="K16" s="1">
        <f>VALUE(IFERROR(VALUE('Raw Data'!K16),CONCATENATE(MID('Raw Data'!K16,3,2),".","0",LEFT('Raw Data'!K16,1),".", RIGHT('Raw Data'!K16,4))))</f>
        <v>43553</v>
      </c>
      <c r="L16" s="2">
        <f>'Raw Data'!L16</f>
        <v>0.80625000000000002</v>
      </c>
      <c r="M16" t="s">
        <v>29</v>
      </c>
      <c r="N16">
        <f>VALUE(IF(AND(ISERR(FIND(".",'Raw Data'!N16)),LEN('Raw Data'!N16)=5), IF(YEAR('Raw Data'!N16)=2026,CONCATENATE(DAY('Raw Data'!N16),".",IF(LEN(MONTH('Raw Data'!N16))=2,MONTH('Raw Data'!N16),CONCATENATE("0",MONTH('Raw Data'!N16)))),CONCATENATE(MONTH('Raw Data'!N16),".",RIGHT(YEAR('Raw Data'!N16),2))),'Raw Data'!N16))</f>
        <v>713.8</v>
      </c>
      <c r="O16" s="6">
        <f t="shared" si="1"/>
        <v>4.761904761904769</v>
      </c>
      <c r="P16" s="6">
        <f t="shared" si="2"/>
        <v>35.690000000000055</v>
      </c>
      <c r="Q16">
        <f>VALUE(IF(AND(ISERR(FIND(".",'Raw Data'!Q16)),LEN('Raw Data'!Q16)=5), IF(YEAR('Raw Data'!Q16)=2026,CONCATENATE(DAY('Raw Data'!Q16),".",IF(LEN(MONTH('Raw Data'!Q16))=2,MONTH('Raw Data'!Q16),CONCATENATE(MONTH('Raw Data'!Q16)))),CONCATENATE(MONTH('Raw Data'!Q16),".",RIGHT(YEAR('Raw Data'!Q16),2))),'Raw Data'!Q16))</f>
        <v>5.7</v>
      </c>
    </row>
    <row r="17" spans="1:17">
      <c r="A17" t="s">
        <v>57</v>
      </c>
      <c r="B17" t="s">
        <v>34</v>
      </c>
      <c r="C17" t="s">
        <v>35</v>
      </c>
      <c r="D17" t="s">
        <v>20</v>
      </c>
      <c r="E17" t="s">
        <v>21</v>
      </c>
      <c r="F17" t="s">
        <v>38</v>
      </c>
      <c r="G17">
        <f>VALUE(IF(AND(ISERR(FIND(".",'Raw Data'!G17)),LEN('Raw Data'!G17)=5), IF(YEAR('Raw Data'!G17)=2026,CONCATENATE(DAY('Raw Data'!G17),".",IF(LEN(MONTH('Raw Data'!G17))=2,MONTH('Raw Data'!G17),CONCATENATE("0",MONTH('Raw Data'!G17)))),CONCATENATE(MONTH('Raw Data'!G17),".",RIGHT(YEAR('Raw Data'!G17),2))),'Raw Data'!G17))</f>
        <v>93.72</v>
      </c>
      <c r="H17">
        <f>'Raw Data'!H17</f>
        <v>6</v>
      </c>
      <c r="I17" s="6">
        <f t="shared" si="0"/>
        <v>28.116000000000099</v>
      </c>
      <c r="J17" s="6">
        <f>'Raw Data'!J17</f>
        <v>590.43600000000004</v>
      </c>
      <c r="K17" s="1">
        <f>VALUE(IFERROR(VALUE('Raw Data'!K17),CONCATENATE(MID('Raw Data'!K17,3,2),".","0",LEFT('Raw Data'!K17,1),".", RIGHT('Raw Data'!K17,4))))</f>
        <v>43480</v>
      </c>
      <c r="L17" s="2">
        <f>'Raw Data'!L17</f>
        <v>0.67986111111111114</v>
      </c>
      <c r="M17" t="s">
        <v>29</v>
      </c>
      <c r="N17">
        <f>VALUE(IF(AND(ISERR(FIND(".",'Raw Data'!N17)),LEN('Raw Data'!N17)=5), IF(YEAR('Raw Data'!N17)=2026,CONCATENATE(DAY('Raw Data'!N17),".",IF(LEN(MONTH('Raw Data'!N17))=2,MONTH('Raw Data'!N17),CONCATENATE("0",MONTH('Raw Data'!N17)))),CONCATENATE(MONTH('Raw Data'!N17),".",RIGHT(YEAR('Raw Data'!N17),2))),'Raw Data'!N17))</f>
        <v>562.32000000000005</v>
      </c>
      <c r="O17" s="6">
        <f t="shared" si="1"/>
        <v>4.7619047619047592</v>
      </c>
      <c r="P17" s="6">
        <f t="shared" si="2"/>
        <v>28.115999999999985</v>
      </c>
      <c r="Q17">
        <f>VALUE(IF(AND(ISERR(FIND(".",'Raw Data'!Q17)),LEN('Raw Data'!Q17)=5), IF(YEAR('Raw Data'!Q17)=2026,CONCATENATE(DAY('Raw Data'!Q17),".",IF(LEN(MONTH('Raw Data'!Q17))=2,MONTH('Raw Data'!Q17),CONCATENATE(MONTH('Raw Data'!Q17)))),CONCATENATE(MONTH('Raw Data'!Q17),".",RIGHT(YEAR('Raw Data'!Q17),2))),'Raw Data'!Q17))</f>
        <v>4.5</v>
      </c>
    </row>
    <row r="18" spans="1:17">
      <c r="A18" t="s">
        <v>59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f>VALUE(IF(AND(ISERR(FIND(".",'Raw Data'!G18)),LEN('Raw Data'!G18)=5), IF(YEAR('Raw Data'!G18)=2026,CONCATENATE(DAY('Raw Data'!G18),".",IF(LEN(MONTH('Raw Data'!G18))=2,MONTH('Raw Data'!G18),CONCATENATE("0",MONTH('Raw Data'!G18)))),CONCATENATE(MONTH('Raw Data'!G18),".",RIGHT(YEAR('Raw Data'!G18),2))),'Raw Data'!G18))</f>
        <v>68.930000000000007</v>
      </c>
      <c r="H18">
        <f>'Raw Data'!H18</f>
        <v>7</v>
      </c>
      <c r="I18" s="6">
        <f t="shared" si="0"/>
        <v>24.125499999999931</v>
      </c>
      <c r="J18" s="6">
        <f>'Raw Data'!J18</f>
        <v>506.63549999999998</v>
      </c>
      <c r="K18" s="1">
        <f>VALUE(IFERROR(VALUE('Raw Data'!K18),CONCATENATE(MID('Raw Data'!K18,3,2),".","0",LEFT('Raw Data'!K18,1),".", RIGHT('Raw Data'!K18,4))))</f>
        <v>43772</v>
      </c>
      <c r="L18" s="2">
        <f>'Raw Data'!L18</f>
        <v>0.4604166666666667</v>
      </c>
      <c r="M18" t="s">
        <v>33</v>
      </c>
      <c r="N18">
        <f>VALUE(IF(AND(ISERR(FIND(".",'Raw Data'!N18)),LEN('Raw Data'!N18)=5), IF(YEAR('Raw Data'!N18)=2026,CONCATENATE(DAY('Raw Data'!N18),".",IF(LEN(MONTH('Raw Data'!N18))=2,MONTH('Raw Data'!N18),CONCATENATE("0",MONTH('Raw Data'!N18)))),CONCATENATE(MONTH('Raw Data'!N18),".",RIGHT(YEAR('Raw Data'!N18),2))),'Raw Data'!N18))</f>
        <v>482.51</v>
      </c>
      <c r="O18" s="6">
        <f t="shared" si="1"/>
        <v>4.7619047619047592</v>
      </c>
      <c r="P18" s="6">
        <f t="shared" si="2"/>
        <v>24.125499999999988</v>
      </c>
      <c r="Q18">
        <f>VALUE(IF(AND(ISERR(FIND(".",'Raw Data'!Q18)),LEN('Raw Data'!Q18)=5), IF(YEAR('Raw Data'!Q18)=2026,CONCATENATE(DAY('Raw Data'!Q18),".",IF(LEN(MONTH('Raw Data'!Q18))=2,MONTH('Raw Data'!Q18),CONCATENATE(MONTH('Raw Data'!Q18)))),CONCATENATE(MONTH('Raw Data'!Q18),".",RIGHT(YEAR('Raw Data'!Q18),2))),'Raw Data'!Q18))</f>
        <v>4.5999999999999996</v>
      </c>
    </row>
    <row r="19" spans="1:17">
      <c r="A19" t="s">
        <v>60</v>
      </c>
      <c r="B19" t="s">
        <v>18</v>
      </c>
      <c r="C19" t="s">
        <v>19</v>
      </c>
      <c r="D19" t="s">
        <v>27</v>
      </c>
      <c r="E19" t="s">
        <v>30</v>
      </c>
      <c r="F19" t="s">
        <v>38</v>
      </c>
      <c r="G19">
        <f>VALUE(IF(AND(ISERR(FIND(".",'Raw Data'!G19)),LEN('Raw Data'!G19)=5), IF(YEAR('Raw Data'!G19)=2026,CONCATENATE(DAY('Raw Data'!G19),".",IF(LEN(MONTH('Raw Data'!G19))=2,MONTH('Raw Data'!G19),CONCATENATE("0",MONTH('Raw Data'!G19)))),CONCATENATE(MONTH('Raw Data'!G19),".",RIGHT(YEAR('Raw Data'!G19),2))),'Raw Data'!G19))</f>
        <v>72.61</v>
      </c>
      <c r="H19">
        <f>'Raw Data'!H19</f>
        <v>6</v>
      </c>
      <c r="I19" s="6">
        <f t="shared" si="0"/>
        <v>21.783000000000015</v>
      </c>
      <c r="J19" s="6">
        <f>'Raw Data'!J19</f>
        <v>457.44299999999998</v>
      </c>
      <c r="K19" s="1">
        <f>VALUE(IFERROR(VALUE('Raw Data'!K19),CONCATENATE(MID('Raw Data'!K19,3,2),".","0",LEFT('Raw Data'!K19,1),".", RIGHT('Raw Data'!K19,4))))</f>
        <v>43466</v>
      </c>
      <c r="L19" s="2">
        <f>'Raw Data'!L19</f>
        <v>0.44375000000000003</v>
      </c>
      <c r="M19" t="s">
        <v>33</v>
      </c>
      <c r="N19">
        <f>VALUE(IF(AND(ISERR(FIND(".",'Raw Data'!N19)),LEN('Raw Data'!N19)=5), IF(YEAR('Raw Data'!N19)=2026,CONCATENATE(DAY('Raw Data'!N19),".",IF(LEN(MONTH('Raw Data'!N19))=2,MONTH('Raw Data'!N19),CONCATENATE("0",MONTH('Raw Data'!N19)))),CONCATENATE(MONTH('Raw Data'!N19),".",RIGHT(YEAR('Raw Data'!N19),2))),'Raw Data'!N19))</f>
        <v>435.66</v>
      </c>
      <c r="O19" s="6">
        <f t="shared" si="1"/>
        <v>4.761904761904753</v>
      </c>
      <c r="P19" s="6">
        <f t="shared" si="2"/>
        <v>21.782999999999959</v>
      </c>
      <c r="Q19">
        <f>VALUE(IF(AND(ISERR(FIND(".",'Raw Data'!Q19)),LEN('Raw Data'!Q19)=5), IF(YEAR('Raw Data'!Q19)=2026,CONCATENATE(DAY('Raw Data'!Q19),".",IF(LEN(MONTH('Raw Data'!Q19))=2,MONTH('Raw Data'!Q19),CONCATENATE(MONTH('Raw Data'!Q19)))),CONCATENATE(MONTH('Raw Data'!Q19),".",RIGHT(YEAR('Raw Data'!Q19),2))),'Raw Data'!Q19))</f>
        <v>6.9</v>
      </c>
    </row>
    <row r="20" spans="1:17">
      <c r="A20" t="s">
        <v>61</v>
      </c>
      <c r="B20" t="s">
        <v>18</v>
      </c>
      <c r="C20" t="s">
        <v>19</v>
      </c>
      <c r="D20" t="s">
        <v>27</v>
      </c>
      <c r="E20" t="s">
        <v>30</v>
      </c>
      <c r="F20" t="s">
        <v>40</v>
      </c>
      <c r="G20">
        <f>VALUE(IF(AND(ISERR(FIND(".",'Raw Data'!G20)),LEN('Raw Data'!G20)=5), IF(YEAR('Raw Data'!G20)=2026,CONCATENATE(DAY('Raw Data'!G20),".",IF(LEN(MONTH('Raw Data'!G20))=2,MONTH('Raw Data'!G20),CONCATENATE("0",MONTH('Raw Data'!G20)))),CONCATENATE(MONTH('Raw Data'!G20),".",RIGHT(YEAR('Raw Data'!G20),2))),'Raw Data'!G20))</f>
        <v>54.67</v>
      </c>
      <c r="H20">
        <f>'Raw Data'!H20</f>
        <v>3</v>
      </c>
      <c r="I20" s="6">
        <f t="shared" si="0"/>
        <v>8.2005000000000052</v>
      </c>
      <c r="J20" s="6">
        <f>'Raw Data'!J20</f>
        <v>172.2105</v>
      </c>
      <c r="K20" s="1">
        <f>VALUE(IFERROR(VALUE('Raw Data'!K20),CONCATENATE(MID('Raw Data'!K20,3,2),".","0",LEFT('Raw Data'!K20,1),".", RIGHT('Raw Data'!K20,4))))</f>
        <v>43486</v>
      </c>
      <c r="L20" s="2">
        <f>'Raw Data'!L20</f>
        <v>0.75</v>
      </c>
      <c r="M20" t="s">
        <v>33</v>
      </c>
      <c r="N20">
        <f>VALUE(IF(AND(ISERR(FIND(".",'Raw Data'!N20)),LEN('Raw Data'!N20)=5), IF(YEAR('Raw Data'!N20)=2026,CONCATENATE(DAY('Raw Data'!N20),".",IF(LEN(MONTH('Raw Data'!N20))=2,MONTH('Raw Data'!N20),CONCATENATE("0",MONTH('Raw Data'!N20)))),CONCATENATE(MONTH('Raw Data'!N20),".",RIGHT(YEAR('Raw Data'!N20),2))),'Raw Data'!N20))</f>
        <v>164.01</v>
      </c>
      <c r="O20" s="6">
        <f t="shared" si="1"/>
        <v>4.7619047619047654</v>
      </c>
      <c r="P20" s="6">
        <f t="shared" si="2"/>
        <v>8.2005000000000052</v>
      </c>
      <c r="Q20">
        <f>VALUE(IF(AND(ISERR(FIND(".",'Raw Data'!Q20)),LEN('Raw Data'!Q20)=5), IF(YEAR('Raw Data'!Q20)=2026,CONCATENATE(DAY('Raw Data'!Q20),".",IF(LEN(MONTH('Raw Data'!Q20))=2,MONTH('Raw Data'!Q20),CONCATENATE(MONTH('Raw Data'!Q20)))),CONCATENATE(MONTH('Raw Data'!Q20),".",RIGHT(YEAR('Raw Data'!Q20),2))),'Raw Data'!Q20))</f>
        <v>8.6</v>
      </c>
    </row>
    <row r="21" spans="1:17">
      <c r="A21" t="s">
        <v>63</v>
      </c>
      <c r="B21" t="s">
        <v>34</v>
      </c>
      <c r="C21" t="s">
        <v>35</v>
      </c>
      <c r="D21" t="s">
        <v>27</v>
      </c>
      <c r="E21" t="s">
        <v>21</v>
      </c>
      <c r="F21" t="s">
        <v>32</v>
      </c>
      <c r="G21">
        <f>VALUE(IF(AND(ISERR(FIND(".",'Raw Data'!G21)),LEN('Raw Data'!G21)=5), IF(YEAR('Raw Data'!G21)=2026,CONCATENATE(DAY('Raw Data'!G21),".",IF(LEN(MONTH('Raw Data'!G21))=2,MONTH('Raw Data'!G21),CONCATENATE("0",MONTH('Raw Data'!G21)))),CONCATENATE(MONTH('Raw Data'!G21),".",RIGHT(YEAR('Raw Data'!G21),2))),'Raw Data'!G21))</f>
        <v>40.299999999999997</v>
      </c>
      <c r="H21">
        <f>'Raw Data'!H21</f>
        <v>2</v>
      </c>
      <c r="I21" s="6">
        <f t="shared" si="0"/>
        <v>4.0300000000000011</v>
      </c>
      <c r="J21" s="6">
        <f>'Raw Data'!J21</f>
        <v>84.63</v>
      </c>
      <c r="K21" s="1">
        <f>VALUE(IFERROR(VALUE('Raw Data'!K21),CONCATENATE(MID('Raw Data'!K21,3,2),".","0",LEFT('Raw Data'!K21,1),".", RIGHT('Raw Data'!K21,4))))</f>
        <v>43772</v>
      </c>
      <c r="L21" s="2">
        <f>'Raw Data'!L21</f>
        <v>0.64583333333333337</v>
      </c>
      <c r="M21" t="s">
        <v>23</v>
      </c>
      <c r="N21">
        <f>VALUE(IF(AND(ISERR(FIND(".",'Raw Data'!N21)),LEN('Raw Data'!N21)=5), IF(YEAR('Raw Data'!N21)=2026,CONCATENATE(DAY('Raw Data'!N21),".",IF(LEN(MONTH('Raw Data'!N21))=2,MONTH('Raw Data'!N21),CONCATENATE("0",MONTH('Raw Data'!N21)))),CONCATENATE(MONTH('Raw Data'!N21),".",RIGHT(YEAR('Raw Data'!N21),2))),'Raw Data'!N21))</f>
        <v>80.599999999999994</v>
      </c>
      <c r="O21" s="6">
        <f t="shared" si="1"/>
        <v>4.7619047619047636</v>
      </c>
      <c r="P21" s="6">
        <f t="shared" si="2"/>
        <v>4.0300000000000011</v>
      </c>
      <c r="Q21">
        <f>VALUE(IF(AND(ISERR(FIND(".",'Raw Data'!Q21)),LEN('Raw Data'!Q21)=5), IF(YEAR('Raw Data'!Q21)=2026,CONCATENATE(DAY('Raw Data'!Q21),".",IF(LEN(MONTH('Raw Data'!Q21))=2,MONTH('Raw Data'!Q21),CONCATENATE(MONTH('Raw Data'!Q21)))),CONCATENATE(MONTH('Raw Data'!Q21),".",RIGHT(YEAR('Raw Data'!Q21),2))),'Raw Data'!Q21))</f>
        <v>4.4000000000000004</v>
      </c>
    </row>
    <row r="22" spans="1:17">
      <c r="A22" t="s">
        <v>64</v>
      </c>
      <c r="B22" t="s">
        <v>25</v>
      </c>
      <c r="C22" t="s">
        <v>26</v>
      </c>
      <c r="D22" t="s">
        <v>20</v>
      </c>
      <c r="E22" t="s">
        <v>30</v>
      </c>
      <c r="F22" t="s">
        <v>28</v>
      </c>
      <c r="G22">
        <f>VALUE(IF(AND(ISERR(FIND(".",'Raw Data'!G22)),LEN('Raw Data'!G22)=5), IF(YEAR('Raw Data'!G22)=2026,CONCATENATE(DAY('Raw Data'!G22),".",IF(LEN(MONTH('Raw Data'!G22))=2,MONTH('Raw Data'!G22),CONCATENATE("0",MONTH('Raw Data'!G22)))),CONCATENATE(MONTH('Raw Data'!G22),".",RIGHT(YEAR('Raw Data'!G22),2))),'Raw Data'!G22))</f>
        <v>86.04</v>
      </c>
      <c r="H22">
        <f>'Raw Data'!H22</f>
        <v>5</v>
      </c>
      <c r="I22" s="6">
        <f t="shared" si="0"/>
        <v>21.509999999999934</v>
      </c>
      <c r="J22" s="6">
        <f>'Raw Data'!J22</f>
        <v>451.71</v>
      </c>
      <c r="K22" s="1">
        <f>VALUE(IFERROR(VALUE('Raw Data'!K22),CONCATENATE(MID('Raw Data'!K22,3,2),".","0",LEFT('Raw Data'!K22,1),".", RIGHT('Raw Data'!K22,4))))</f>
        <v>43521</v>
      </c>
      <c r="L22" s="2">
        <f>'Raw Data'!L22</f>
        <v>0.47500000000000003</v>
      </c>
      <c r="M22" t="s">
        <v>23</v>
      </c>
      <c r="N22">
        <f>VALUE(IF(AND(ISERR(FIND(".",'Raw Data'!N22)),LEN('Raw Data'!N22)=5), IF(YEAR('Raw Data'!N22)=2026,CONCATENATE(DAY('Raw Data'!N22),".",IF(LEN(MONTH('Raw Data'!N22))=2,MONTH('Raw Data'!N22),CONCATENATE("0",MONTH('Raw Data'!N22)))),CONCATENATE(MONTH('Raw Data'!N22),".",RIGHT(YEAR('Raw Data'!N22),2))),'Raw Data'!N22))</f>
        <v>430.2</v>
      </c>
      <c r="O22" s="6">
        <f t="shared" si="1"/>
        <v>4.7619047619047601</v>
      </c>
      <c r="P22" s="6">
        <f t="shared" si="2"/>
        <v>21.509999999999991</v>
      </c>
      <c r="Q22">
        <f>VALUE(IF(AND(ISERR(FIND(".",'Raw Data'!Q22)),LEN('Raw Data'!Q22)=5), IF(YEAR('Raw Data'!Q22)=2026,CONCATENATE(DAY('Raw Data'!Q22),".",IF(LEN(MONTH('Raw Data'!Q22))=2,MONTH('Raw Data'!Q22),CONCATENATE(MONTH('Raw Data'!Q22)))),CONCATENATE(MONTH('Raw Data'!Q22),".",RIGHT(YEAR('Raw Data'!Q22),2))),'Raw Data'!Q22))</f>
        <v>4.8</v>
      </c>
    </row>
    <row r="23" spans="1:17">
      <c r="A23" t="s">
        <v>65</v>
      </c>
      <c r="B23" t="s">
        <v>34</v>
      </c>
      <c r="C23" t="s">
        <v>35</v>
      </c>
      <c r="D23" t="s">
        <v>27</v>
      </c>
      <c r="E23" t="s">
        <v>30</v>
      </c>
      <c r="F23" t="s">
        <v>22</v>
      </c>
      <c r="G23">
        <f>VALUE(IF(AND(ISERR(FIND(".",'Raw Data'!G23)),LEN('Raw Data'!G23)=5), IF(YEAR('Raw Data'!G23)=2026,CONCATENATE(DAY('Raw Data'!G23),".",IF(LEN(MONTH('Raw Data'!G23))=2,MONTH('Raw Data'!G23),CONCATENATE("0",MONTH('Raw Data'!G23)))),CONCATENATE(MONTH('Raw Data'!G23),".",RIGHT(YEAR('Raw Data'!G23),2))),'Raw Data'!G23))</f>
        <v>87.98</v>
      </c>
      <c r="H23">
        <f>'Raw Data'!H23</f>
        <v>3</v>
      </c>
      <c r="I23" s="6">
        <f t="shared" si="0"/>
        <v>13.197000000000003</v>
      </c>
      <c r="J23" s="6">
        <f>'Raw Data'!J23</f>
        <v>277.137</v>
      </c>
      <c r="K23" s="1">
        <f>VALUE(IFERROR(VALUE('Raw Data'!K23),CONCATENATE(MID('Raw Data'!K23,3,2),".","0",LEFT('Raw Data'!K23,1),".", RIGHT('Raw Data'!K23,4))))</f>
        <v>43588</v>
      </c>
      <c r="L23" s="2">
        <f>'Raw Data'!L23</f>
        <v>0.44444444444444442</v>
      </c>
      <c r="M23" t="s">
        <v>23</v>
      </c>
      <c r="N23">
        <f>VALUE(IF(AND(ISERR(FIND(".",'Raw Data'!N23)),LEN('Raw Data'!N23)=5), IF(YEAR('Raw Data'!N23)=2026,CONCATENATE(DAY('Raw Data'!N23),".",IF(LEN(MONTH('Raw Data'!N23))=2,MONTH('Raw Data'!N23),CONCATENATE("0",MONTH('Raw Data'!N23)))),CONCATENATE(MONTH('Raw Data'!N23),".",RIGHT(YEAR('Raw Data'!N23),2))),'Raw Data'!N23))</f>
        <v>263.94</v>
      </c>
      <c r="O23" s="6">
        <f t="shared" si="1"/>
        <v>4.7619047619047628</v>
      </c>
      <c r="P23" s="6">
        <f t="shared" si="2"/>
        <v>13.197000000000003</v>
      </c>
      <c r="Q23">
        <f>VALUE(IF(AND(ISERR(FIND(".",'Raw Data'!Q23)),LEN('Raw Data'!Q23)=5), IF(YEAR('Raw Data'!Q23)=2026,CONCATENATE(DAY('Raw Data'!Q23),".",IF(LEN(MONTH('Raw Data'!Q23))=2,MONTH('Raw Data'!Q23),CONCATENATE(MONTH('Raw Data'!Q23)))),CONCATENATE(MONTH('Raw Data'!Q23),".",RIGHT(YEAR('Raw Data'!Q23),2))),'Raw Data'!Q23))</f>
        <v>5.0999999999999996</v>
      </c>
    </row>
    <row r="24" spans="1:17">
      <c r="A24" t="s">
        <v>66</v>
      </c>
      <c r="B24" t="s">
        <v>34</v>
      </c>
      <c r="C24" t="s">
        <v>35</v>
      </c>
      <c r="D24" t="s">
        <v>27</v>
      </c>
      <c r="E24" t="s">
        <v>30</v>
      </c>
      <c r="F24" t="s">
        <v>32</v>
      </c>
      <c r="G24">
        <f>VALUE(IF(AND(ISERR(FIND(".",'Raw Data'!G24)),LEN('Raw Data'!G24)=5), IF(YEAR('Raw Data'!G24)=2026,CONCATENATE(DAY('Raw Data'!G24),".",IF(LEN(MONTH('Raw Data'!G24))=2,MONTH('Raw Data'!G24),CONCATENATE("0",MONTH('Raw Data'!G24)))),CONCATENATE(MONTH('Raw Data'!G24),".",RIGHT(YEAR('Raw Data'!G24),2))),'Raw Data'!G24))</f>
        <v>33.200000000000003</v>
      </c>
      <c r="H24">
        <f>'Raw Data'!H24</f>
        <v>2</v>
      </c>
      <c r="I24" s="6">
        <f t="shared" si="0"/>
        <v>3.3199999999999932</v>
      </c>
      <c r="J24" s="6">
        <f>'Raw Data'!J24</f>
        <v>69.72</v>
      </c>
      <c r="K24" s="1">
        <f>VALUE(IFERROR(VALUE('Raw Data'!K24),CONCATENATE(MID('Raw Data'!K24,3,2),".","0",LEFT('Raw Data'!K24,1),".", RIGHT('Raw Data'!K24,4))))</f>
        <v>43539</v>
      </c>
      <c r="L24" s="2">
        <f>'Raw Data'!L24</f>
        <v>0.51388888888888895</v>
      </c>
      <c r="M24" t="s">
        <v>33</v>
      </c>
      <c r="N24">
        <f>VALUE(IF(AND(ISERR(FIND(".",'Raw Data'!N24)),LEN('Raw Data'!N24)=5), IF(YEAR('Raw Data'!N24)=2026,CONCATENATE(DAY('Raw Data'!N24),".",IF(LEN(MONTH('Raw Data'!N24))=2,MONTH('Raw Data'!N24),CONCATENATE("0",MONTH('Raw Data'!N24)))),CONCATENATE(MONTH('Raw Data'!N24),".",RIGHT(YEAR('Raw Data'!N24),2))),'Raw Data'!N24))</f>
        <v>66.400000000000006</v>
      </c>
      <c r="O24" s="6">
        <f t="shared" si="1"/>
        <v>4.7619047619047521</v>
      </c>
      <c r="P24" s="6">
        <f t="shared" si="2"/>
        <v>3.3199999999999932</v>
      </c>
      <c r="Q24">
        <f>VALUE(IF(AND(ISERR(FIND(".",'Raw Data'!Q24)),LEN('Raw Data'!Q24)=5), IF(YEAR('Raw Data'!Q24)=2026,CONCATENATE(DAY('Raw Data'!Q24),".",IF(LEN(MONTH('Raw Data'!Q24))=2,MONTH('Raw Data'!Q24),CONCATENATE(MONTH('Raw Data'!Q24)))),CONCATENATE(MONTH('Raw Data'!Q24),".",RIGHT(YEAR('Raw Data'!Q24),2))),'Raw Data'!Q24))</f>
        <v>4.4000000000000004</v>
      </c>
    </row>
    <row r="25" spans="1:17">
      <c r="A25" t="s">
        <v>68</v>
      </c>
      <c r="B25" t="s">
        <v>18</v>
      </c>
      <c r="C25" t="s">
        <v>19</v>
      </c>
      <c r="D25" t="s">
        <v>27</v>
      </c>
      <c r="E25" t="s">
        <v>30</v>
      </c>
      <c r="F25" t="s">
        <v>28</v>
      </c>
      <c r="G25">
        <f>VALUE(IF(AND(ISERR(FIND(".",'Raw Data'!G25)),LEN('Raw Data'!G25)=5), IF(YEAR('Raw Data'!G25)=2026,CONCATENATE(DAY('Raw Data'!G25),".",IF(LEN(MONTH('Raw Data'!G25))=2,MONTH('Raw Data'!G25),CONCATENATE("0",MONTH('Raw Data'!G25)))),CONCATENATE(MONTH('Raw Data'!G25),".",RIGHT(YEAR('Raw Data'!G25),2))),'Raw Data'!G25))</f>
        <v>34.56</v>
      </c>
      <c r="H25">
        <f>'Raw Data'!H25</f>
        <v>5</v>
      </c>
      <c r="I25" s="6">
        <f t="shared" si="0"/>
        <v>8.6399999999999864</v>
      </c>
      <c r="J25" s="6">
        <f>'Raw Data'!J25</f>
        <v>181.44</v>
      </c>
      <c r="K25" s="1">
        <f>VALUE(IFERROR(VALUE('Raw Data'!K25),CONCATENATE(MID('Raw Data'!K25,3,2),".","0",LEFT('Raw Data'!K25,1),".", RIGHT('Raw Data'!K25,4))))</f>
        <v>43513</v>
      </c>
      <c r="L25" s="2">
        <f>'Raw Data'!L25</f>
        <v>0.46875</v>
      </c>
      <c r="M25" t="s">
        <v>23</v>
      </c>
      <c r="N25">
        <f>VALUE(IF(AND(ISERR(FIND(".",'Raw Data'!N25)),LEN('Raw Data'!N25)=5), IF(YEAR('Raw Data'!N25)=2026,CONCATENATE(DAY('Raw Data'!N25),".",IF(LEN(MONTH('Raw Data'!N25))=2,MONTH('Raw Data'!N25),CONCATENATE("0",MONTH('Raw Data'!N25)))),CONCATENATE(MONTH('Raw Data'!N25),".",RIGHT(YEAR('Raw Data'!N25),2))),'Raw Data'!N25))</f>
        <v>172.8</v>
      </c>
      <c r="O25" s="6">
        <f t="shared" si="1"/>
        <v>4.7619047619047548</v>
      </c>
      <c r="P25" s="6">
        <f t="shared" si="2"/>
        <v>8.6399999999999864</v>
      </c>
      <c r="Q25">
        <f>VALUE(IF(AND(ISERR(FIND(".",'Raw Data'!Q25)),LEN('Raw Data'!Q25)=5), IF(YEAR('Raw Data'!Q25)=2026,CONCATENATE(DAY('Raw Data'!Q25),".",IF(LEN(MONTH('Raw Data'!Q25))=2,MONTH('Raw Data'!Q25),CONCATENATE(MONTH('Raw Data'!Q25)))),CONCATENATE(MONTH('Raw Data'!Q25),".",RIGHT(YEAR('Raw Data'!Q25),2))),'Raw Data'!Q25))</f>
        <v>9.9</v>
      </c>
    </row>
    <row r="26" spans="1:17">
      <c r="A26" t="s">
        <v>70</v>
      </c>
      <c r="B26" t="s">
        <v>18</v>
      </c>
      <c r="C26" t="s">
        <v>19</v>
      </c>
      <c r="D26" t="s">
        <v>20</v>
      </c>
      <c r="E26" t="s">
        <v>30</v>
      </c>
      <c r="F26" t="s">
        <v>38</v>
      </c>
      <c r="G26">
        <f>VALUE(IF(AND(ISERR(FIND(".",'Raw Data'!G26)),LEN('Raw Data'!G26)=5), IF(YEAR('Raw Data'!G26)=2026,CONCATENATE(DAY('Raw Data'!G26),".",IF(LEN(MONTH('Raw Data'!G26))=2,MONTH('Raw Data'!G26),CONCATENATE("0",MONTH('Raw Data'!G26)))),CONCATENATE(MONTH('Raw Data'!G26),".",RIGHT(YEAR('Raw Data'!G26),2))),'Raw Data'!G26))</f>
        <v>88.63</v>
      </c>
      <c r="H26">
        <f>'Raw Data'!H26</f>
        <v>3</v>
      </c>
      <c r="I26" s="6">
        <f t="shared" si="0"/>
        <v>13.294500000000028</v>
      </c>
      <c r="J26" s="6">
        <f>'Raw Data'!J26</f>
        <v>279.18450000000001</v>
      </c>
      <c r="K26" s="1">
        <f>VALUE(IFERROR(VALUE('Raw Data'!K26),CONCATENATE(MID('Raw Data'!K26,3,2),".","0",LEFT('Raw Data'!K26,1),".", RIGHT('Raw Data'!K26,4))))</f>
        <v>43499</v>
      </c>
      <c r="L26" s="2">
        <f>'Raw Data'!L26</f>
        <v>0.73333333333333339</v>
      </c>
      <c r="M26" t="s">
        <v>23</v>
      </c>
      <c r="N26">
        <f>VALUE(IF(AND(ISERR(FIND(".",'Raw Data'!N26)),LEN('Raw Data'!N26)=5), IF(YEAR('Raw Data'!N26)=2026,CONCATENATE(DAY('Raw Data'!N26),".",IF(LEN(MONTH('Raw Data'!N26))=2,MONTH('Raw Data'!N26),CONCATENATE("0",MONTH('Raw Data'!N26)))),CONCATENATE(MONTH('Raw Data'!N26),".",RIGHT(YEAR('Raw Data'!N26),2))),'Raw Data'!N26))</f>
        <v>265.89</v>
      </c>
      <c r="O26" s="6">
        <f t="shared" si="1"/>
        <v>4.7619047619047716</v>
      </c>
      <c r="P26" s="6">
        <f t="shared" si="2"/>
        <v>13.294500000000028</v>
      </c>
      <c r="Q26">
        <f>VALUE(IF(AND(ISERR(FIND(".",'Raw Data'!Q26)),LEN('Raw Data'!Q26)=5), IF(YEAR('Raw Data'!Q26)=2026,CONCATENATE(DAY('Raw Data'!Q26),".",IF(LEN(MONTH('Raw Data'!Q26))=2,MONTH('Raw Data'!Q26),CONCATENATE(MONTH('Raw Data'!Q26)))),CONCATENATE(MONTH('Raw Data'!Q26),".",RIGHT(YEAR('Raw Data'!Q26),2))),'Raw Data'!Q26))</f>
        <v>6</v>
      </c>
    </row>
    <row r="27" spans="1:17">
      <c r="A27" t="s">
        <v>71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f>VALUE(IF(AND(ISERR(FIND(".",'Raw Data'!G27)),LEN('Raw Data'!G27)=5), IF(YEAR('Raw Data'!G27)=2026,CONCATENATE(DAY('Raw Data'!G27),".",IF(LEN(MONTH('Raw Data'!G27))=2,MONTH('Raw Data'!G27),CONCATENATE("0",MONTH('Raw Data'!G27)))),CONCATENATE(MONTH('Raw Data'!G27),".",RIGHT(YEAR('Raw Data'!G27),2))),'Raw Data'!G27))</f>
        <v>52.59</v>
      </c>
      <c r="H27">
        <f>'Raw Data'!H27</f>
        <v>8</v>
      </c>
      <c r="I27" s="6">
        <f t="shared" si="0"/>
        <v>21.035999999999945</v>
      </c>
      <c r="J27" s="6">
        <f>'Raw Data'!J27</f>
        <v>441.75599999999997</v>
      </c>
      <c r="K27" s="1">
        <f>VALUE(IFERROR(VALUE('Raw Data'!K27),CONCATENATE(MID('Raw Data'!K27,3,2),".","0",LEFT('Raw Data'!K27,1),".", RIGHT('Raw Data'!K27,4))))</f>
        <v>43546</v>
      </c>
      <c r="L27" s="2">
        <f>'Raw Data'!L27</f>
        <v>0.80555555555555547</v>
      </c>
      <c r="M27" t="s">
        <v>33</v>
      </c>
      <c r="N27">
        <f>VALUE(IF(AND(ISERR(FIND(".",'Raw Data'!N27)),LEN('Raw Data'!N27)=5), IF(YEAR('Raw Data'!N27)=2026,CONCATENATE(DAY('Raw Data'!N27),".",IF(LEN(MONTH('Raw Data'!N27))=2,MONTH('Raw Data'!N27),CONCATENATE("0",MONTH('Raw Data'!N27)))),CONCATENATE(MONTH('Raw Data'!N27),".",RIGHT(YEAR('Raw Data'!N27),2))),'Raw Data'!N27))</f>
        <v>420.72</v>
      </c>
      <c r="O27" s="6">
        <f t="shared" si="1"/>
        <v>4.7619047619047494</v>
      </c>
      <c r="P27" s="6">
        <f t="shared" si="2"/>
        <v>21.035999999999945</v>
      </c>
      <c r="Q27">
        <f>VALUE(IF(AND(ISERR(FIND(".",'Raw Data'!Q27)),LEN('Raw Data'!Q27)=5), IF(YEAR('Raw Data'!Q27)=2026,CONCATENATE(DAY('Raw Data'!Q27),".",IF(LEN(MONTH('Raw Data'!Q27))=2,MONTH('Raw Data'!Q27),CONCATENATE(MONTH('Raw Data'!Q27)))),CONCATENATE(MONTH('Raw Data'!Q27),".",RIGHT(YEAR('Raw Data'!Q27),2))),'Raw Data'!Q27))</f>
        <v>8.5</v>
      </c>
    </row>
    <row r="28" spans="1:17">
      <c r="A28" t="s">
        <v>73</v>
      </c>
      <c r="B28" t="s">
        <v>34</v>
      </c>
      <c r="C28" t="s">
        <v>35</v>
      </c>
      <c r="D28" t="s">
        <v>27</v>
      </c>
      <c r="E28" t="s">
        <v>30</v>
      </c>
      <c r="F28" t="s">
        <v>43</v>
      </c>
      <c r="G28">
        <f>VALUE(IF(AND(ISERR(FIND(".",'Raw Data'!G28)),LEN('Raw Data'!G28)=5), IF(YEAR('Raw Data'!G28)=2026,CONCATENATE(DAY('Raw Data'!G28),".",IF(LEN(MONTH('Raw Data'!G28))=2,MONTH('Raw Data'!G28),CONCATENATE("0",MONTH('Raw Data'!G28)))),CONCATENATE(MONTH('Raw Data'!G28),".",RIGHT(YEAR('Raw Data'!G28),2))),'Raw Data'!G28))</f>
        <v>33.520000000000003</v>
      </c>
      <c r="H28">
        <f>'Raw Data'!H28</f>
        <v>1</v>
      </c>
      <c r="I28" s="6">
        <f t="shared" si="0"/>
        <v>1.6759999999999948</v>
      </c>
      <c r="J28" s="6">
        <f>'Raw Data'!J28</f>
        <v>35.195999999999998</v>
      </c>
      <c r="K28" s="1">
        <f>VALUE(IFERROR(VALUE('Raw Data'!K28),CONCATENATE(MID('Raw Data'!K28,3,2),".","0",LEFT('Raw Data'!K28,1),".", RIGHT('Raw Data'!K28,4))))</f>
        <v>43679</v>
      </c>
      <c r="L28" s="2">
        <f>'Raw Data'!L28</f>
        <v>0.64652777777777781</v>
      </c>
      <c r="M28" t="s">
        <v>29</v>
      </c>
      <c r="N28">
        <f>VALUE(IF(AND(ISERR(FIND(".",'Raw Data'!N28)),LEN('Raw Data'!N28)=5), IF(YEAR('Raw Data'!N28)=2026,CONCATENATE(DAY('Raw Data'!N28),".",IF(LEN(MONTH('Raw Data'!N28))=2,MONTH('Raw Data'!N28),CONCATENATE("0",MONTH('Raw Data'!N28)))),CONCATENATE(MONTH('Raw Data'!N28),".",RIGHT(YEAR('Raw Data'!N28),2))),'Raw Data'!N28))</f>
        <v>33.520000000000003</v>
      </c>
      <c r="O28" s="6">
        <f t="shared" si="1"/>
        <v>4.7619047619047477</v>
      </c>
      <c r="P28" s="6">
        <f t="shared" si="2"/>
        <v>1.6759999999999948</v>
      </c>
      <c r="Q28">
        <f>VALUE(IF(AND(ISERR(FIND(".",'Raw Data'!Q28)),LEN('Raw Data'!Q28)=5), IF(YEAR('Raw Data'!Q28)=2026,CONCATENATE(DAY('Raw Data'!Q28),".",IF(LEN(MONTH('Raw Data'!Q28))=2,MONTH('Raw Data'!Q28),CONCATENATE(MONTH('Raw Data'!Q28)))),CONCATENATE(MONTH('Raw Data'!Q28),".",RIGHT(YEAR('Raw Data'!Q28),2))),'Raw Data'!Q28))</f>
        <v>6.7</v>
      </c>
    </row>
    <row r="29" spans="1:17">
      <c r="A29" t="s">
        <v>74</v>
      </c>
      <c r="B29" t="s">
        <v>18</v>
      </c>
      <c r="C29" t="s">
        <v>19</v>
      </c>
      <c r="D29" t="s">
        <v>27</v>
      </c>
      <c r="E29" t="s">
        <v>21</v>
      </c>
      <c r="F29" t="s">
        <v>43</v>
      </c>
      <c r="G29">
        <f>VALUE(IF(AND(ISERR(FIND(".",'Raw Data'!G29)),LEN('Raw Data'!G29)=5), IF(YEAR('Raw Data'!G29)=2026,CONCATENATE(DAY('Raw Data'!G29),".",IF(LEN(MONTH('Raw Data'!G29))=2,MONTH('Raw Data'!G29),CONCATENATE("0",MONTH('Raw Data'!G29)))),CONCATENATE(MONTH('Raw Data'!G29),".",RIGHT(YEAR('Raw Data'!G29),2))),'Raw Data'!G29))</f>
        <v>87.67</v>
      </c>
      <c r="H29">
        <f>'Raw Data'!H29</f>
        <v>2</v>
      </c>
      <c r="I29" s="6">
        <f t="shared" si="0"/>
        <v>8.7669999999999959</v>
      </c>
      <c r="J29" s="6">
        <f>'Raw Data'!J29</f>
        <v>184.107</v>
      </c>
      <c r="K29" s="1">
        <f>VALUE(IFERROR(VALUE('Raw Data'!K29),CONCATENATE(MID('Raw Data'!K29,3,2),".","0",LEFT('Raw Data'!K29,1),".", RIGHT('Raw Data'!K29,4))))</f>
        <v>43741</v>
      </c>
      <c r="L29" s="2">
        <f>'Raw Data'!L29</f>
        <v>0.51180555555555551</v>
      </c>
      <c r="M29" t="s">
        <v>33</v>
      </c>
      <c r="N29">
        <f>VALUE(IF(AND(ISERR(FIND(".",'Raw Data'!N29)),LEN('Raw Data'!N29)=5), IF(YEAR('Raw Data'!N29)=2026,CONCATENATE(DAY('Raw Data'!N29),".",IF(LEN(MONTH('Raw Data'!N29))=2,MONTH('Raw Data'!N29),CONCATENATE("0",MONTH('Raw Data'!N29)))),CONCATENATE(MONTH('Raw Data'!N29),".",RIGHT(YEAR('Raw Data'!N29),2))),'Raw Data'!N29))</f>
        <v>175.34</v>
      </c>
      <c r="O29" s="6">
        <f t="shared" si="1"/>
        <v>4.7619047619047592</v>
      </c>
      <c r="P29" s="6">
        <f t="shared" si="2"/>
        <v>8.7669999999999959</v>
      </c>
      <c r="Q29">
        <f>VALUE(IF(AND(ISERR(FIND(".",'Raw Data'!Q29)),LEN('Raw Data'!Q29)=5), IF(YEAR('Raw Data'!Q29)=2026,CONCATENATE(DAY('Raw Data'!Q29),".",IF(LEN(MONTH('Raw Data'!Q29))=2,MONTH('Raw Data'!Q29),CONCATENATE(MONTH('Raw Data'!Q29)))),CONCATENATE(MONTH('Raw Data'!Q29),".",RIGHT(YEAR('Raw Data'!Q29),2))),'Raw Data'!Q29))</f>
        <v>7.7</v>
      </c>
    </row>
    <row r="30" spans="1:17">
      <c r="A30" t="s">
        <v>75</v>
      </c>
      <c r="B30" t="s">
        <v>34</v>
      </c>
      <c r="C30" t="s">
        <v>35</v>
      </c>
      <c r="D30" t="s">
        <v>27</v>
      </c>
      <c r="E30" t="s">
        <v>21</v>
      </c>
      <c r="F30" t="s">
        <v>40</v>
      </c>
      <c r="G30">
        <f>VALUE(IF(AND(ISERR(FIND(".",'Raw Data'!G30)),LEN('Raw Data'!G30)=5), IF(YEAR('Raw Data'!G30)=2026,CONCATENATE(DAY('Raw Data'!G30),".",IF(LEN(MONTH('Raw Data'!G30))=2,MONTH('Raw Data'!G30),CONCATENATE("0",MONTH('Raw Data'!G30)))),CONCATENATE(MONTH('Raw Data'!G30),".",RIGHT(YEAR('Raw Data'!G30),2))),'Raw Data'!G30))</f>
        <v>88.36</v>
      </c>
      <c r="H30">
        <f>'Raw Data'!H30</f>
        <v>5</v>
      </c>
      <c r="I30" s="6">
        <f t="shared" si="0"/>
        <v>22.089999999999975</v>
      </c>
      <c r="J30" s="6">
        <f>'Raw Data'!J30</f>
        <v>463.89</v>
      </c>
      <c r="K30" s="1">
        <f>VALUE(IFERROR(VALUE('Raw Data'!K30),CONCATENATE(MID('Raw Data'!K30,3,2),".","0",LEFT('Raw Data'!K30,1),".", RIGHT('Raw Data'!K30,4))))</f>
        <v>43490</v>
      </c>
      <c r="L30" s="2">
        <f>'Raw Data'!L30</f>
        <v>0.82500000000000007</v>
      </c>
      <c r="M30" t="s">
        <v>29</v>
      </c>
      <c r="N30">
        <f>VALUE(IF(AND(ISERR(FIND(".",'Raw Data'!N30)),LEN('Raw Data'!N30)=5), IF(YEAR('Raw Data'!N30)=2026,CONCATENATE(DAY('Raw Data'!N30),".",IF(LEN(MONTH('Raw Data'!N30))=2,MONTH('Raw Data'!N30),CONCATENATE("0",MONTH('Raw Data'!N30)))),CONCATENATE(MONTH('Raw Data'!N30),".",RIGHT(YEAR('Raw Data'!N30),2))),'Raw Data'!N30))</f>
        <v>441.8</v>
      </c>
      <c r="O30" s="6">
        <f t="shared" si="1"/>
        <v>4.7619047619047565</v>
      </c>
      <c r="P30" s="6">
        <f t="shared" si="2"/>
        <v>22.089999999999975</v>
      </c>
      <c r="Q30">
        <f>VALUE(IF(AND(ISERR(FIND(".",'Raw Data'!Q30)),LEN('Raw Data'!Q30)=5), IF(YEAR('Raw Data'!Q30)=2026,CONCATENATE(DAY('Raw Data'!Q30),".",IF(LEN(MONTH('Raw Data'!Q30))=2,MONTH('Raw Data'!Q30),CONCATENATE(MONTH('Raw Data'!Q30)))),CONCATENATE(MONTH('Raw Data'!Q30),".",RIGHT(YEAR('Raw Data'!Q30),2))),'Raw Data'!Q30))</f>
        <v>9.6</v>
      </c>
    </row>
    <row r="31" spans="1:17">
      <c r="A31" t="s">
        <v>77</v>
      </c>
      <c r="B31" t="s">
        <v>18</v>
      </c>
      <c r="C31" t="s">
        <v>19</v>
      </c>
      <c r="D31" t="s">
        <v>27</v>
      </c>
      <c r="E31" t="s">
        <v>30</v>
      </c>
      <c r="F31" t="s">
        <v>22</v>
      </c>
      <c r="G31">
        <f>VALUE(IF(AND(ISERR(FIND(".",'Raw Data'!G31)),LEN('Raw Data'!G31)=5), IF(YEAR('Raw Data'!G31)=2026,CONCATENATE(DAY('Raw Data'!G31),".",IF(LEN(MONTH('Raw Data'!G31))=2,MONTH('Raw Data'!G31),CONCATENATE("0",MONTH('Raw Data'!G31)))),CONCATENATE(MONTH('Raw Data'!G31),".",RIGHT(YEAR('Raw Data'!G31),2))),'Raw Data'!G31))</f>
        <v>24.89</v>
      </c>
      <c r="H31">
        <f>'Raw Data'!H31</f>
        <v>9</v>
      </c>
      <c r="I31" s="6">
        <f t="shared" si="0"/>
        <v>11.200500000000005</v>
      </c>
      <c r="J31" s="6">
        <f>'Raw Data'!J31</f>
        <v>235.2105</v>
      </c>
      <c r="K31" s="1">
        <f>VALUE(IFERROR(VALUE('Raw Data'!K31),CONCATENATE(MID('Raw Data'!K31,3,2),".","0",LEFT('Raw Data'!K31,1),".", RIGHT('Raw Data'!K31,4))))</f>
        <v>43539</v>
      </c>
      <c r="L31" s="2">
        <f>'Raw Data'!L31</f>
        <v>0.65</v>
      </c>
      <c r="M31" t="s">
        <v>29</v>
      </c>
      <c r="N31">
        <f>VALUE(IF(AND(ISERR(FIND(".",'Raw Data'!N31)),LEN('Raw Data'!N31)=5), IF(YEAR('Raw Data'!N31)=2026,CONCATENATE(DAY('Raw Data'!N31),".",IF(LEN(MONTH('Raw Data'!N31))=2,MONTH('Raw Data'!N31),CONCATENATE("0",MONTH('Raw Data'!N31)))),CONCATENATE(MONTH('Raw Data'!N31),".",RIGHT(YEAR('Raw Data'!N31),2))),'Raw Data'!N31))</f>
        <v>224.01</v>
      </c>
      <c r="O31" s="6">
        <f t="shared" si="1"/>
        <v>4.7619047619047645</v>
      </c>
      <c r="P31" s="6">
        <f t="shared" si="2"/>
        <v>11.200500000000005</v>
      </c>
      <c r="Q31">
        <f>VALUE(IF(AND(ISERR(FIND(".",'Raw Data'!Q31)),LEN('Raw Data'!Q31)=5), IF(YEAR('Raw Data'!Q31)=2026,CONCATENATE(DAY('Raw Data'!Q31),".",IF(LEN(MONTH('Raw Data'!Q31))=2,MONTH('Raw Data'!Q31),CONCATENATE(MONTH('Raw Data'!Q31)))),CONCATENATE(MONTH('Raw Data'!Q31),".",RIGHT(YEAR('Raw Data'!Q31),2))),'Raw Data'!Q31))</f>
        <v>7.4</v>
      </c>
    </row>
    <row r="32" spans="1:17">
      <c r="A32" t="s">
        <v>78</v>
      </c>
      <c r="B32" t="s">
        <v>34</v>
      </c>
      <c r="C32" t="s">
        <v>35</v>
      </c>
      <c r="D32" t="s">
        <v>27</v>
      </c>
      <c r="E32" t="s">
        <v>30</v>
      </c>
      <c r="F32" t="s">
        <v>43</v>
      </c>
      <c r="G32">
        <f>VALUE(IF(AND(ISERR(FIND(".",'Raw Data'!G32)),LEN('Raw Data'!G32)=5), IF(YEAR('Raw Data'!G32)=2026,CONCATENATE(DAY('Raw Data'!G32),".",IF(LEN(MONTH('Raw Data'!G32))=2,MONTH('Raw Data'!G32),CONCATENATE("0",MONTH('Raw Data'!G32)))),CONCATENATE(MONTH('Raw Data'!G32),".",RIGHT(YEAR('Raw Data'!G32),2))),'Raw Data'!G32))</f>
        <v>94.13</v>
      </c>
      <c r="H32">
        <f>'Raw Data'!H32</f>
        <v>5</v>
      </c>
      <c r="I32" s="6">
        <f t="shared" si="0"/>
        <v>23.532500000000027</v>
      </c>
      <c r="J32" s="6">
        <f>'Raw Data'!J32</f>
        <v>494.1825</v>
      </c>
      <c r="K32" s="1">
        <f>VALUE(IFERROR(VALUE('Raw Data'!K32),CONCATENATE(MID('Raw Data'!K32,3,2),".","0",LEFT('Raw Data'!K32,1),".", RIGHT('Raw Data'!K32,4))))</f>
        <v>43521</v>
      </c>
      <c r="L32" s="2">
        <f>'Raw Data'!L32</f>
        <v>0.81874999999999998</v>
      </c>
      <c r="M32" t="s">
        <v>33</v>
      </c>
      <c r="N32">
        <f>VALUE(IF(AND(ISERR(FIND(".",'Raw Data'!N32)),LEN('Raw Data'!N32)=5), IF(YEAR('Raw Data'!N32)=2026,CONCATENATE(DAY('Raw Data'!N32),".",IF(LEN(MONTH('Raw Data'!N32))=2,MONTH('Raw Data'!N32),CONCATENATE("0",MONTH('Raw Data'!N32)))),CONCATENATE(MONTH('Raw Data'!N32),".",RIGHT(YEAR('Raw Data'!N32),2))),'Raw Data'!N32))</f>
        <v>470.65</v>
      </c>
      <c r="O32" s="6">
        <f t="shared" si="1"/>
        <v>4.7619047619047672</v>
      </c>
      <c r="P32" s="6">
        <f t="shared" si="2"/>
        <v>23.532500000000027</v>
      </c>
      <c r="Q32">
        <f>VALUE(IF(AND(ISERR(FIND(".",'Raw Data'!Q32)),LEN('Raw Data'!Q32)=5), IF(YEAR('Raw Data'!Q32)=2026,CONCATENATE(DAY('Raw Data'!Q32),".",IF(LEN(MONTH('Raw Data'!Q32))=2,MONTH('Raw Data'!Q32),CONCATENATE(MONTH('Raw Data'!Q32)))),CONCATENATE(MONTH('Raw Data'!Q32),".",RIGHT(YEAR('Raw Data'!Q32),2))),'Raw Data'!Q32))</f>
        <v>4.8</v>
      </c>
    </row>
    <row r="33" spans="1:17">
      <c r="A33" t="s">
        <v>79</v>
      </c>
      <c r="B33" t="s">
        <v>34</v>
      </c>
      <c r="C33" t="s">
        <v>35</v>
      </c>
      <c r="D33" t="s">
        <v>20</v>
      </c>
      <c r="E33" t="s">
        <v>30</v>
      </c>
      <c r="F33" t="s">
        <v>38</v>
      </c>
      <c r="G33">
        <f>VALUE(IF(AND(ISERR(FIND(".",'Raw Data'!G33)),LEN('Raw Data'!G33)=5), IF(YEAR('Raw Data'!G33)=2026,CONCATENATE(DAY('Raw Data'!G33),".",IF(LEN(MONTH('Raw Data'!G33))=2,MONTH('Raw Data'!G33),CONCATENATE("0",MONTH('Raw Data'!G33)))),CONCATENATE(MONTH('Raw Data'!G33),".",RIGHT(YEAR('Raw Data'!G33),2))),'Raw Data'!G33))</f>
        <v>78.069999999999993</v>
      </c>
      <c r="H33">
        <f>'Raw Data'!H33</f>
        <v>9</v>
      </c>
      <c r="I33" s="6">
        <f t="shared" si="0"/>
        <v>35.131500000000074</v>
      </c>
      <c r="J33" s="6">
        <f>'Raw Data'!J33</f>
        <v>737.76149999999996</v>
      </c>
      <c r="K33" s="1">
        <f>VALUE(IFERROR(VALUE('Raw Data'!K33),CONCATENATE(MID('Raw Data'!K33,3,2),".","0",LEFT('Raw Data'!K33,1),".", RIGHT('Raw Data'!K33,4))))</f>
        <v>43493</v>
      </c>
      <c r="L33" s="2">
        <f>'Raw Data'!L33</f>
        <v>0.52986111111111112</v>
      </c>
      <c r="M33" t="s">
        <v>29</v>
      </c>
      <c r="N33">
        <f>VALUE(IF(AND(ISERR(FIND(".",'Raw Data'!N33)),LEN('Raw Data'!N33)=5), IF(YEAR('Raw Data'!N33)=2026,CONCATENATE(DAY('Raw Data'!N33),".",IF(LEN(MONTH('Raw Data'!N33))=2,MONTH('Raw Data'!N33),CONCATENATE("0",MONTH('Raw Data'!N33)))),CONCATENATE(MONTH('Raw Data'!N33),".",RIGHT(YEAR('Raw Data'!N33),2))),'Raw Data'!N33))</f>
        <v>702.63</v>
      </c>
      <c r="O33" s="6">
        <f t="shared" si="1"/>
        <v>4.7619047619047565</v>
      </c>
      <c r="P33" s="6">
        <f t="shared" si="2"/>
        <v>35.13149999999996</v>
      </c>
      <c r="Q33">
        <f>VALUE(IF(AND(ISERR(FIND(".",'Raw Data'!Q33)),LEN('Raw Data'!Q33)=5), IF(YEAR('Raw Data'!Q33)=2026,CONCATENATE(DAY('Raw Data'!Q33),".",IF(LEN(MONTH('Raw Data'!Q33))=2,MONTH('Raw Data'!Q33),CONCATENATE(MONTH('Raw Data'!Q33)))),CONCATENATE(MONTH('Raw Data'!Q33),".",RIGHT(YEAR('Raw Data'!Q33),2))),'Raw Data'!Q33))</f>
        <v>4.5</v>
      </c>
    </row>
    <row r="34" spans="1:17">
      <c r="A34" t="s">
        <v>81</v>
      </c>
      <c r="B34" t="s">
        <v>34</v>
      </c>
      <c r="C34" t="s">
        <v>35</v>
      </c>
      <c r="D34" t="s">
        <v>27</v>
      </c>
      <c r="E34" t="s">
        <v>30</v>
      </c>
      <c r="F34" t="s">
        <v>38</v>
      </c>
      <c r="G34">
        <f>VALUE(IF(AND(ISERR(FIND(".",'Raw Data'!G34)),LEN('Raw Data'!G34)=5), IF(YEAR('Raw Data'!G34)=2026,CONCATENATE(DAY('Raw Data'!G34),".",IF(LEN(MONTH('Raw Data'!G34))=2,MONTH('Raw Data'!G34),CONCATENATE("0",MONTH('Raw Data'!G34)))),CONCATENATE(MONTH('Raw Data'!G34),".",RIGHT(YEAR('Raw Data'!G34),2))),'Raw Data'!G34))</f>
        <v>83.78</v>
      </c>
      <c r="H34">
        <f>'Raw Data'!H34</f>
        <v>8</v>
      </c>
      <c r="I34" s="6">
        <f t="shared" si="0"/>
        <v>33.511999999999944</v>
      </c>
      <c r="J34" s="6">
        <f>'Raw Data'!J34</f>
        <v>703.75199999999995</v>
      </c>
      <c r="K34" s="1">
        <f>VALUE(IFERROR(VALUE('Raw Data'!K34),CONCATENATE(MID('Raw Data'!K34,3,2),".","0",LEFT('Raw Data'!K34,1),".", RIGHT('Raw Data'!K34,4))))</f>
        <v>43739</v>
      </c>
      <c r="L34" s="2">
        <f>'Raw Data'!L34</f>
        <v>0.61736111111111114</v>
      </c>
      <c r="M34" t="s">
        <v>29</v>
      </c>
      <c r="N34">
        <f>VALUE(IF(AND(ISERR(FIND(".",'Raw Data'!N34)),LEN('Raw Data'!N34)=5), IF(YEAR('Raw Data'!N34)=2026,CONCATENATE(DAY('Raw Data'!N34),".",IF(LEN(MONTH('Raw Data'!N34))=2,MONTH('Raw Data'!N34),CONCATENATE("0",MONTH('Raw Data'!N34)))),CONCATENATE(MONTH('Raw Data'!N34),".",RIGHT(YEAR('Raw Data'!N34),2))),'Raw Data'!N34))</f>
        <v>670.24</v>
      </c>
      <c r="O34" s="6">
        <f t="shared" si="1"/>
        <v>4.7619047619047539</v>
      </c>
      <c r="P34" s="6">
        <f t="shared" si="2"/>
        <v>33.511999999999944</v>
      </c>
      <c r="Q34">
        <f>VALUE(IF(AND(ISERR(FIND(".",'Raw Data'!Q34)),LEN('Raw Data'!Q34)=5), IF(YEAR('Raw Data'!Q34)=2026,CONCATENATE(DAY('Raw Data'!Q34),".",IF(LEN(MONTH('Raw Data'!Q34))=2,MONTH('Raw Data'!Q34),CONCATENATE(MONTH('Raw Data'!Q34)))),CONCATENATE(MONTH('Raw Data'!Q34),".",RIGHT(YEAR('Raw Data'!Q34),2))),'Raw Data'!Q34))</f>
        <v>5.0999999999999996</v>
      </c>
    </row>
    <row r="35" spans="1:17">
      <c r="A35" t="s">
        <v>82</v>
      </c>
      <c r="B35" t="s">
        <v>18</v>
      </c>
      <c r="C35" t="s">
        <v>19</v>
      </c>
      <c r="D35" t="s">
        <v>27</v>
      </c>
      <c r="E35" t="s">
        <v>30</v>
      </c>
      <c r="F35" t="s">
        <v>22</v>
      </c>
      <c r="G35">
        <f>VALUE(IF(AND(ISERR(FIND(".",'Raw Data'!G35)),LEN('Raw Data'!G35)=5), IF(YEAR('Raw Data'!G35)=2026,CONCATENATE(DAY('Raw Data'!G35),".",IF(LEN(MONTH('Raw Data'!G35))=2,MONTH('Raw Data'!G35),CONCATENATE("0",MONTH('Raw Data'!G35)))),CONCATENATE(MONTH('Raw Data'!G35),".",RIGHT(YEAR('Raw Data'!G35),2))),'Raw Data'!G35))</f>
        <v>96.58</v>
      </c>
      <c r="H35">
        <f>'Raw Data'!H35</f>
        <v>2</v>
      </c>
      <c r="I35" s="6">
        <f t="shared" si="0"/>
        <v>9.6580000000000155</v>
      </c>
      <c r="J35" s="6">
        <f>'Raw Data'!J35</f>
        <v>202.81800000000001</v>
      </c>
      <c r="K35" s="1">
        <f>VALUE(IFERROR(VALUE('Raw Data'!K35),CONCATENATE(MID('Raw Data'!K35,3,2),".","0",LEFT('Raw Data'!K35,1),".", RIGHT('Raw Data'!K35,4))))</f>
        <v>43539</v>
      </c>
      <c r="L35" s="2">
        <f>'Raw Data'!L35</f>
        <v>0.42499999999999999</v>
      </c>
      <c r="M35" t="s">
        <v>33</v>
      </c>
      <c r="N35">
        <f>VALUE(IF(AND(ISERR(FIND(".",'Raw Data'!N35)),LEN('Raw Data'!N35)=5), IF(YEAR('Raw Data'!N35)=2026,CONCATENATE(DAY('Raw Data'!N35),".",IF(LEN(MONTH('Raw Data'!N35))=2,MONTH('Raw Data'!N35),CONCATENATE("0",MONTH('Raw Data'!N35)))),CONCATENATE(MONTH('Raw Data'!N35),".",RIGHT(YEAR('Raw Data'!N35),2))),'Raw Data'!N35))</f>
        <v>193.16</v>
      </c>
      <c r="O35" s="6">
        <f t="shared" si="1"/>
        <v>4.761904761904769</v>
      </c>
      <c r="P35" s="6">
        <f t="shared" si="2"/>
        <v>9.6580000000000155</v>
      </c>
      <c r="Q35">
        <f>VALUE(IF(AND(ISERR(FIND(".",'Raw Data'!Q35)),LEN('Raw Data'!Q35)=5), IF(YEAR('Raw Data'!Q35)=2026,CONCATENATE(DAY('Raw Data'!Q35),".",IF(LEN(MONTH('Raw Data'!Q35))=2,MONTH('Raw Data'!Q35),CONCATENATE(MONTH('Raw Data'!Q35)))),CONCATENATE(MONTH('Raw Data'!Q35),".",RIGHT(YEAR('Raw Data'!Q35),2))),'Raw Data'!Q35))</f>
        <v>5.0999999999999996</v>
      </c>
    </row>
    <row r="36" spans="1:17">
      <c r="A36" t="s">
        <v>83</v>
      </c>
      <c r="B36" t="s">
        <v>25</v>
      </c>
      <c r="C36" t="s">
        <v>26</v>
      </c>
      <c r="D36" t="s">
        <v>20</v>
      </c>
      <c r="E36" t="s">
        <v>21</v>
      </c>
      <c r="F36" t="s">
        <v>40</v>
      </c>
      <c r="G36">
        <f>VALUE(IF(AND(ISERR(FIND(".",'Raw Data'!G36)),LEN('Raw Data'!G36)=5), IF(YEAR('Raw Data'!G36)=2026,CONCATENATE(DAY('Raw Data'!G36),".",IF(LEN(MONTH('Raw Data'!G36))=2,MONTH('Raw Data'!G36),CONCATENATE("0",MONTH('Raw Data'!G36)))),CONCATENATE(MONTH('Raw Data'!G36),".",RIGHT(YEAR('Raw Data'!G36),2))),'Raw Data'!G36))</f>
        <v>99.42</v>
      </c>
      <c r="H36">
        <f>'Raw Data'!H36</f>
        <v>4</v>
      </c>
      <c r="I36" s="6">
        <f t="shared" si="0"/>
        <v>19.884000000000015</v>
      </c>
      <c r="J36" s="6">
        <f>'Raw Data'!J36</f>
        <v>417.56400000000002</v>
      </c>
      <c r="K36" s="1">
        <f>VALUE(IFERROR(VALUE('Raw Data'!K36),CONCATENATE(MID('Raw Data'!K36,3,2),".","0",LEFT('Raw Data'!K36,1),".", RIGHT('Raw Data'!K36,4))))</f>
        <v>43618</v>
      </c>
      <c r="L36" s="2">
        <f>'Raw Data'!L36</f>
        <v>0.4458333333333333</v>
      </c>
      <c r="M36" t="s">
        <v>23</v>
      </c>
      <c r="N36">
        <f>VALUE(IF(AND(ISERR(FIND(".",'Raw Data'!N36)),LEN('Raw Data'!N36)=5), IF(YEAR('Raw Data'!N36)=2026,CONCATENATE(DAY('Raw Data'!N36),".",IF(LEN(MONTH('Raw Data'!N36))=2,MONTH('Raw Data'!N36),CONCATENATE("0",MONTH('Raw Data'!N36)))),CONCATENATE(MONTH('Raw Data'!N36),".",RIGHT(YEAR('Raw Data'!N36),2))),'Raw Data'!N36))</f>
        <v>397.68</v>
      </c>
      <c r="O36" s="6">
        <f t="shared" si="1"/>
        <v>4.7619047619047654</v>
      </c>
      <c r="P36" s="6">
        <f t="shared" si="2"/>
        <v>19.884000000000015</v>
      </c>
      <c r="Q36">
        <f>VALUE(IF(AND(ISERR(FIND(".",'Raw Data'!Q36)),LEN('Raw Data'!Q36)=5), IF(YEAR('Raw Data'!Q36)=2026,CONCATENATE(DAY('Raw Data'!Q36),".",IF(LEN(MONTH('Raw Data'!Q36))=2,MONTH('Raw Data'!Q36),CONCATENATE(MONTH('Raw Data'!Q36)))),CONCATENATE(MONTH('Raw Data'!Q36),".",RIGHT(YEAR('Raw Data'!Q36),2))),'Raw Data'!Q36))</f>
        <v>7.5</v>
      </c>
    </row>
    <row r="37" spans="1:17">
      <c r="A37" t="s">
        <v>84</v>
      </c>
      <c r="B37" t="s">
        <v>25</v>
      </c>
      <c r="C37" t="s">
        <v>26</v>
      </c>
      <c r="D37" t="s">
        <v>20</v>
      </c>
      <c r="E37" t="s">
        <v>21</v>
      </c>
      <c r="F37" t="s">
        <v>38</v>
      </c>
      <c r="G37">
        <f>VALUE(IF(AND(ISERR(FIND(".",'Raw Data'!G37)),LEN('Raw Data'!G37)=5), IF(YEAR('Raw Data'!G37)=2026,CONCATENATE(DAY('Raw Data'!G37),".",IF(LEN(MONTH('Raw Data'!G37))=2,MONTH('Raw Data'!G37),CONCATENATE("0",MONTH('Raw Data'!G37)))),CONCATENATE(MONTH('Raw Data'!G37),".",RIGHT(YEAR('Raw Data'!G37),2))),'Raw Data'!G37))</f>
        <v>68.12</v>
      </c>
      <c r="H37">
        <f>'Raw Data'!H37</f>
        <v>1</v>
      </c>
      <c r="I37" s="6">
        <f t="shared" si="0"/>
        <v>3.4059999999999917</v>
      </c>
      <c r="J37" s="6">
        <f>'Raw Data'!J37</f>
        <v>71.525999999999996</v>
      </c>
      <c r="K37" s="1">
        <f>VALUE(IFERROR(VALUE('Raw Data'!K37),CONCATENATE(MID('Raw Data'!K37,3,2),".","0",LEFT('Raw Data'!K37,1),".", RIGHT('Raw Data'!K37,4))))</f>
        <v>43647</v>
      </c>
      <c r="L37" s="2">
        <f>'Raw Data'!L37</f>
        <v>0.51944444444444449</v>
      </c>
      <c r="M37" t="s">
        <v>23</v>
      </c>
      <c r="N37">
        <f>VALUE(IF(AND(ISERR(FIND(".",'Raw Data'!N37)),LEN('Raw Data'!N37)=5), IF(YEAR('Raw Data'!N37)=2026,CONCATENATE(DAY('Raw Data'!N37),".",IF(LEN(MONTH('Raw Data'!N37))=2,MONTH('Raw Data'!N37),CONCATENATE("0",MONTH('Raw Data'!N37)))),CONCATENATE(MONTH('Raw Data'!N37),".",RIGHT(YEAR('Raw Data'!N37),2))),'Raw Data'!N37))</f>
        <v>68.12</v>
      </c>
      <c r="O37" s="6">
        <f t="shared" si="1"/>
        <v>4.7619047619047503</v>
      </c>
      <c r="P37" s="6">
        <f t="shared" si="2"/>
        <v>3.4059999999999917</v>
      </c>
      <c r="Q37">
        <f>VALUE(IF(AND(ISERR(FIND(".",'Raw Data'!Q37)),LEN('Raw Data'!Q37)=5), IF(YEAR('Raw Data'!Q37)=2026,CONCATENATE(DAY('Raw Data'!Q37),".",IF(LEN(MONTH('Raw Data'!Q37))=2,MONTH('Raw Data'!Q37),CONCATENATE(MONTH('Raw Data'!Q37)))),CONCATENATE(MONTH('Raw Data'!Q37),".",RIGHT(YEAR('Raw Data'!Q37),2))),'Raw Data'!Q37))</f>
        <v>6.8</v>
      </c>
    </row>
    <row r="38" spans="1:17">
      <c r="A38" t="s">
        <v>85</v>
      </c>
      <c r="B38" t="s">
        <v>18</v>
      </c>
      <c r="C38" t="s">
        <v>19</v>
      </c>
      <c r="D38" t="s">
        <v>20</v>
      </c>
      <c r="E38" t="s">
        <v>30</v>
      </c>
      <c r="F38" t="s">
        <v>38</v>
      </c>
      <c r="G38">
        <f>VALUE(IF(AND(ISERR(FIND(".",'Raw Data'!G38)),LEN('Raw Data'!G38)=5), IF(YEAR('Raw Data'!G38)=2026,CONCATENATE(DAY('Raw Data'!G38),".",IF(LEN(MONTH('Raw Data'!G38))=2,MONTH('Raw Data'!G38),CONCATENATE("0",MONTH('Raw Data'!G38)))),CONCATENATE(MONTH('Raw Data'!G38),".",RIGHT(YEAR('Raw Data'!G38),2))),'Raw Data'!G38))</f>
        <v>62.62</v>
      </c>
      <c r="H38">
        <f>'Raw Data'!H38</f>
        <v>5</v>
      </c>
      <c r="I38" s="6">
        <f t="shared" si="0"/>
        <v>15.65500000000003</v>
      </c>
      <c r="J38" s="6">
        <f>'Raw Data'!J38</f>
        <v>328.755</v>
      </c>
      <c r="K38" s="1">
        <f>VALUE(IFERROR(VALUE('Raw Data'!K38),CONCATENATE(MID('Raw Data'!K38,3,2),".","0",LEFT('Raw Data'!K38,1),".", RIGHT('Raw Data'!K38,4))))</f>
        <v>43741</v>
      </c>
      <c r="L38" s="2">
        <f>'Raw Data'!L38</f>
        <v>0.80208333333333337</v>
      </c>
      <c r="M38" t="s">
        <v>23</v>
      </c>
      <c r="N38">
        <f>VALUE(IF(AND(ISERR(FIND(".",'Raw Data'!N38)),LEN('Raw Data'!N38)=5), IF(YEAR('Raw Data'!N38)=2026,CONCATENATE(DAY('Raw Data'!N38),".",IF(LEN(MONTH('Raw Data'!N38))=2,MONTH('Raw Data'!N38),CONCATENATE("0",MONTH('Raw Data'!N38)))),CONCATENATE(MONTH('Raw Data'!N38),".",RIGHT(YEAR('Raw Data'!N38),2))),'Raw Data'!N38))</f>
        <v>313.10000000000002</v>
      </c>
      <c r="O38" s="6">
        <f t="shared" si="1"/>
        <v>4.7619047619047539</v>
      </c>
      <c r="P38" s="6">
        <f t="shared" si="2"/>
        <v>15.654999999999973</v>
      </c>
      <c r="Q38">
        <f>VALUE(IF(AND(ISERR(FIND(".",'Raw Data'!Q38)),LEN('Raw Data'!Q38)=5), IF(YEAR('Raw Data'!Q38)=2026,CONCATENATE(DAY('Raw Data'!Q38),".",IF(LEN(MONTH('Raw Data'!Q38))=2,MONTH('Raw Data'!Q38),CONCATENATE(MONTH('Raw Data'!Q38)))),CONCATENATE(MONTH('Raw Data'!Q38),".",RIGHT(YEAR('Raw Data'!Q38),2))),'Raw Data'!Q38))</f>
        <v>7</v>
      </c>
    </row>
    <row r="39" spans="1:17">
      <c r="A39" t="s">
        <v>86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f>VALUE(IF(AND(ISERR(FIND(".",'Raw Data'!G39)),LEN('Raw Data'!G39)=5), IF(YEAR('Raw Data'!G39)=2026,CONCATENATE(DAY('Raw Data'!G39),".",IF(LEN(MONTH('Raw Data'!G39))=2,MONTH('Raw Data'!G39),CONCATENATE("0",MONTH('Raw Data'!G39)))),CONCATENATE(MONTH('Raw Data'!G39),".",RIGHT(YEAR('Raw Data'!G39),2))),'Raw Data'!G39))</f>
        <v>60.88</v>
      </c>
      <c r="H39">
        <f>'Raw Data'!H39</f>
        <v>9</v>
      </c>
      <c r="I39" s="6">
        <f t="shared" si="0"/>
        <v>27.395999999999958</v>
      </c>
      <c r="J39" s="6">
        <f>'Raw Data'!J39</f>
        <v>575.31600000000003</v>
      </c>
      <c r="K39" s="1">
        <f>VALUE(IFERROR(VALUE('Raw Data'!K39),CONCATENATE(MID('Raw Data'!K39,3,2),".","0",LEFT('Raw Data'!K39,1),".", RIGHT('Raw Data'!K39,4))))</f>
        <v>43480</v>
      </c>
      <c r="L39" s="2">
        <f>'Raw Data'!L39</f>
        <v>0.72013888888888899</v>
      </c>
      <c r="M39" t="s">
        <v>23</v>
      </c>
      <c r="N39">
        <f>VALUE(IF(AND(ISERR(FIND(".",'Raw Data'!N39)),LEN('Raw Data'!N39)=5), IF(YEAR('Raw Data'!N39)=2026,CONCATENATE(DAY('Raw Data'!N39),".",IF(LEN(MONTH('Raw Data'!N39))=2,MONTH('Raw Data'!N39),CONCATENATE("0",MONTH('Raw Data'!N39)))),CONCATENATE(MONTH('Raw Data'!N39),".",RIGHT(YEAR('Raw Data'!N39),2))),'Raw Data'!N39))</f>
        <v>547.91999999999996</v>
      </c>
      <c r="O39" s="6">
        <f t="shared" si="1"/>
        <v>4.7619047619047743</v>
      </c>
      <c r="P39" s="6">
        <f t="shared" si="2"/>
        <v>27.396000000000072</v>
      </c>
      <c r="Q39">
        <f>VALUE(IF(AND(ISERR(FIND(".",'Raw Data'!Q39)),LEN('Raw Data'!Q39)=5), IF(YEAR('Raw Data'!Q39)=2026,CONCATENATE(DAY('Raw Data'!Q39),".",IF(LEN(MONTH('Raw Data'!Q39))=2,MONTH('Raw Data'!Q39),CONCATENATE(MONTH('Raw Data'!Q39)))),CONCATENATE(MONTH('Raw Data'!Q39),".",RIGHT(YEAR('Raw Data'!Q39),2))),'Raw Data'!Q39))</f>
        <v>4.7</v>
      </c>
    </row>
    <row r="40" spans="1:17">
      <c r="A40" t="s">
        <v>87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f>VALUE(IF(AND(ISERR(FIND(".",'Raw Data'!G40)),LEN('Raw Data'!G40)=5), IF(YEAR('Raw Data'!G40)=2026,CONCATENATE(DAY('Raw Data'!G40),".",IF(LEN(MONTH('Raw Data'!G40))=2,MONTH('Raw Data'!G40),CONCATENATE("0",MONTH('Raw Data'!G40)))),CONCATENATE(MONTH('Raw Data'!G40),".",RIGHT(YEAR('Raw Data'!G40),2))),'Raw Data'!G40))</f>
        <v>54.92</v>
      </c>
      <c r="H40">
        <f>'Raw Data'!H40</f>
        <v>8</v>
      </c>
      <c r="I40" s="6">
        <f t="shared" si="0"/>
        <v>21.967999999999961</v>
      </c>
      <c r="J40" s="6">
        <f>'Raw Data'!J40</f>
        <v>461.32799999999997</v>
      </c>
      <c r="K40" s="1">
        <f>VALUE(IFERROR(VALUE('Raw Data'!K40),CONCATENATE(MID('Raw Data'!K40,3,2),".","0",LEFT('Raw Data'!K40,1),".", RIGHT('Raw Data'!K40,4))))</f>
        <v>43547</v>
      </c>
      <c r="L40" s="2">
        <f>'Raw Data'!L40</f>
        <v>0.55833333333333335</v>
      </c>
      <c r="M40" t="s">
        <v>23</v>
      </c>
      <c r="N40">
        <f>VALUE(IF(AND(ISERR(FIND(".",'Raw Data'!N40)),LEN('Raw Data'!N40)=5), IF(YEAR('Raw Data'!N40)=2026,CONCATENATE(DAY('Raw Data'!N40),".",IF(LEN(MONTH('Raw Data'!N40))=2,MONTH('Raw Data'!N40),CONCATENATE("0",MONTH('Raw Data'!N40)))),CONCATENATE(MONTH('Raw Data'!N40),".",RIGHT(YEAR('Raw Data'!N40),2))),'Raw Data'!N40))</f>
        <v>439.36</v>
      </c>
      <c r="O40" s="6">
        <f t="shared" si="1"/>
        <v>4.7619047619047539</v>
      </c>
      <c r="P40" s="6">
        <f t="shared" si="2"/>
        <v>21.967999999999961</v>
      </c>
      <c r="Q40">
        <f>VALUE(IF(AND(ISERR(FIND(".",'Raw Data'!Q40)),LEN('Raw Data'!Q40)=5), IF(YEAR('Raw Data'!Q40)=2026,CONCATENATE(DAY('Raw Data'!Q40),".",IF(LEN(MONTH('Raw Data'!Q40))=2,MONTH('Raw Data'!Q40),CONCATENATE(MONTH('Raw Data'!Q40)))),CONCATENATE(MONTH('Raw Data'!Q40),".",RIGHT(YEAR('Raw Data'!Q40),2))),'Raw Data'!Q40))</f>
        <v>7.6</v>
      </c>
    </row>
    <row r="41" spans="1:17">
      <c r="A41" t="s">
        <v>89</v>
      </c>
      <c r="B41" t="s">
        <v>34</v>
      </c>
      <c r="C41" t="s">
        <v>35</v>
      </c>
      <c r="D41" t="s">
        <v>20</v>
      </c>
      <c r="E41" t="s">
        <v>30</v>
      </c>
      <c r="F41" t="s">
        <v>32</v>
      </c>
      <c r="G41">
        <f>VALUE(IF(AND(ISERR(FIND(".",'Raw Data'!G41)),LEN('Raw Data'!G41)=5), IF(YEAR('Raw Data'!G41)=2026,CONCATENATE(DAY('Raw Data'!G41),".",IF(LEN(MONTH('Raw Data'!G41))=2,MONTH('Raw Data'!G41),CONCATENATE("0",MONTH('Raw Data'!G41)))),CONCATENATE(MONTH('Raw Data'!G41),".",RIGHT(YEAR('Raw Data'!G41),2))),'Raw Data'!G41))</f>
        <v>30.12</v>
      </c>
      <c r="H41">
        <f>'Raw Data'!H41</f>
        <v>8</v>
      </c>
      <c r="I41" s="6">
        <f t="shared" si="0"/>
        <v>12.048000000000002</v>
      </c>
      <c r="J41" s="6">
        <f>'Raw Data'!J41</f>
        <v>253.00800000000001</v>
      </c>
      <c r="K41" s="1">
        <f>VALUE(IFERROR(VALUE('Raw Data'!K41),CONCATENATE(MID('Raw Data'!K41,3,2),".","0",LEFT('Raw Data'!K41,1),".", RIGHT('Raw Data'!K41,4))))</f>
        <v>43527</v>
      </c>
      <c r="L41" s="2">
        <f>'Raw Data'!L41</f>
        <v>0.54236111111111118</v>
      </c>
      <c r="M41" t="s">
        <v>29</v>
      </c>
      <c r="N41">
        <f>VALUE(IF(AND(ISERR(FIND(".",'Raw Data'!N41)),LEN('Raw Data'!N41)=5), IF(YEAR('Raw Data'!N41)=2026,CONCATENATE(DAY('Raw Data'!N41),".",IF(LEN(MONTH('Raw Data'!N41))=2,MONTH('Raw Data'!N41),CONCATENATE("0",MONTH('Raw Data'!N41)))),CONCATENATE(MONTH('Raw Data'!N41),".",RIGHT(YEAR('Raw Data'!N41),2))),'Raw Data'!N41))</f>
        <v>240.96</v>
      </c>
      <c r="O41" s="6">
        <f t="shared" si="1"/>
        <v>4.7619047619047628</v>
      </c>
      <c r="P41" s="6">
        <f t="shared" si="2"/>
        <v>12.048000000000002</v>
      </c>
      <c r="Q41">
        <f>VALUE(IF(AND(ISERR(FIND(".",'Raw Data'!Q41)),LEN('Raw Data'!Q41)=5), IF(YEAR('Raw Data'!Q41)=2026,CONCATENATE(DAY('Raw Data'!Q41),".",IF(LEN(MONTH('Raw Data'!Q41))=2,MONTH('Raw Data'!Q41),CONCATENATE(MONTH('Raw Data'!Q41)))),CONCATENATE(MONTH('Raw Data'!Q41),".",RIGHT(YEAR('Raw Data'!Q41),2))),'Raw Data'!Q41))</f>
        <v>7.7</v>
      </c>
    </row>
    <row r="42" spans="1:17">
      <c r="A42" t="s">
        <v>90</v>
      </c>
      <c r="B42" t="s">
        <v>34</v>
      </c>
      <c r="C42" t="s">
        <v>35</v>
      </c>
      <c r="D42" t="s">
        <v>20</v>
      </c>
      <c r="E42" t="s">
        <v>21</v>
      </c>
      <c r="F42" t="s">
        <v>32</v>
      </c>
      <c r="G42">
        <f>VALUE(IF(AND(ISERR(FIND(".",'Raw Data'!G42)),LEN('Raw Data'!G42)=5), IF(YEAR('Raw Data'!G42)=2026,CONCATENATE(DAY('Raw Data'!G42),".",IF(LEN(MONTH('Raw Data'!G42))=2,MONTH('Raw Data'!G42),CONCATENATE("0",MONTH('Raw Data'!G42)))),CONCATENATE(MONTH('Raw Data'!G42),".",RIGHT(YEAR('Raw Data'!G42),2))),'Raw Data'!G42))</f>
        <v>86.72</v>
      </c>
      <c r="H42">
        <f>'Raw Data'!H42</f>
        <v>1</v>
      </c>
      <c r="I42" s="6">
        <f t="shared" si="0"/>
        <v>4.3359999999999985</v>
      </c>
      <c r="J42" s="6">
        <f>'Raw Data'!J42</f>
        <v>91.055999999999997</v>
      </c>
      <c r="K42" s="1">
        <f>VALUE(IFERROR(VALUE('Raw Data'!K42),CONCATENATE(MID('Raw Data'!K42,3,2),".","0",LEFT('Raw Data'!K42,1),".", RIGHT('Raw Data'!K42,4))))</f>
        <v>43482</v>
      </c>
      <c r="L42" s="2">
        <f>'Raw Data'!L42</f>
        <v>0.78125</v>
      </c>
      <c r="M42" t="s">
        <v>23</v>
      </c>
      <c r="N42">
        <f>VALUE(IF(AND(ISERR(FIND(".",'Raw Data'!N42)),LEN('Raw Data'!N42)=5), IF(YEAR('Raw Data'!N42)=2026,CONCATENATE(DAY('Raw Data'!N42),".",IF(LEN(MONTH('Raw Data'!N42))=2,MONTH('Raw Data'!N42),CONCATENATE("0",MONTH('Raw Data'!N42)))),CONCATENATE(MONTH('Raw Data'!N42),".",RIGHT(YEAR('Raw Data'!N42),2))),'Raw Data'!N42))</f>
        <v>86.72</v>
      </c>
      <c r="O42" s="6">
        <f t="shared" si="1"/>
        <v>4.7619047619047601</v>
      </c>
      <c r="P42" s="6">
        <f t="shared" si="2"/>
        <v>4.3359999999999985</v>
      </c>
      <c r="Q42">
        <f>VALUE(IF(AND(ISERR(FIND(".",'Raw Data'!Q42)),LEN('Raw Data'!Q42)=5), IF(YEAR('Raw Data'!Q42)=2026,CONCATENATE(DAY('Raw Data'!Q42),".",IF(LEN(MONTH('Raw Data'!Q42))=2,MONTH('Raw Data'!Q42),CONCATENATE(MONTH('Raw Data'!Q42)))),CONCATENATE(MONTH('Raw Data'!Q42),".",RIGHT(YEAR('Raw Data'!Q42),2))),'Raw Data'!Q42))</f>
        <v>7.9</v>
      </c>
    </row>
    <row r="43" spans="1:17">
      <c r="A43" t="s">
        <v>92</v>
      </c>
      <c r="B43" t="s">
        <v>25</v>
      </c>
      <c r="C43" t="s">
        <v>26</v>
      </c>
      <c r="D43" t="s">
        <v>20</v>
      </c>
      <c r="E43" t="s">
        <v>30</v>
      </c>
      <c r="F43" t="s">
        <v>32</v>
      </c>
      <c r="G43">
        <f>VALUE(IF(AND(ISERR(FIND(".",'Raw Data'!G43)),LEN('Raw Data'!G43)=5), IF(YEAR('Raw Data'!G43)=2026,CONCATENATE(DAY('Raw Data'!G43),".",IF(LEN(MONTH('Raw Data'!G43))=2,MONTH('Raw Data'!G43),CONCATENATE("0",MONTH('Raw Data'!G43)))),CONCATENATE(MONTH('Raw Data'!G43),".",RIGHT(YEAR('Raw Data'!G43),2))),'Raw Data'!G43))</f>
        <v>56.11</v>
      </c>
      <c r="H43">
        <f>'Raw Data'!H43</f>
        <v>2</v>
      </c>
      <c r="I43" s="6">
        <f t="shared" si="0"/>
        <v>5.6110000000000042</v>
      </c>
      <c r="J43" s="6">
        <f>'Raw Data'!J43</f>
        <v>117.831</v>
      </c>
      <c r="K43" s="1">
        <f>VALUE(IFERROR(VALUE('Raw Data'!K43),CONCATENATE(MID('Raw Data'!K43,3,2),".","0",LEFT('Raw Data'!K43,1),".", RIGHT('Raw Data'!K43,4))))</f>
        <v>43498</v>
      </c>
      <c r="L43" s="2">
        <f>'Raw Data'!L43</f>
        <v>0.42430555555555555</v>
      </c>
      <c r="M43" t="s">
        <v>29</v>
      </c>
      <c r="N43">
        <f>VALUE(IF(AND(ISERR(FIND(".",'Raw Data'!N43)),LEN('Raw Data'!N43)=5), IF(YEAR('Raw Data'!N43)=2026,CONCATENATE(DAY('Raw Data'!N43),".",IF(LEN(MONTH('Raw Data'!N43))=2,MONTH('Raw Data'!N43),CONCATENATE("0",MONTH('Raw Data'!N43)))),CONCATENATE(MONTH('Raw Data'!N43),".",RIGHT(YEAR('Raw Data'!N43),2))),'Raw Data'!N43))</f>
        <v>112.22</v>
      </c>
      <c r="O43" s="6">
        <f t="shared" si="1"/>
        <v>4.7619047619047654</v>
      </c>
      <c r="P43" s="6">
        <f t="shared" si="2"/>
        <v>5.6110000000000042</v>
      </c>
      <c r="Q43">
        <f>VALUE(IF(AND(ISERR(FIND(".",'Raw Data'!Q43)),LEN('Raw Data'!Q43)=5), IF(YEAR('Raw Data'!Q43)=2026,CONCATENATE(DAY('Raw Data'!Q43),".",IF(LEN(MONTH('Raw Data'!Q43))=2,MONTH('Raw Data'!Q43),CONCATENATE(MONTH('Raw Data'!Q43)))),CONCATENATE(MONTH('Raw Data'!Q43),".",RIGHT(YEAR('Raw Data'!Q43),2))),'Raw Data'!Q43))</f>
        <v>6.3</v>
      </c>
    </row>
    <row r="44" spans="1:17">
      <c r="A44" t="s">
        <v>93</v>
      </c>
      <c r="B44" t="s">
        <v>34</v>
      </c>
      <c r="C44" t="s">
        <v>35</v>
      </c>
      <c r="D44" t="s">
        <v>20</v>
      </c>
      <c r="E44" t="s">
        <v>21</v>
      </c>
      <c r="F44" t="s">
        <v>38</v>
      </c>
      <c r="G44">
        <f>VALUE(IF(AND(ISERR(FIND(".",'Raw Data'!G44)),LEN('Raw Data'!G44)=5), IF(YEAR('Raw Data'!G44)=2026,CONCATENATE(DAY('Raw Data'!G44),".",IF(LEN(MONTH('Raw Data'!G44))=2,MONTH('Raw Data'!G44),CONCATENATE("0",MONTH('Raw Data'!G44)))),CONCATENATE(MONTH('Raw Data'!G44),".",RIGHT(YEAR('Raw Data'!G44),2))),'Raw Data'!G44))</f>
        <v>69.12</v>
      </c>
      <c r="H44">
        <f>'Raw Data'!H44</f>
        <v>6</v>
      </c>
      <c r="I44" s="6">
        <f t="shared" si="0"/>
        <v>20.73599999999999</v>
      </c>
      <c r="J44" s="6">
        <f>'Raw Data'!J44</f>
        <v>435.45600000000002</v>
      </c>
      <c r="K44" s="1">
        <f>VALUE(IFERROR(VALUE('Raw Data'!K44),CONCATENATE(MID('Raw Data'!K44,3,2),".","0",LEFT('Raw Data'!K44,1),".", RIGHT('Raw Data'!K44,4))))</f>
        <v>43679</v>
      </c>
      <c r="L44" s="2">
        <f>'Raw Data'!L44</f>
        <v>0.54375000000000007</v>
      </c>
      <c r="M44" t="s">
        <v>29</v>
      </c>
      <c r="N44">
        <f>VALUE(IF(AND(ISERR(FIND(".",'Raw Data'!N44)),LEN('Raw Data'!N44)=5), IF(YEAR('Raw Data'!N44)=2026,CONCATENATE(DAY('Raw Data'!N44),".",IF(LEN(MONTH('Raw Data'!N44))=2,MONTH('Raw Data'!N44),CONCATENATE("0",MONTH('Raw Data'!N44)))),CONCATENATE(MONTH('Raw Data'!N44),".",RIGHT(YEAR('Raw Data'!N44),2))),'Raw Data'!N44))</f>
        <v>414.72</v>
      </c>
      <c r="O44" s="6">
        <f t="shared" si="1"/>
        <v>4.7619047619047592</v>
      </c>
      <c r="P44" s="6">
        <f t="shared" si="2"/>
        <v>20.73599999999999</v>
      </c>
      <c r="Q44">
        <f>VALUE(IF(AND(ISERR(FIND(".",'Raw Data'!Q44)),LEN('Raw Data'!Q44)=5), IF(YEAR('Raw Data'!Q44)=2026,CONCATENATE(DAY('Raw Data'!Q44),".",IF(LEN(MONTH('Raw Data'!Q44))=2,MONTH('Raw Data'!Q44),CONCATENATE(MONTH('Raw Data'!Q44)))),CONCATENATE(MONTH('Raw Data'!Q44),".",RIGHT(YEAR('Raw Data'!Q44),2))),'Raw Data'!Q44))</f>
        <v>5.6</v>
      </c>
    </row>
    <row r="45" spans="1:17">
      <c r="A45" t="s">
        <v>94</v>
      </c>
      <c r="B45" t="s">
        <v>25</v>
      </c>
      <c r="C45" t="s">
        <v>26</v>
      </c>
      <c r="D45" t="s">
        <v>20</v>
      </c>
      <c r="E45" t="s">
        <v>21</v>
      </c>
      <c r="F45" t="s">
        <v>40</v>
      </c>
      <c r="G45">
        <f>VALUE(IF(AND(ISERR(FIND(".",'Raw Data'!G45)),LEN('Raw Data'!G45)=5), IF(YEAR('Raw Data'!G45)=2026,CONCATENATE(DAY('Raw Data'!G45),".",IF(LEN(MONTH('Raw Data'!G45))=2,MONTH('Raw Data'!G45),CONCATENATE("0",MONTH('Raw Data'!G45)))),CONCATENATE(MONTH('Raw Data'!G45),".",RIGHT(YEAR('Raw Data'!G45),2))),'Raw Data'!G45))</f>
        <v>98.7</v>
      </c>
      <c r="H45">
        <f>'Raw Data'!H45</f>
        <v>8</v>
      </c>
      <c r="I45" s="6">
        <f t="shared" si="0"/>
        <v>39.480000000000018</v>
      </c>
      <c r="J45" s="6">
        <f>'Raw Data'!J45</f>
        <v>829.08</v>
      </c>
      <c r="K45" s="1">
        <f>VALUE(IFERROR(VALUE('Raw Data'!K45),CONCATENATE(MID('Raw Data'!K45,3,2),".","0",LEFT('Raw Data'!K45,1),".", RIGHT('Raw Data'!K45,4))))</f>
        <v>43558</v>
      </c>
      <c r="L45" s="2">
        <f>'Raw Data'!L45</f>
        <v>0.86041666666666661</v>
      </c>
      <c r="M45" t="s">
        <v>29</v>
      </c>
      <c r="N45">
        <f>VALUE(IF(AND(ISERR(FIND(".",'Raw Data'!N45)),LEN('Raw Data'!N45)=5), IF(YEAR('Raw Data'!N45)=2026,CONCATENATE(DAY('Raw Data'!N45),".",IF(LEN(MONTH('Raw Data'!N45))=2,MONTH('Raw Data'!N45),CONCATENATE("0",MONTH('Raw Data'!N45)))),CONCATENATE(MONTH('Raw Data'!N45),".",RIGHT(YEAR('Raw Data'!N45),2))),'Raw Data'!N45))</f>
        <v>789.6</v>
      </c>
      <c r="O45" s="6">
        <f t="shared" si="1"/>
        <v>4.7619047619047636</v>
      </c>
      <c r="P45" s="6">
        <f t="shared" si="2"/>
        <v>39.480000000000018</v>
      </c>
      <c r="Q45">
        <f>VALUE(IF(AND(ISERR(FIND(".",'Raw Data'!Q45)),LEN('Raw Data'!Q45)=5), IF(YEAR('Raw Data'!Q45)=2026,CONCATENATE(DAY('Raw Data'!Q45),".",IF(LEN(MONTH('Raw Data'!Q45))=2,MONTH('Raw Data'!Q45),CONCATENATE(MONTH('Raw Data'!Q45)))),CONCATENATE(MONTH('Raw Data'!Q45),".",RIGHT(YEAR('Raw Data'!Q45),2))),'Raw Data'!Q45))</f>
        <v>7.6</v>
      </c>
    </row>
    <row r="46" spans="1:17">
      <c r="A46" t="s">
        <v>95</v>
      </c>
      <c r="B46" t="s">
        <v>25</v>
      </c>
      <c r="C46" t="s">
        <v>26</v>
      </c>
      <c r="D46" t="s">
        <v>20</v>
      </c>
      <c r="E46" t="s">
        <v>30</v>
      </c>
      <c r="F46" t="s">
        <v>22</v>
      </c>
      <c r="G46">
        <f>VALUE(IF(AND(ISERR(FIND(".",'Raw Data'!G46)),LEN('Raw Data'!G46)=5), IF(YEAR('Raw Data'!G46)=2026,CONCATENATE(DAY('Raw Data'!G46),".",IF(LEN(MONTH('Raw Data'!G46))=2,MONTH('Raw Data'!G46),CONCATENATE("0",MONTH('Raw Data'!G46)))),CONCATENATE(MONTH('Raw Data'!G46),".",RIGHT(YEAR('Raw Data'!G46),2))),'Raw Data'!G46))</f>
        <v>15.37</v>
      </c>
      <c r="H46">
        <f>'Raw Data'!H46</f>
        <v>2</v>
      </c>
      <c r="I46" s="6">
        <f t="shared" si="0"/>
        <v>1.5370000000000026</v>
      </c>
      <c r="J46" s="6">
        <f>'Raw Data'!J46</f>
        <v>32.277000000000001</v>
      </c>
      <c r="K46" s="1">
        <f>VALUE(IFERROR(VALUE('Raw Data'!K46),CONCATENATE(MID('Raw Data'!K46,3,2),".","0",LEFT('Raw Data'!K46,1),".", RIGHT('Raw Data'!K46,4))))</f>
        <v>43540</v>
      </c>
      <c r="L46" s="2">
        <f>'Raw Data'!L46</f>
        <v>0.82430555555555562</v>
      </c>
      <c r="M46" t="s">
        <v>29</v>
      </c>
      <c r="N46">
        <f>VALUE(IF(AND(ISERR(FIND(".",'Raw Data'!N46)),LEN('Raw Data'!N46)=5), IF(YEAR('Raw Data'!N46)=2026,CONCATENATE(DAY('Raw Data'!N46),".",IF(LEN(MONTH('Raw Data'!N46))=2,MONTH('Raw Data'!N46),CONCATENATE("0",MONTH('Raw Data'!N46)))),CONCATENATE(MONTH('Raw Data'!N46),".",RIGHT(YEAR('Raw Data'!N46),2))),'Raw Data'!N46))</f>
        <v>30.74</v>
      </c>
      <c r="O46" s="6">
        <f t="shared" si="1"/>
        <v>4.7619047619047699</v>
      </c>
      <c r="P46" s="6">
        <f t="shared" si="2"/>
        <v>1.5370000000000026</v>
      </c>
      <c r="Q46">
        <f>VALUE(IF(AND(ISERR(FIND(".",'Raw Data'!Q46)),LEN('Raw Data'!Q46)=5), IF(YEAR('Raw Data'!Q46)=2026,CONCATENATE(DAY('Raw Data'!Q46),".",IF(LEN(MONTH('Raw Data'!Q46))=2,MONTH('Raw Data'!Q46),CONCATENATE(MONTH('Raw Data'!Q46)))),CONCATENATE(MONTH('Raw Data'!Q46),".",RIGHT(YEAR('Raw Data'!Q46),2))),'Raw Data'!Q46))</f>
        <v>7.2</v>
      </c>
    </row>
    <row r="47" spans="1:17">
      <c r="A47" t="s">
        <v>97</v>
      </c>
      <c r="B47" t="s">
        <v>34</v>
      </c>
      <c r="C47" t="s">
        <v>35</v>
      </c>
      <c r="D47" t="s">
        <v>20</v>
      </c>
      <c r="E47" t="s">
        <v>21</v>
      </c>
      <c r="F47" t="s">
        <v>28</v>
      </c>
      <c r="G47">
        <f>VALUE(IF(AND(ISERR(FIND(".",'Raw Data'!G47)),LEN('Raw Data'!G47)=5), IF(YEAR('Raw Data'!G47)=2026,CONCATENATE(DAY('Raw Data'!G47),".",IF(LEN(MONTH('Raw Data'!G47))=2,MONTH('Raw Data'!G47),CONCATENATE("0",MONTH('Raw Data'!G47)))),CONCATENATE(MONTH('Raw Data'!G47),".",RIGHT(YEAR('Raw Data'!G47),2))),'Raw Data'!G47))</f>
        <v>93.96</v>
      </c>
      <c r="H47">
        <f>'Raw Data'!H47</f>
        <v>4</v>
      </c>
      <c r="I47" s="6">
        <f t="shared" si="0"/>
        <v>18.79200000000003</v>
      </c>
      <c r="J47" s="6">
        <f>'Raw Data'!J47</f>
        <v>394.63200000000001</v>
      </c>
      <c r="K47" s="1">
        <f>VALUE(IFERROR(VALUE('Raw Data'!K47),CONCATENATE(MID('Raw Data'!K47,3,2),".","0",LEFT('Raw Data'!K47,1),".", RIGHT('Raw Data'!K47,4))))</f>
        <v>43711</v>
      </c>
      <c r="L47" s="2">
        <f>'Raw Data'!L47</f>
        <v>0.75</v>
      </c>
      <c r="M47" t="s">
        <v>29</v>
      </c>
      <c r="N47">
        <f>VALUE(IF(AND(ISERR(FIND(".",'Raw Data'!N47)),LEN('Raw Data'!N47)=5), IF(YEAR('Raw Data'!N47)=2026,CONCATENATE(DAY('Raw Data'!N47),".",IF(LEN(MONTH('Raw Data'!N47))=2,MONTH('Raw Data'!N47),CONCATENATE("0",MONTH('Raw Data'!N47)))),CONCATENATE(MONTH('Raw Data'!N47),".",RIGHT(YEAR('Raw Data'!N47),2))),'Raw Data'!N47))</f>
        <v>375.84</v>
      </c>
      <c r="O47" s="6">
        <f t="shared" si="1"/>
        <v>4.761904761904769</v>
      </c>
      <c r="P47" s="6">
        <f t="shared" si="2"/>
        <v>18.79200000000003</v>
      </c>
      <c r="Q47">
        <f>VALUE(IF(AND(ISERR(FIND(".",'Raw Data'!Q47)),LEN('Raw Data'!Q47)=5), IF(YEAR('Raw Data'!Q47)=2026,CONCATENATE(DAY('Raw Data'!Q47),".",IF(LEN(MONTH('Raw Data'!Q47))=2,MONTH('Raw Data'!Q47),CONCATENATE(MONTH('Raw Data'!Q47)))),CONCATENATE(MONTH('Raw Data'!Q47),".",RIGHT(YEAR('Raw Data'!Q47),2))),'Raw Data'!Q47))</f>
        <v>9.5</v>
      </c>
    </row>
    <row r="48" spans="1:17">
      <c r="A48" t="s">
        <v>98</v>
      </c>
      <c r="B48" t="s">
        <v>34</v>
      </c>
      <c r="C48" t="s">
        <v>35</v>
      </c>
      <c r="D48" t="s">
        <v>20</v>
      </c>
      <c r="E48" t="s">
        <v>30</v>
      </c>
      <c r="F48" t="s">
        <v>22</v>
      </c>
      <c r="G48">
        <f>VALUE(IF(AND(ISERR(FIND(".",'Raw Data'!G48)),LEN('Raw Data'!G48)=5), IF(YEAR('Raw Data'!G48)=2026,CONCATENATE(DAY('Raw Data'!G48),".",IF(LEN(MONTH('Raw Data'!G48))=2,MONTH('Raw Data'!G48),CONCATENATE("0",MONTH('Raw Data'!G48)))),CONCATENATE(MONTH('Raw Data'!G48),".",RIGHT(YEAR('Raw Data'!G48),2))),'Raw Data'!G48))</f>
        <v>56.69</v>
      </c>
      <c r="H48">
        <f>'Raw Data'!H48</f>
        <v>9</v>
      </c>
      <c r="I48" s="6">
        <f t="shared" si="0"/>
        <v>25.510500000000036</v>
      </c>
      <c r="J48" s="6">
        <f>'Raw Data'!J48</f>
        <v>535.72050000000002</v>
      </c>
      <c r="K48" s="1">
        <f>VALUE(IFERROR(VALUE('Raw Data'!K48),CONCATENATE(MID('Raw Data'!K48,3,2),".","0",LEFT('Raw Data'!K48,1),".", RIGHT('Raw Data'!K48,4))))</f>
        <v>43523</v>
      </c>
      <c r="L48" s="2">
        <f>'Raw Data'!L48</f>
        <v>0.72499999999999998</v>
      </c>
      <c r="M48" t="s">
        <v>33</v>
      </c>
      <c r="N48">
        <f>VALUE(IF(AND(ISERR(FIND(".",'Raw Data'!N48)),LEN('Raw Data'!N48)=5), IF(YEAR('Raw Data'!N48)=2026,CONCATENATE(DAY('Raw Data'!N48),".",IF(LEN(MONTH('Raw Data'!N48))=2,MONTH('Raw Data'!N48),CONCATENATE("0",MONTH('Raw Data'!N48)))),CONCATENATE(MONTH('Raw Data'!N48),".",RIGHT(YEAR('Raw Data'!N48),2))),'Raw Data'!N48))</f>
        <v>510.21</v>
      </c>
      <c r="O48" s="6">
        <f t="shared" si="1"/>
        <v>4.761904761904769</v>
      </c>
      <c r="P48" s="6">
        <f t="shared" si="2"/>
        <v>25.510500000000036</v>
      </c>
      <c r="Q48">
        <f>VALUE(IF(AND(ISERR(FIND(".",'Raw Data'!Q48)),LEN('Raw Data'!Q48)=5), IF(YEAR('Raw Data'!Q48)=2026,CONCATENATE(DAY('Raw Data'!Q48),".",IF(LEN(MONTH('Raw Data'!Q48))=2,MONTH('Raw Data'!Q48),CONCATENATE(MONTH('Raw Data'!Q48)))),CONCATENATE(MONTH('Raw Data'!Q48),".",RIGHT(YEAR('Raw Data'!Q48),2))),'Raw Data'!Q48))</f>
        <v>8.4</v>
      </c>
    </row>
    <row r="49" spans="1:17">
      <c r="A49" t="s">
        <v>100</v>
      </c>
      <c r="B49" t="s">
        <v>34</v>
      </c>
      <c r="C49" t="s">
        <v>35</v>
      </c>
      <c r="D49" t="s">
        <v>20</v>
      </c>
      <c r="E49" t="s">
        <v>21</v>
      </c>
      <c r="F49" t="s">
        <v>40</v>
      </c>
      <c r="G49">
        <f>VALUE(IF(AND(ISERR(FIND(".",'Raw Data'!G49)),LEN('Raw Data'!G49)=5), IF(YEAR('Raw Data'!G49)=2026,CONCATENATE(DAY('Raw Data'!G49),".",IF(LEN(MONTH('Raw Data'!G49))=2,MONTH('Raw Data'!G49),CONCATENATE("0",MONTH('Raw Data'!G49)))),CONCATENATE(MONTH('Raw Data'!G49),".",RIGHT(YEAR('Raw Data'!G49),2))),'Raw Data'!G49))</f>
        <v>20.010000000000002</v>
      </c>
      <c r="H49">
        <f>'Raw Data'!H49</f>
        <v>9</v>
      </c>
      <c r="I49" s="6">
        <f t="shared" si="0"/>
        <v>9.0045000000000073</v>
      </c>
      <c r="J49" s="6">
        <f>'Raw Data'!J49</f>
        <v>189.09450000000001</v>
      </c>
      <c r="K49" s="1">
        <f>VALUE(IFERROR(VALUE('Raw Data'!K49),CONCATENATE(MID('Raw Data'!K49,3,2),".","0",LEFT('Raw Data'!K49,1),".", RIGHT('Raw Data'!K49,4))))</f>
        <v>43618</v>
      </c>
      <c r="L49" s="2">
        <f>'Raw Data'!L49</f>
        <v>0.65763888888888888</v>
      </c>
      <c r="M49" t="s">
        <v>23</v>
      </c>
      <c r="N49">
        <f>VALUE(IF(AND(ISERR(FIND(".",'Raw Data'!N49)),LEN('Raw Data'!N49)=5), IF(YEAR('Raw Data'!N49)=2026,CONCATENATE(DAY('Raw Data'!N49),".",IF(LEN(MONTH('Raw Data'!N49))=2,MONTH('Raw Data'!N49),CONCATENATE("0",MONTH('Raw Data'!N49)))),CONCATENATE(MONTH('Raw Data'!N49),".",RIGHT(YEAR('Raw Data'!N49),2))),'Raw Data'!N49))</f>
        <v>180.09</v>
      </c>
      <c r="O49" s="6">
        <f t="shared" si="1"/>
        <v>4.7619047619047654</v>
      </c>
      <c r="P49" s="6">
        <f t="shared" si="2"/>
        <v>9.0045000000000073</v>
      </c>
      <c r="Q49">
        <f>VALUE(IF(AND(ISERR(FIND(".",'Raw Data'!Q49)),LEN('Raw Data'!Q49)=5), IF(YEAR('Raw Data'!Q49)=2026,CONCATENATE(DAY('Raw Data'!Q49),".",IF(LEN(MONTH('Raw Data'!Q49))=2,MONTH('Raw Data'!Q49),CONCATENATE(MONTH('Raw Data'!Q49)))),CONCATENATE(MONTH('Raw Data'!Q49),".",RIGHT(YEAR('Raw Data'!Q49),2))),'Raw Data'!Q49))</f>
        <v>4.0999999999999996</v>
      </c>
    </row>
    <row r="50" spans="1:17">
      <c r="A50" t="s">
        <v>101</v>
      </c>
      <c r="B50" t="s">
        <v>34</v>
      </c>
      <c r="C50" t="s">
        <v>35</v>
      </c>
      <c r="D50" t="s">
        <v>20</v>
      </c>
      <c r="E50" t="s">
        <v>30</v>
      </c>
      <c r="F50" t="s">
        <v>28</v>
      </c>
      <c r="G50">
        <f>VALUE(IF(AND(ISERR(FIND(".",'Raw Data'!G50)),LEN('Raw Data'!G50)=5), IF(YEAR('Raw Data'!G50)=2026,CONCATENATE(DAY('Raw Data'!G50),".",IF(LEN(MONTH('Raw Data'!G50))=2,MONTH('Raw Data'!G50),CONCATENATE("0",MONTH('Raw Data'!G50)))),CONCATENATE(MONTH('Raw Data'!G50),".",RIGHT(YEAR('Raw Data'!G50),2))),'Raw Data'!G50))</f>
        <v>18.93</v>
      </c>
      <c r="H50">
        <f>'Raw Data'!H50</f>
        <v>6</v>
      </c>
      <c r="I50" s="6">
        <f t="shared" si="0"/>
        <v>5.679000000000002</v>
      </c>
      <c r="J50" s="6">
        <f>'Raw Data'!J50</f>
        <v>119.259</v>
      </c>
      <c r="K50" s="1">
        <f>VALUE(IFERROR(VALUE('Raw Data'!K50),CONCATENATE(MID('Raw Data'!K50,3,2),".","0",LEFT('Raw Data'!K50,1),".", RIGHT('Raw Data'!K50,4))))</f>
        <v>43740</v>
      </c>
      <c r="L50" s="2">
        <f>'Raw Data'!L50</f>
        <v>0.53125</v>
      </c>
      <c r="M50" t="s">
        <v>33</v>
      </c>
      <c r="N50">
        <f>VALUE(IF(AND(ISERR(FIND(".",'Raw Data'!N50)),LEN('Raw Data'!N50)=5), IF(YEAR('Raw Data'!N50)=2026,CONCATENATE(DAY('Raw Data'!N50),".",IF(LEN(MONTH('Raw Data'!N50))=2,MONTH('Raw Data'!N50),CONCATENATE("0",MONTH('Raw Data'!N50)))),CONCATENATE(MONTH('Raw Data'!N50),".",RIGHT(YEAR('Raw Data'!N50),2))),'Raw Data'!N50))</f>
        <v>113.58</v>
      </c>
      <c r="O50" s="6">
        <f t="shared" si="1"/>
        <v>4.7619047619047636</v>
      </c>
      <c r="P50" s="6">
        <f t="shared" si="2"/>
        <v>5.679000000000002</v>
      </c>
      <c r="Q50">
        <f>VALUE(IF(AND(ISERR(FIND(".",'Raw Data'!Q50)),LEN('Raw Data'!Q50)=5), IF(YEAR('Raw Data'!Q50)=2026,CONCATENATE(DAY('Raw Data'!Q50),".",IF(LEN(MONTH('Raw Data'!Q50))=2,MONTH('Raw Data'!Q50),CONCATENATE(MONTH('Raw Data'!Q50)))),CONCATENATE(MONTH('Raw Data'!Q50),".",RIGHT(YEAR('Raw Data'!Q50),2))),'Raw Data'!Q50))</f>
        <v>8.1</v>
      </c>
    </row>
    <row r="51" spans="1:17">
      <c r="A51" t="s">
        <v>102</v>
      </c>
      <c r="B51" t="s">
        <v>25</v>
      </c>
      <c r="C51" t="s">
        <v>26</v>
      </c>
      <c r="D51" t="s">
        <v>20</v>
      </c>
      <c r="E51" t="s">
        <v>21</v>
      </c>
      <c r="F51" t="s">
        <v>43</v>
      </c>
      <c r="G51">
        <f>VALUE(IF(AND(ISERR(FIND(".",'Raw Data'!G51)),LEN('Raw Data'!G51)=5), IF(YEAR('Raw Data'!G51)=2026,CONCATENATE(DAY('Raw Data'!G51),".",IF(LEN(MONTH('Raw Data'!G51))=2,MONTH('Raw Data'!G51),CONCATENATE("0",MONTH('Raw Data'!G51)))),CONCATENATE(MONTH('Raw Data'!G51),".",RIGHT(YEAR('Raw Data'!G51),2))),'Raw Data'!G51))</f>
        <v>82.63</v>
      </c>
      <c r="H51">
        <f>'Raw Data'!H51</f>
        <v>10</v>
      </c>
      <c r="I51" s="6">
        <f t="shared" si="0"/>
        <v>41.315000000000055</v>
      </c>
      <c r="J51" s="6">
        <f>'Raw Data'!J51</f>
        <v>867.61500000000001</v>
      </c>
      <c r="K51" s="1">
        <f>VALUE(IFERROR(VALUE('Raw Data'!K51),CONCATENATE(MID('Raw Data'!K51,3,2),".","0",LEFT('Raw Data'!K51,1),".", RIGHT('Raw Data'!K51,4))))</f>
        <v>43543</v>
      </c>
      <c r="L51" s="2">
        <f>'Raw Data'!L51</f>
        <v>0.71388888888888891</v>
      </c>
      <c r="M51" t="s">
        <v>23</v>
      </c>
      <c r="N51">
        <f>VALUE(IF(AND(ISERR(FIND(".",'Raw Data'!N51)),LEN('Raw Data'!N51)=5), IF(YEAR('Raw Data'!N51)=2026,CONCATENATE(DAY('Raw Data'!N51),".",IF(LEN(MONTH('Raw Data'!N51))=2,MONTH('Raw Data'!N51),CONCATENATE("0",MONTH('Raw Data'!N51)))),CONCATENATE(MONTH('Raw Data'!N51),".",RIGHT(YEAR('Raw Data'!N51),2))),'Raw Data'!N51))</f>
        <v>826.3</v>
      </c>
      <c r="O51" s="6">
        <f t="shared" si="1"/>
        <v>4.7619047619047681</v>
      </c>
      <c r="P51" s="6">
        <f t="shared" si="2"/>
        <v>41.315000000000055</v>
      </c>
      <c r="Q51">
        <f>VALUE(IF(AND(ISERR(FIND(".",'Raw Data'!Q51)),LEN('Raw Data'!Q51)=5), IF(YEAR('Raw Data'!Q51)=2026,CONCATENATE(DAY('Raw Data'!Q51),".",IF(LEN(MONTH('Raw Data'!Q51))=2,MONTH('Raw Data'!Q51),CONCATENATE(MONTH('Raw Data'!Q51)))),CONCATENATE(MONTH('Raw Data'!Q51),".",RIGHT(YEAR('Raw Data'!Q51),2))),'Raw Data'!Q51))</f>
        <v>7.9</v>
      </c>
    </row>
    <row r="52" spans="1:17">
      <c r="A52" t="s">
        <v>104</v>
      </c>
      <c r="B52" t="s">
        <v>25</v>
      </c>
      <c r="C52" t="s">
        <v>26</v>
      </c>
      <c r="D52" t="s">
        <v>20</v>
      </c>
      <c r="E52" t="s">
        <v>30</v>
      </c>
      <c r="F52" t="s">
        <v>40</v>
      </c>
      <c r="G52">
        <f>VALUE(IF(AND(ISERR(FIND(".",'Raw Data'!G52)),LEN('Raw Data'!G52)=5), IF(YEAR('Raw Data'!G52)=2026,CONCATENATE(DAY('Raw Data'!G52),".",IF(LEN(MONTH('Raw Data'!G52))=2,MONTH('Raw Data'!G52),CONCATENATE("0",MONTH('Raw Data'!G52)))),CONCATENATE(MONTH('Raw Data'!G52),".",RIGHT(YEAR('Raw Data'!G52),2))),'Raw Data'!G52))</f>
        <v>91.4</v>
      </c>
      <c r="H52">
        <f>'Raw Data'!H52</f>
        <v>7</v>
      </c>
      <c r="I52" s="6">
        <f t="shared" si="0"/>
        <v>31.989999999999895</v>
      </c>
      <c r="J52" s="6">
        <f>'Raw Data'!J52</f>
        <v>671.79</v>
      </c>
      <c r="K52" s="1">
        <f>VALUE(IFERROR(VALUE('Raw Data'!K52),CONCATENATE(MID('Raw Data'!K52,3,2),".","0",LEFT('Raw Data'!K52,1),".", RIGHT('Raw Data'!K52,4))))</f>
        <v>43526</v>
      </c>
      <c r="L52" s="2">
        <f>'Raw Data'!L52</f>
        <v>0.42986111111111108</v>
      </c>
      <c r="M52" t="s">
        <v>29</v>
      </c>
      <c r="N52">
        <f>VALUE(IF(AND(ISERR(FIND(".",'Raw Data'!N52)),LEN('Raw Data'!N52)=5), IF(YEAR('Raw Data'!N52)=2026,CONCATENATE(DAY('Raw Data'!N52),".",IF(LEN(MONTH('Raw Data'!N52))=2,MONTH('Raw Data'!N52),CONCATENATE("0",MONTH('Raw Data'!N52)))),CONCATENATE(MONTH('Raw Data'!N52),".",RIGHT(YEAR('Raw Data'!N52),2))),'Raw Data'!N52))</f>
        <v>639.79999999999995</v>
      </c>
      <c r="O52" s="6">
        <f t="shared" si="1"/>
        <v>4.7619047619047636</v>
      </c>
      <c r="P52" s="6">
        <f t="shared" si="2"/>
        <v>31.990000000000009</v>
      </c>
      <c r="Q52">
        <f>VALUE(IF(AND(ISERR(FIND(".",'Raw Data'!Q52)),LEN('Raw Data'!Q52)=5), IF(YEAR('Raw Data'!Q52)=2026,CONCATENATE(DAY('Raw Data'!Q52),".",IF(LEN(MONTH('Raw Data'!Q52))=2,MONTH('Raw Data'!Q52),CONCATENATE(MONTH('Raw Data'!Q52)))),CONCATENATE(MONTH('Raw Data'!Q52),".",RIGHT(YEAR('Raw Data'!Q52),2))),'Raw Data'!Q52))</f>
        <v>9.5</v>
      </c>
    </row>
    <row r="53" spans="1:17">
      <c r="A53" t="s">
        <v>105</v>
      </c>
      <c r="B53" t="s">
        <v>18</v>
      </c>
      <c r="C53" t="s">
        <v>19</v>
      </c>
      <c r="D53" t="s">
        <v>20</v>
      </c>
      <c r="E53" t="s">
        <v>21</v>
      </c>
      <c r="F53" t="s">
        <v>40</v>
      </c>
      <c r="G53">
        <f>VALUE(IF(AND(ISERR(FIND(".",'Raw Data'!G53)),LEN('Raw Data'!G53)=5), IF(YEAR('Raw Data'!G53)=2026,CONCATENATE(DAY('Raw Data'!G53),".",IF(LEN(MONTH('Raw Data'!G53))=2,MONTH('Raw Data'!G53),CONCATENATE("0",MONTH('Raw Data'!G53)))),CONCATENATE(MONTH('Raw Data'!G53),".",RIGHT(YEAR('Raw Data'!G53),2))),'Raw Data'!G53))</f>
        <v>44.59</v>
      </c>
      <c r="H53">
        <f>'Raw Data'!H53</f>
        <v>5</v>
      </c>
      <c r="I53" s="6">
        <f t="shared" si="0"/>
        <v>11.14749999999998</v>
      </c>
      <c r="J53" s="6">
        <f>'Raw Data'!J53</f>
        <v>234.0975</v>
      </c>
      <c r="K53" s="1">
        <f>VALUE(IFERROR(VALUE('Raw Data'!K53),CONCATENATE(MID('Raw Data'!K53,3,2),".","0",LEFT('Raw Data'!K53,1),".", RIGHT('Raw Data'!K53,4))))</f>
        <v>43740</v>
      </c>
      <c r="L53" s="2">
        <f>'Raw Data'!L53</f>
        <v>0.63194444444444442</v>
      </c>
      <c r="M53" t="s">
        <v>29</v>
      </c>
      <c r="N53">
        <f>VALUE(IF(AND(ISERR(FIND(".",'Raw Data'!N53)),LEN('Raw Data'!N53)=5), IF(YEAR('Raw Data'!N53)=2026,CONCATENATE(DAY('Raw Data'!N53),".",IF(LEN(MONTH('Raw Data'!N53))=2,MONTH('Raw Data'!N53),CONCATENATE("0",MONTH('Raw Data'!N53)))),CONCATENATE(MONTH('Raw Data'!N53),".",RIGHT(YEAR('Raw Data'!N53),2))),'Raw Data'!N53))</f>
        <v>222.95</v>
      </c>
      <c r="O53" s="6">
        <f t="shared" si="1"/>
        <v>4.7619047619047654</v>
      </c>
      <c r="P53" s="6">
        <f t="shared" si="2"/>
        <v>11.147500000000008</v>
      </c>
      <c r="Q53">
        <f>VALUE(IF(AND(ISERR(FIND(".",'Raw Data'!Q53)),LEN('Raw Data'!Q53)=5), IF(YEAR('Raw Data'!Q53)=2026,CONCATENATE(DAY('Raw Data'!Q53),".",IF(LEN(MONTH('Raw Data'!Q53))=2,MONTH('Raw Data'!Q53),CONCATENATE(MONTH('Raw Data'!Q53)))),CONCATENATE(MONTH('Raw Data'!Q53),".",RIGHT(YEAR('Raw Data'!Q53),2))),'Raw Data'!Q53))</f>
        <v>8.5</v>
      </c>
    </row>
    <row r="54" spans="1:17">
      <c r="A54" t="s">
        <v>106</v>
      </c>
      <c r="B54" t="s">
        <v>34</v>
      </c>
      <c r="C54" t="s">
        <v>35</v>
      </c>
      <c r="D54" t="s">
        <v>20</v>
      </c>
      <c r="E54" t="s">
        <v>21</v>
      </c>
      <c r="F54" t="s">
        <v>43</v>
      </c>
      <c r="G54">
        <f>VALUE(IF(AND(ISERR(FIND(".",'Raw Data'!G54)),LEN('Raw Data'!G54)=5), IF(YEAR('Raw Data'!G54)=2026,CONCATENATE(DAY('Raw Data'!G54),".",IF(LEN(MONTH('Raw Data'!G54))=2,MONTH('Raw Data'!G54),CONCATENATE("0",MONTH('Raw Data'!G54)))),CONCATENATE(MONTH('Raw Data'!G54),".",RIGHT(YEAR('Raw Data'!G54),2))),'Raw Data'!G54))</f>
        <v>17.87</v>
      </c>
      <c r="H54">
        <f>'Raw Data'!H54</f>
        <v>4</v>
      </c>
      <c r="I54" s="6">
        <f t="shared" si="0"/>
        <v>3.5739999999999981</v>
      </c>
      <c r="J54" s="6">
        <f>'Raw Data'!J54</f>
        <v>75.054000000000002</v>
      </c>
      <c r="K54" s="1">
        <f>VALUE(IFERROR(VALUE('Raw Data'!K54),CONCATENATE(MID('Raw Data'!K54,3,2),".","0",LEFT('Raw Data'!K54,1),".", RIGHT('Raw Data'!K54,4))))</f>
        <v>43546</v>
      </c>
      <c r="L54" s="2">
        <f>'Raw Data'!L54</f>
        <v>0.61249999999999993</v>
      </c>
      <c r="M54" t="s">
        <v>23</v>
      </c>
      <c r="N54">
        <f>VALUE(IF(AND(ISERR(FIND(".",'Raw Data'!N54)),LEN('Raw Data'!N54)=5), IF(YEAR('Raw Data'!N54)=2026,CONCATENATE(DAY('Raw Data'!N54),".",IF(LEN(MONTH('Raw Data'!N54))=2,MONTH('Raw Data'!N54),CONCATENATE("0",MONTH('Raw Data'!N54)))),CONCATENATE(MONTH('Raw Data'!N54),".",RIGHT(YEAR('Raw Data'!N54),2))),'Raw Data'!N54))</f>
        <v>71.48</v>
      </c>
      <c r="O54" s="6">
        <f t="shared" si="1"/>
        <v>4.7619047619047592</v>
      </c>
      <c r="P54" s="6">
        <f t="shared" si="2"/>
        <v>3.5739999999999981</v>
      </c>
      <c r="Q54">
        <f>VALUE(IF(AND(ISERR(FIND(".",'Raw Data'!Q54)),LEN('Raw Data'!Q54)=5), IF(YEAR('Raw Data'!Q54)=2026,CONCATENATE(DAY('Raw Data'!Q54),".",IF(LEN(MONTH('Raw Data'!Q54))=2,MONTH('Raw Data'!Q54),CONCATENATE(MONTH('Raw Data'!Q54)))),CONCATENATE(MONTH('Raw Data'!Q54),".",RIGHT(YEAR('Raw Data'!Q54),2))),'Raw Data'!Q54))</f>
        <v>6.5</v>
      </c>
    </row>
    <row r="55" spans="1:17">
      <c r="A55" t="s">
        <v>107</v>
      </c>
      <c r="B55" t="s">
        <v>25</v>
      </c>
      <c r="C55" t="s">
        <v>26</v>
      </c>
      <c r="D55" t="s">
        <v>20</v>
      </c>
      <c r="E55" t="s">
        <v>30</v>
      </c>
      <c r="F55" t="s">
        <v>43</v>
      </c>
      <c r="G55">
        <f>VALUE(IF(AND(ISERR(FIND(".",'Raw Data'!G55)),LEN('Raw Data'!G55)=5), IF(YEAR('Raw Data'!G55)=2026,CONCATENATE(DAY('Raw Data'!G55),".",IF(LEN(MONTH('Raw Data'!G55))=2,MONTH('Raw Data'!G55),CONCATENATE("0",MONTH('Raw Data'!G55)))),CONCATENATE(MONTH('Raw Data'!G55),".",RIGHT(YEAR('Raw Data'!G55),2))),'Raw Data'!G55))</f>
        <v>15.43</v>
      </c>
      <c r="H55">
        <f>'Raw Data'!H55</f>
        <v>1</v>
      </c>
      <c r="I55" s="6">
        <f t="shared" si="0"/>
        <v>0.77149999999999963</v>
      </c>
      <c r="J55" s="6">
        <f>'Raw Data'!J55</f>
        <v>16.201499999999999</v>
      </c>
      <c r="K55" s="1">
        <f>VALUE(IFERROR(VALUE('Raw Data'!K55),CONCATENATE(MID('Raw Data'!K55,3,2),".","0",LEFT('Raw Data'!K55,1),".", RIGHT('Raw Data'!K55,4))))</f>
        <v>43490</v>
      </c>
      <c r="L55" s="2">
        <f>'Raw Data'!L55</f>
        <v>0.65694444444444444</v>
      </c>
      <c r="M55" t="s">
        <v>33</v>
      </c>
      <c r="N55">
        <f>VALUE(IF(AND(ISERR(FIND(".",'Raw Data'!N55)),LEN('Raw Data'!N55)=5), IF(YEAR('Raw Data'!N55)=2026,CONCATENATE(DAY('Raw Data'!N55),".",IF(LEN(MONTH('Raw Data'!N55))=2,MONTH('Raw Data'!N55),CONCATENATE("0",MONTH('Raw Data'!N55)))),CONCATENATE(MONTH('Raw Data'!N55),".",RIGHT(YEAR('Raw Data'!N55),2))),'Raw Data'!N55))</f>
        <v>15.43</v>
      </c>
      <c r="O55" s="6">
        <f t="shared" si="1"/>
        <v>4.7619047619047592</v>
      </c>
      <c r="P55" s="6">
        <f t="shared" si="2"/>
        <v>0.77149999999999963</v>
      </c>
      <c r="Q55">
        <f>VALUE(IF(AND(ISERR(FIND(".",'Raw Data'!Q55)),LEN('Raw Data'!Q55)=5), IF(YEAR('Raw Data'!Q55)=2026,CONCATENATE(DAY('Raw Data'!Q55),".",IF(LEN(MONTH('Raw Data'!Q55))=2,MONTH('Raw Data'!Q55),CONCATENATE(MONTH('Raw Data'!Q55)))),CONCATENATE(MONTH('Raw Data'!Q55),".",RIGHT(YEAR('Raw Data'!Q55),2))),'Raw Data'!Q55))</f>
        <v>6.1</v>
      </c>
    </row>
    <row r="56" spans="1:17">
      <c r="A56" t="s">
        <v>108</v>
      </c>
      <c r="B56" t="s">
        <v>34</v>
      </c>
      <c r="C56" t="s">
        <v>35</v>
      </c>
      <c r="D56" t="s">
        <v>27</v>
      </c>
      <c r="E56" t="s">
        <v>30</v>
      </c>
      <c r="F56" t="s">
        <v>32</v>
      </c>
      <c r="G56">
        <f>VALUE(IF(AND(ISERR(FIND(".",'Raw Data'!G56)),LEN('Raw Data'!G56)=5), IF(YEAR('Raw Data'!G56)=2026,CONCATENATE(DAY('Raw Data'!G56),".",IF(LEN(MONTH('Raw Data'!G56))=2,MONTH('Raw Data'!G56),CONCATENATE("0",MONTH('Raw Data'!G56)))),CONCATENATE(MONTH('Raw Data'!G56),".",RIGHT(YEAR('Raw Data'!G56),2))),'Raw Data'!G56))</f>
        <v>16.16</v>
      </c>
      <c r="H56">
        <f>'Raw Data'!H56</f>
        <v>2</v>
      </c>
      <c r="I56" s="6">
        <f t="shared" si="0"/>
        <v>1.6159999999999997</v>
      </c>
      <c r="J56" s="6">
        <f>'Raw Data'!J56</f>
        <v>33.936</v>
      </c>
      <c r="K56" s="1">
        <f>VALUE(IFERROR(VALUE('Raw Data'!K56),CONCATENATE(MID('Raw Data'!K56,3,2),".","0",LEFT('Raw Data'!K56,1),".", RIGHT('Raw Data'!K56,4))))</f>
        <v>43649</v>
      </c>
      <c r="L56" s="2">
        <f>'Raw Data'!L56</f>
        <v>0.49236111111111108</v>
      </c>
      <c r="M56" t="s">
        <v>23</v>
      </c>
      <c r="N56">
        <f>VALUE(IF(AND(ISERR(FIND(".",'Raw Data'!N56)),LEN('Raw Data'!N56)=5), IF(YEAR('Raw Data'!N56)=2026,CONCATENATE(DAY('Raw Data'!N56),".",IF(LEN(MONTH('Raw Data'!N56))=2,MONTH('Raw Data'!N56),CONCATENATE("0",MONTH('Raw Data'!N56)))),CONCATENATE(MONTH('Raw Data'!N56),".",RIGHT(YEAR('Raw Data'!N56),2))),'Raw Data'!N56))</f>
        <v>32.32</v>
      </c>
      <c r="O56" s="6">
        <f t="shared" si="1"/>
        <v>4.761904761904761</v>
      </c>
      <c r="P56" s="6">
        <f t="shared" si="2"/>
        <v>1.6159999999999997</v>
      </c>
      <c r="Q56">
        <f>VALUE(IF(AND(ISERR(FIND(".",'Raw Data'!Q56)),LEN('Raw Data'!Q56)=5), IF(YEAR('Raw Data'!Q56)=2026,CONCATENATE(DAY('Raw Data'!Q56),".",IF(LEN(MONTH('Raw Data'!Q56))=2,MONTH('Raw Data'!Q56),CONCATENATE(MONTH('Raw Data'!Q56)))),CONCATENATE(MONTH('Raw Data'!Q56),".",RIGHT(YEAR('Raw Data'!Q56),2))),'Raw Data'!Q56))</f>
        <v>6.5</v>
      </c>
    </row>
    <row r="57" spans="1:17">
      <c r="A57" t="s">
        <v>109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f>VALUE(IF(AND(ISERR(FIND(".",'Raw Data'!G57)),LEN('Raw Data'!G57)=5), IF(YEAR('Raw Data'!G57)=2026,CONCATENATE(DAY('Raw Data'!G57),".",IF(LEN(MONTH('Raw Data'!G57))=2,MONTH('Raw Data'!G57),CONCATENATE("0",MONTH('Raw Data'!G57)))),CONCATENATE(MONTH('Raw Data'!G57),".",RIGHT(YEAR('Raw Data'!G57),2))),'Raw Data'!G57))</f>
        <v>85.98</v>
      </c>
      <c r="H57">
        <f>'Raw Data'!H57</f>
        <v>8</v>
      </c>
      <c r="I57" s="6">
        <f t="shared" si="0"/>
        <v>34.391999999999939</v>
      </c>
      <c r="J57" s="6">
        <f>'Raw Data'!J57</f>
        <v>722.23199999999997</v>
      </c>
      <c r="K57" s="1">
        <f>VALUE(IFERROR(VALUE('Raw Data'!K57),CONCATENATE(MID('Raw Data'!K57,3,2),".","0",LEFT('Raw Data'!K57,1),".", RIGHT('Raw Data'!K57,4))))</f>
        <v>43524</v>
      </c>
      <c r="L57" s="2">
        <f>'Raw Data'!L57</f>
        <v>0.79236111111111107</v>
      </c>
      <c r="M57" t="s">
        <v>29</v>
      </c>
      <c r="N57">
        <f>VALUE(IF(AND(ISERR(FIND(".",'Raw Data'!N57)),LEN('Raw Data'!N57)=5), IF(YEAR('Raw Data'!N57)=2026,CONCATENATE(DAY('Raw Data'!N57),".",IF(LEN(MONTH('Raw Data'!N57))=2,MONTH('Raw Data'!N57),CONCATENATE("0",MONTH('Raw Data'!N57)))),CONCATENATE(MONTH('Raw Data'!N57),".",RIGHT(YEAR('Raw Data'!N57),2))),'Raw Data'!N57))</f>
        <v>687.84</v>
      </c>
      <c r="O57" s="6">
        <f t="shared" si="1"/>
        <v>4.761904761904753</v>
      </c>
      <c r="P57" s="6">
        <f t="shared" si="2"/>
        <v>34.391999999999939</v>
      </c>
      <c r="Q57">
        <f>VALUE(IF(AND(ISERR(FIND(".",'Raw Data'!Q57)),LEN('Raw Data'!Q57)=5), IF(YEAR('Raw Data'!Q57)=2026,CONCATENATE(DAY('Raw Data'!Q57),".",IF(LEN(MONTH('Raw Data'!Q57))=2,MONTH('Raw Data'!Q57),CONCATENATE(MONTH('Raw Data'!Q57)))),CONCATENATE(MONTH('Raw Data'!Q57),".",RIGHT(YEAR('Raw Data'!Q57),2))),'Raw Data'!Q57))</f>
        <v>8.1999999999999993</v>
      </c>
    </row>
    <row r="58" spans="1:17">
      <c r="A58" t="s">
        <v>111</v>
      </c>
      <c r="B58" t="s">
        <v>18</v>
      </c>
      <c r="C58" t="s">
        <v>19</v>
      </c>
      <c r="D58" t="s">
        <v>20</v>
      </c>
      <c r="E58" t="s">
        <v>30</v>
      </c>
      <c r="F58" t="s">
        <v>32</v>
      </c>
      <c r="G58">
        <f>VALUE(IF(AND(ISERR(FIND(".",'Raw Data'!G58)),LEN('Raw Data'!G58)=5), IF(YEAR('Raw Data'!G58)=2026,CONCATENATE(DAY('Raw Data'!G58),".",IF(LEN(MONTH('Raw Data'!G58))=2,MONTH('Raw Data'!G58),CONCATENATE("0",MONTH('Raw Data'!G58)))),CONCATENATE(MONTH('Raw Data'!G58),".",RIGHT(YEAR('Raw Data'!G58),2))),'Raw Data'!G58))</f>
        <v>44.34</v>
      </c>
      <c r="H58">
        <f>'Raw Data'!H58</f>
        <v>2</v>
      </c>
      <c r="I58" s="6">
        <f t="shared" si="0"/>
        <v>4.4339999999999975</v>
      </c>
      <c r="J58" s="6">
        <f>'Raw Data'!J58</f>
        <v>93.114000000000004</v>
      </c>
      <c r="K58" s="1">
        <f>VALUE(IFERROR(VALUE('Raw Data'!K58),CONCATENATE(MID('Raw Data'!K58,3,2),".","0",LEFT('Raw Data'!K58,1),".", RIGHT('Raw Data'!K58,4))))</f>
        <v>43551</v>
      </c>
      <c r="L58" s="2">
        <f>'Raw Data'!L58</f>
        <v>0.47638888888888892</v>
      </c>
      <c r="M58" t="s">
        <v>29</v>
      </c>
      <c r="N58">
        <f>VALUE(IF(AND(ISERR(FIND(".",'Raw Data'!N58)),LEN('Raw Data'!N58)=5), IF(YEAR('Raw Data'!N58)=2026,CONCATENATE(DAY('Raw Data'!N58),".",IF(LEN(MONTH('Raw Data'!N58))=2,MONTH('Raw Data'!N58),CONCATENATE("0",MONTH('Raw Data'!N58)))),CONCATENATE(MONTH('Raw Data'!N58),".",RIGHT(YEAR('Raw Data'!N58),2))),'Raw Data'!N58))</f>
        <v>88.68</v>
      </c>
      <c r="O58" s="6">
        <f t="shared" si="1"/>
        <v>4.7619047619047592</v>
      </c>
      <c r="P58" s="6">
        <f t="shared" si="2"/>
        <v>4.4339999999999975</v>
      </c>
      <c r="Q58">
        <f>VALUE(IF(AND(ISERR(FIND(".",'Raw Data'!Q58)),LEN('Raw Data'!Q58)=5), IF(YEAR('Raw Data'!Q58)=2026,CONCATENATE(DAY('Raw Data'!Q58),".",IF(LEN(MONTH('Raw Data'!Q58))=2,MONTH('Raw Data'!Q58),CONCATENATE(MONTH('Raw Data'!Q58)))),CONCATENATE(MONTH('Raw Data'!Q58),".",RIGHT(YEAR('Raw Data'!Q58),2))),'Raw Data'!Q58))</f>
        <v>5.8</v>
      </c>
    </row>
    <row r="59" spans="1:17">
      <c r="A59" t="s">
        <v>113</v>
      </c>
      <c r="B59" t="s">
        <v>18</v>
      </c>
      <c r="C59" t="s">
        <v>19</v>
      </c>
      <c r="D59" t="s">
        <v>27</v>
      </c>
      <c r="E59" t="s">
        <v>30</v>
      </c>
      <c r="F59" t="s">
        <v>22</v>
      </c>
      <c r="G59">
        <f>VALUE(IF(AND(ISERR(FIND(".",'Raw Data'!G59)),LEN('Raw Data'!G59)=5), IF(YEAR('Raw Data'!G59)=2026,CONCATENATE(DAY('Raw Data'!G59),".",IF(LEN(MONTH('Raw Data'!G59))=2,MONTH('Raw Data'!G59),CONCATENATE("0",MONTH('Raw Data'!G59)))),CONCATENATE(MONTH('Raw Data'!G59),".",RIGHT(YEAR('Raw Data'!G59),2))),'Raw Data'!G59))</f>
        <v>89.6</v>
      </c>
      <c r="H59">
        <f>'Raw Data'!H59</f>
        <v>8</v>
      </c>
      <c r="I59" s="6">
        <f t="shared" si="0"/>
        <v>35.840000000000032</v>
      </c>
      <c r="J59" s="6">
        <f>'Raw Data'!J59</f>
        <v>752.64</v>
      </c>
      <c r="K59" s="1">
        <f>VALUE(IFERROR(VALUE('Raw Data'!K59),CONCATENATE(MID('Raw Data'!K59,3,2),".","0",LEFT('Raw Data'!K59,1),".", RIGHT('Raw Data'!K59,4))))</f>
        <v>43648</v>
      </c>
      <c r="L59" s="2">
        <f>'Raw Data'!L59</f>
        <v>0.4777777777777778</v>
      </c>
      <c r="M59" t="s">
        <v>23</v>
      </c>
      <c r="N59">
        <f>VALUE(IF(AND(ISERR(FIND(".",'Raw Data'!N59)),LEN('Raw Data'!N59)=5), IF(YEAR('Raw Data'!N59)=2026,CONCATENATE(DAY('Raw Data'!N59),".",IF(LEN(MONTH('Raw Data'!N59))=2,MONTH('Raw Data'!N59),CONCATENATE("0",MONTH('Raw Data'!N59)))),CONCATENATE(MONTH('Raw Data'!N59),".",RIGHT(YEAR('Raw Data'!N59),2))),'Raw Data'!N59))</f>
        <v>716.8</v>
      </c>
      <c r="O59" s="6">
        <f t="shared" si="1"/>
        <v>4.7619047619047663</v>
      </c>
      <c r="P59" s="6">
        <f t="shared" si="2"/>
        <v>35.840000000000032</v>
      </c>
      <c r="Q59">
        <f>VALUE(IF(AND(ISERR(FIND(".",'Raw Data'!Q59)),LEN('Raw Data'!Q59)=5), IF(YEAR('Raw Data'!Q59)=2026,CONCATENATE(DAY('Raw Data'!Q59),".",IF(LEN(MONTH('Raw Data'!Q59))=2,MONTH('Raw Data'!Q59),CONCATENATE(MONTH('Raw Data'!Q59)))),CONCATENATE(MONTH('Raw Data'!Q59),".",RIGHT(YEAR('Raw Data'!Q59),2))),'Raw Data'!Q59))</f>
        <v>6.6</v>
      </c>
    </row>
    <row r="60" spans="1:17">
      <c r="A60" t="s">
        <v>114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f>VALUE(IF(AND(ISERR(FIND(".",'Raw Data'!G60)),LEN('Raw Data'!G60)=5), IF(YEAR('Raw Data'!G60)=2026,CONCATENATE(DAY('Raw Data'!G60),".",IF(LEN(MONTH('Raw Data'!G60))=2,MONTH('Raw Data'!G60),CONCATENATE("0",MONTH('Raw Data'!G60)))),CONCATENATE(MONTH('Raw Data'!G60),".",RIGHT(YEAR('Raw Data'!G60),2))),'Raw Data'!G60))</f>
        <v>72.349999999999994</v>
      </c>
      <c r="H60">
        <f>'Raw Data'!H60</f>
        <v>10</v>
      </c>
      <c r="I60" s="6">
        <f t="shared" si="0"/>
        <v>36.174999999999955</v>
      </c>
      <c r="J60" s="6">
        <f>'Raw Data'!J60</f>
        <v>759.67499999999995</v>
      </c>
      <c r="K60" s="1">
        <f>VALUE(IFERROR(VALUE('Raw Data'!K60),CONCATENATE(MID('Raw Data'!K60,3,2),".","0",LEFT('Raw Data'!K60,1),".", RIGHT('Raw Data'!K60,4))))</f>
        <v>43485</v>
      </c>
      <c r="L60" s="2">
        <f>'Raw Data'!L60</f>
        <v>0.66319444444444442</v>
      </c>
      <c r="M60" t="s">
        <v>29</v>
      </c>
      <c r="N60">
        <f>VALUE(IF(AND(ISERR(FIND(".",'Raw Data'!N60)),LEN('Raw Data'!N60)=5), IF(YEAR('Raw Data'!N60)=2026,CONCATENATE(DAY('Raw Data'!N60),".",IF(LEN(MONTH('Raw Data'!N60))=2,MONTH('Raw Data'!N60),CONCATENATE("0",MONTH('Raw Data'!N60)))),CONCATENATE(MONTH('Raw Data'!N60),".",RIGHT(YEAR('Raw Data'!N60),2))),'Raw Data'!N60))</f>
        <v>723.5</v>
      </c>
      <c r="O60" s="6">
        <f t="shared" si="1"/>
        <v>4.7619047619047556</v>
      </c>
      <c r="P60" s="6">
        <f t="shared" si="2"/>
        <v>36.174999999999955</v>
      </c>
      <c r="Q60">
        <f>VALUE(IF(AND(ISERR(FIND(".",'Raw Data'!Q60)),LEN('Raw Data'!Q60)=5), IF(YEAR('Raw Data'!Q60)=2026,CONCATENATE(DAY('Raw Data'!Q60),".",IF(LEN(MONTH('Raw Data'!Q60))=2,MONTH('Raw Data'!Q60),CONCATENATE(MONTH('Raw Data'!Q60)))),CONCATENATE(MONTH('Raw Data'!Q60),".",RIGHT(YEAR('Raw Data'!Q60),2))),'Raw Data'!Q60))</f>
        <v>5.4</v>
      </c>
    </row>
    <row r="61" spans="1:17">
      <c r="A61" t="s">
        <v>116</v>
      </c>
      <c r="B61" t="s">
        <v>25</v>
      </c>
      <c r="C61" t="s">
        <v>26</v>
      </c>
      <c r="D61" t="s">
        <v>27</v>
      </c>
      <c r="E61" t="s">
        <v>30</v>
      </c>
      <c r="F61" t="s">
        <v>28</v>
      </c>
      <c r="G61">
        <f>VALUE(IF(AND(ISERR(FIND(".",'Raw Data'!G61)),LEN('Raw Data'!G61)=5), IF(YEAR('Raw Data'!G61)=2026,CONCATENATE(DAY('Raw Data'!G61),".",IF(LEN(MONTH('Raw Data'!G61))=2,MONTH('Raw Data'!G61),CONCATENATE("0",MONTH('Raw Data'!G61)))),CONCATENATE(MONTH('Raw Data'!G61),".",RIGHT(YEAR('Raw Data'!G61),2))),'Raw Data'!G61))</f>
        <v>30.61</v>
      </c>
      <c r="H61">
        <f>'Raw Data'!H61</f>
        <v>6</v>
      </c>
      <c r="I61" s="6">
        <f t="shared" si="0"/>
        <v>9.1829999999999927</v>
      </c>
      <c r="J61" s="6">
        <f>'Raw Data'!J61</f>
        <v>192.84299999999999</v>
      </c>
      <c r="K61" s="1">
        <f>VALUE(IFERROR(VALUE('Raw Data'!K61),CONCATENATE(MID('Raw Data'!K61,3,2),".","0",LEFT('Raw Data'!K61,1),".", RIGHT('Raw Data'!K61,4))))</f>
        <v>43802</v>
      </c>
      <c r="L61" s="2">
        <f>'Raw Data'!L61</f>
        <v>0.85833333333333339</v>
      </c>
      <c r="M61" t="s">
        <v>29</v>
      </c>
      <c r="N61">
        <f>VALUE(IF(AND(ISERR(FIND(".",'Raw Data'!N61)),LEN('Raw Data'!N61)=5), IF(YEAR('Raw Data'!N61)=2026,CONCATENATE(DAY('Raw Data'!N61),".",IF(LEN(MONTH('Raw Data'!N61))=2,MONTH('Raw Data'!N61),CONCATENATE("0",MONTH('Raw Data'!N61)))),CONCATENATE(MONTH('Raw Data'!N61),".",RIGHT(YEAR('Raw Data'!N61),2))),'Raw Data'!N61))</f>
        <v>183.66</v>
      </c>
      <c r="O61" s="6">
        <f t="shared" si="1"/>
        <v>4.7619047619047583</v>
      </c>
      <c r="P61" s="6">
        <f t="shared" si="2"/>
        <v>9.1829999999999927</v>
      </c>
      <c r="Q61">
        <f>VALUE(IF(AND(ISERR(FIND(".",'Raw Data'!Q61)),LEN('Raw Data'!Q61)=5), IF(YEAR('Raw Data'!Q61)=2026,CONCATENATE(DAY('Raw Data'!Q61),".",IF(LEN(MONTH('Raw Data'!Q61))=2,MONTH('Raw Data'!Q61),CONCATENATE(MONTH('Raw Data'!Q61)))),CONCATENATE(MONTH('Raw Data'!Q61),".",RIGHT(YEAR('Raw Data'!Q61),2))),'Raw Data'!Q61))</f>
        <v>9.3000000000000007</v>
      </c>
    </row>
    <row r="62" spans="1:17">
      <c r="A62" t="s">
        <v>117</v>
      </c>
      <c r="B62" t="s">
        <v>25</v>
      </c>
      <c r="C62" t="s">
        <v>26</v>
      </c>
      <c r="D62" t="s">
        <v>20</v>
      </c>
      <c r="E62" t="s">
        <v>21</v>
      </c>
      <c r="F62" t="s">
        <v>38</v>
      </c>
      <c r="G62">
        <f>VALUE(IF(AND(ISERR(FIND(".",'Raw Data'!G62)),LEN('Raw Data'!G62)=5), IF(YEAR('Raw Data'!G62)=2026,CONCATENATE(DAY('Raw Data'!G62),".",IF(LEN(MONTH('Raw Data'!G62))=2,MONTH('Raw Data'!G62),CONCATENATE("0",MONTH('Raw Data'!G62)))),CONCATENATE(MONTH('Raw Data'!G62),".",RIGHT(YEAR('Raw Data'!G62),2))),'Raw Data'!G62))</f>
        <v>24.74</v>
      </c>
      <c r="H62">
        <f>'Raw Data'!H62</f>
        <v>3</v>
      </c>
      <c r="I62" s="6">
        <f t="shared" si="0"/>
        <v>3.7109999999999985</v>
      </c>
      <c r="J62" s="6">
        <f>'Raw Data'!J62</f>
        <v>77.930999999999997</v>
      </c>
      <c r="K62" s="1">
        <f>VALUE(IFERROR(VALUE('Raw Data'!K62),CONCATENATE(MID('Raw Data'!K62,3,2),".","0",LEFT('Raw Data'!K62,1),".", RIGHT('Raw Data'!K62,4))))</f>
        <v>43511</v>
      </c>
      <c r="L62" s="2">
        <f>'Raw Data'!L62</f>
        <v>0.74097222222222225</v>
      </c>
      <c r="M62" t="s">
        <v>33</v>
      </c>
      <c r="N62">
        <f>VALUE(IF(AND(ISERR(FIND(".",'Raw Data'!N62)),LEN('Raw Data'!N62)=5), IF(YEAR('Raw Data'!N62)=2026,CONCATENATE(DAY('Raw Data'!N62),".",IF(LEN(MONTH('Raw Data'!N62))=2,MONTH('Raw Data'!N62),CONCATENATE("0",MONTH('Raw Data'!N62)))),CONCATENATE(MONTH('Raw Data'!N62),".",RIGHT(YEAR('Raw Data'!N62),2))),'Raw Data'!N62))</f>
        <v>74.22</v>
      </c>
      <c r="O62" s="6">
        <f t="shared" si="1"/>
        <v>4.7619047619047601</v>
      </c>
      <c r="P62" s="6">
        <f t="shared" si="2"/>
        <v>3.7109999999999985</v>
      </c>
      <c r="Q62">
        <f>VALUE(IF(AND(ISERR(FIND(".",'Raw Data'!Q62)),LEN('Raw Data'!Q62)=5), IF(YEAR('Raw Data'!Q62)=2026,CONCATENATE(DAY('Raw Data'!Q62),".",IF(LEN(MONTH('Raw Data'!Q62))=2,MONTH('Raw Data'!Q62),CONCATENATE(MONTH('Raw Data'!Q62)))),CONCATENATE(MONTH('Raw Data'!Q62),".",RIGHT(YEAR('Raw Data'!Q62),2))),'Raw Data'!Q62))</f>
        <v>10</v>
      </c>
    </row>
    <row r="63" spans="1:17">
      <c r="A63" t="s">
        <v>119</v>
      </c>
      <c r="B63" t="s">
        <v>25</v>
      </c>
      <c r="C63" t="s">
        <v>26</v>
      </c>
      <c r="D63" t="s">
        <v>27</v>
      </c>
      <c r="E63" t="s">
        <v>30</v>
      </c>
      <c r="F63" t="s">
        <v>32</v>
      </c>
      <c r="G63">
        <f>VALUE(IF(AND(ISERR(FIND(".",'Raw Data'!G63)),LEN('Raw Data'!G63)=5), IF(YEAR('Raw Data'!G63)=2026,CONCATENATE(DAY('Raw Data'!G63),".",IF(LEN(MONTH('Raw Data'!G63))=2,MONTH('Raw Data'!G63),CONCATENATE("0",MONTH('Raw Data'!G63)))),CONCATENATE(MONTH('Raw Data'!G63),".",RIGHT(YEAR('Raw Data'!G63),2))),'Raw Data'!G63))</f>
        <v>55.73</v>
      </c>
      <c r="H63">
        <f>'Raw Data'!H63</f>
        <v>6</v>
      </c>
      <c r="I63" s="6">
        <f t="shared" si="0"/>
        <v>16.718999999999994</v>
      </c>
      <c r="J63" s="6">
        <f>'Raw Data'!J63</f>
        <v>351.09899999999999</v>
      </c>
      <c r="K63" s="1">
        <f>VALUE(IFERROR(VALUE('Raw Data'!K63),CONCATENATE(MID('Raw Data'!K63,3,2),".","0",LEFT('Raw Data'!K63,1),".", RIGHT('Raw Data'!K63,4))))</f>
        <v>43520</v>
      </c>
      <c r="L63" s="2">
        <f>'Raw Data'!L63</f>
        <v>0.4548611111111111</v>
      </c>
      <c r="M63" t="s">
        <v>23</v>
      </c>
      <c r="N63">
        <f>VALUE(IF(AND(ISERR(FIND(".",'Raw Data'!N63)),LEN('Raw Data'!N63)=5), IF(YEAR('Raw Data'!N63)=2026,CONCATENATE(DAY('Raw Data'!N63),".",IF(LEN(MONTH('Raw Data'!N63))=2,MONTH('Raw Data'!N63),CONCATENATE("0",MONTH('Raw Data'!N63)))),CONCATENATE(MONTH('Raw Data'!N63),".",RIGHT(YEAR('Raw Data'!N63),2))),'Raw Data'!N63))</f>
        <v>334.38</v>
      </c>
      <c r="O63" s="6">
        <f t="shared" si="1"/>
        <v>4.7619047619047601</v>
      </c>
      <c r="P63" s="6">
        <f t="shared" si="2"/>
        <v>16.718999999999994</v>
      </c>
      <c r="Q63">
        <f>VALUE(IF(AND(ISERR(FIND(".",'Raw Data'!Q63)),LEN('Raw Data'!Q63)=5), IF(YEAR('Raw Data'!Q63)=2026,CONCATENATE(DAY('Raw Data'!Q63),".",IF(LEN(MONTH('Raw Data'!Q63))=2,MONTH('Raw Data'!Q63),CONCATENATE(MONTH('Raw Data'!Q63)))),CONCATENATE(MONTH('Raw Data'!Q63),".",RIGHT(YEAR('Raw Data'!Q63),2))),'Raw Data'!Q63))</f>
        <v>7</v>
      </c>
    </row>
    <row r="64" spans="1:17">
      <c r="A64" t="s">
        <v>120</v>
      </c>
      <c r="B64" t="s">
        <v>34</v>
      </c>
      <c r="C64" t="s">
        <v>35</v>
      </c>
      <c r="D64" t="s">
        <v>20</v>
      </c>
      <c r="E64" t="s">
        <v>21</v>
      </c>
      <c r="F64" t="s">
        <v>38</v>
      </c>
      <c r="G64">
        <f>VALUE(IF(AND(ISERR(FIND(".",'Raw Data'!G64)),LEN('Raw Data'!G64)=5), IF(YEAR('Raw Data'!G64)=2026,CONCATENATE(DAY('Raw Data'!G64),".",IF(LEN(MONTH('Raw Data'!G64))=2,MONTH('Raw Data'!G64),CONCATENATE("0",MONTH('Raw Data'!G64)))),CONCATENATE(MONTH('Raw Data'!G64),".",RIGHT(YEAR('Raw Data'!G64),2))),'Raw Data'!G64))</f>
        <v>55.07</v>
      </c>
      <c r="H64">
        <f>'Raw Data'!H64</f>
        <v>9</v>
      </c>
      <c r="I64" s="6">
        <f t="shared" si="0"/>
        <v>24.781500000000051</v>
      </c>
      <c r="J64" s="6">
        <f>'Raw Data'!J64</f>
        <v>520.41150000000005</v>
      </c>
      <c r="K64" s="1">
        <f>VALUE(IFERROR(VALUE('Raw Data'!K64),CONCATENATE(MID('Raw Data'!K64,3,2),".","0",LEFT('Raw Data'!K64,1),".", RIGHT('Raw Data'!K64,4))))</f>
        <v>43526</v>
      </c>
      <c r="L64" s="2">
        <f>'Raw Data'!L64</f>
        <v>0.56944444444444442</v>
      </c>
      <c r="M64" t="s">
        <v>23</v>
      </c>
      <c r="N64">
        <f>VALUE(IF(AND(ISERR(FIND(".",'Raw Data'!N64)),LEN('Raw Data'!N64)=5), IF(YEAR('Raw Data'!N64)=2026,CONCATENATE(DAY('Raw Data'!N64),".",IF(LEN(MONTH('Raw Data'!N64))=2,MONTH('Raw Data'!N64),CONCATENATE("0",MONTH('Raw Data'!N64)))),CONCATENATE(MONTH('Raw Data'!N64),".",RIGHT(YEAR('Raw Data'!N64),2))),'Raw Data'!N64))</f>
        <v>495.63</v>
      </c>
      <c r="O64" s="6">
        <f t="shared" si="1"/>
        <v>4.7619047619047716</v>
      </c>
      <c r="P64" s="6">
        <f t="shared" si="2"/>
        <v>24.781500000000051</v>
      </c>
      <c r="Q64">
        <f>VALUE(IF(AND(ISERR(FIND(".",'Raw Data'!Q64)),LEN('Raw Data'!Q64)=5), IF(YEAR('Raw Data'!Q64)=2026,CONCATENATE(DAY('Raw Data'!Q64),".",IF(LEN(MONTH('Raw Data'!Q64))=2,MONTH('Raw Data'!Q64),CONCATENATE(MONTH('Raw Data'!Q64)))),CONCATENATE(MONTH('Raw Data'!Q64),".",RIGHT(YEAR('Raw Data'!Q64),2))),'Raw Data'!Q64))</f>
        <v>10</v>
      </c>
    </row>
    <row r="65" spans="1:17">
      <c r="A65" t="s">
        <v>121</v>
      </c>
      <c r="B65" t="s">
        <v>18</v>
      </c>
      <c r="C65" t="s">
        <v>19</v>
      </c>
      <c r="D65" t="s">
        <v>20</v>
      </c>
      <c r="E65" t="s">
        <v>30</v>
      </c>
      <c r="F65" t="s">
        <v>38</v>
      </c>
      <c r="G65">
        <f>VALUE(IF(AND(ISERR(FIND(".",'Raw Data'!G65)),LEN('Raw Data'!G65)=5), IF(YEAR('Raw Data'!G65)=2026,CONCATENATE(DAY('Raw Data'!G65),".",IF(LEN(MONTH('Raw Data'!G65))=2,MONTH('Raw Data'!G65),CONCATENATE("0",MONTH('Raw Data'!G65)))),CONCATENATE(MONTH('Raw Data'!G65),".",RIGHT(YEAR('Raw Data'!G65),2))),'Raw Data'!G65))</f>
        <v>15.81</v>
      </c>
      <c r="H65">
        <f>'Raw Data'!H65</f>
        <v>10</v>
      </c>
      <c r="I65" s="6">
        <f t="shared" si="0"/>
        <v>7.9050000000000011</v>
      </c>
      <c r="J65" s="6">
        <f>'Raw Data'!J65</f>
        <v>166.005</v>
      </c>
      <c r="K65" s="1">
        <f>VALUE(IFERROR(VALUE('Raw Data'!K65),CONCATENATE(MID('Raw Data'!K65,3,2),".","0",LEFT('Raw Data'!K65,1),".", RIGHT('Raw Data'!K65,4))))</f>
        <v>43619</v>
      </c>
      <c r="L65" s="2">
        <f>'Raw Data'!L65</f>
        <v>0.51874999999999993</v>
      </c>
      <c r="M65" t="s">
        <v>33</v>
      </c>
      <c r="N65">
        <f>VALUE(IF(AND(ISERR(FIND(".",'Raw Data'!N65)),LEN('Raw Data'!N65)=5), IF(YEAR('Raw Data'!N65)=2026,CONCATENATE(DAY('Raw Data'!N65),".",IF(LEN(MONTH('Raw Data'!N65))=2,MONTH('Raw Data'!N65),CONCATENATE("0",MONTH('Raw Data'!N65)))),CONCATENATE(MONTH('Raw Data'!N65),".",RIGHT(YEAR('Raw Data'!N65),2))),'Raw Data'!N65))</f>
        <v>158.1</v>
      </c>
      <c r="O65" s="6">
        <f t="shared" si="1"/>
        <v>4.7619047619047628</v>
      </c>
      <c r="P65" s="6">
        <f t="shared" si="2"/>
        <v>7.9050000000000011</v>
      </c>
      <c r="Q65">
        <f>VALUE(IF(AND(ISERR(FIND(".",'Raw Data'!Q65)),LEN('Raw Data'!Q65)=5), IF(YEAR('Raw Data'!Q65)=2026,CONCATENATE(DAY('Raw Data'!Q65),".",IF(LEN(MONTH('Raw Data'!Q65))=2,MONTH('Raw Data'!Q65),CONCATENATE(MONTH('Raw Data'!Q65)))),CONCATENATE(MONTH('Raw Data'!Q65),".",RIGHT(YEAR('Raw Data'!Q65),2))),'Raw Data'!Q65))</f>
        <v>8.6</v>
      </c>
    </row>
    <row r="66" spans="1:17">
      <c r="A66" t="s">
        <v>122</v>
      </c>
      <c r="B66" t="s">
        <v>34</v>
      </c>
      <c r="C66" t="s">
        <v>35</v>
      </c>
      <c r="D66" t="s">
        <v>20</v>
      </c>
      <c r="E66" t="s">
        <v>30</v>
      </c>
      <c r="F66" t="s">
        <v>22</v>
      </c>
      <c r="G66">
        <f>VALUE(IF(AND(ISERR(FIND(".",'Raw Data'!G66)),LEN('Raw Data'!G66)=5), IF(YEAR('Raw Data'!G66)=2026,CONCATENATE(DAY('Raw Data'!G66),".",IF(LEN(MONTH('Raw Data'!G66))=2,MONTH('Raw Data'!G66),CONCATENATE("0",MONTH('Raw Data'!G66)))),CONCATENATE(MONTH('Raw Data'!G66),".",RIGHT(YEAR('Raw Data'!G66),2))),'Raw Data'!G66))</f>
        <v>75.739999999999995</v>
      </c>
      <c r="H66">
        <f>'Raw Data'!H66</f>
        <v>4</v>
      </c>
      <c r="I66" s="6">
        <f t="shared" si="0"/>
        <v>15.148000000000025</v>
      </c>
      <c r="J66" s="6">
        <f>'Raw Data'!J66</f>
        <v>318.108</v>
      </c>
      <c r="K66" s="1">
        <f>VALUE(IFERROR(VALUE('Raw Data'!K66),CONCATENATE(MID('Raw Data'!K66,3,2),".","0",LEFT('Raw Data'!K66,1),".", RIGHT('Raw Data'!K66,4))))</f>
        <v>43510</v>
      </c>
      <c r="L66" s="2">
        <f>'Raw Data'!L66</f>
        <v>0.60763888888888895</v>
      </c>
      <c r="M66" t="s">
        <v>29</v>
      </c>
      <c r="N66">
        <f>VALUE(IF(AND(ISERR(FIND(".",'Raw Data'!N66)),LEN('Raw Data'!N66)=5), IF(YEAR('Raw Data'!N66)=2026,CONCATENATE(DAY('Raw Data'!N66),".",IF(LEN(MONTH('Raw Data'!N66))=2,MONTH('Raw Data'!N66),CONCATENATE("0",MONTH('Raw Data'!N66)))),CONCATENATE(MONTH('Raw Data'!N66),".",RIGHT(YEAR('Raw Data'!N66),2))),'Raw Data'!N66))</f>
        <v>302.95999999999998</v>
      </c>
      <c r="O66" s="6">
        <f t="shared" si="1"/>
        <v>4.761904761904769</v>
      </c>
      <c r="P66" s="6">
        <f t="shared" si="2"/>
        <v>15.148000000000025</v>
      </c>
      <c r="Q66">
        <f>VALUE(IF(AND(ISERR(FIND(".",'Raw Data'!Q66)),LEN('Raw Data'!Q66)=5), IF(YEAR('Raw Data'!Q66)=2026,CONCATENATE(DAY('Raw Data'!Q66),".",IF(LEN(MONTH('Raw Data'!Q66))=2,MONTH('Raw Data'!Q66),CONCATENATE(MONTH('Raw Data'!Q66)))),CONCATENATE(MONTH('Raw Data'!Q66),".",RIGHT(YEAR('Raw Data'!Q66),2))),'Raw Data'!Q66))</f>
        <v>7.6</v>
      </c>
    </row>
    <row r="67" spans="1:17">
      <c r="A67" t="s">
        <v>124</v>
      </c>
      <c r="B67" t="s">
        <v>18</v>
      </c>
      <c r="C67" t="s">
        <v>19</v>
      </c>
      <c r="D67" t="s">
        <v>20</v>
      </c>
      <c r="E67" t="s">
        <v>30</v>
      </c>
      <c r="F67" t="s">
        <v>22</v>
      </c>
      <c r="G67">
        <f>VALUE(IF(AND(ISERR(FIND(".",'Raw Data'!G67)),LEN('Raw Data'!G67)=5), IF(YEAR('Raw Data'!G67)=2026,CONCATENATE(DAY('Raw Data'!G67),".",IF(LEN(MONTH('Raw Data'!G67))=2,MONTH('Raw Data'!G67),CONCATENATE("0",MONTH('Raw Data'!G67)))),CONCATENATE(MONTH('Raw Data'!G67),".",RIGHT(YEAR('Raw Data'!G67),2))),'Raw Data'!G67))</f>
        <v>15.87</v>
      </c>
      <c r="H67">
        <f>'Raw Data'!H67</f>
        <v>10</v>
      </c>
      <c r="I67" s="6">
        <f t="shared" ref="I67:I130" si="3">J67-G67*H67</f>
        <v>7.9350000000000023</v>
      </c>
      <c r="J67" s="6">
        <f>'Raw Data'!J67</f>
        <v>166.63499999999999</v>
      </c>
      <c r="K67" s="1">
        <f>VALUE(IFERROR(VALUE('Raw Data'!K67),CONCATENATE(MID('Raw Data'!K67,3,2),".","0",LEFT('Raw Data'!K67,1),".", RIGHT('Raw Data'!K67,4))))</f>
        <v>43537</v>
      </c>
      <c r="L67" s="2">
        <f>'Raw Data'!L67</f>
        <v>0.69444444444444453</v>
      </c>
      <c r="M67" t="s">
        <v>29</v>
      </c>
      <c r="N67">
        <f>VALUE(IF(AND(ISERR(FIND(".",'Raw Data'!N67)),LEN('Raw Data'!N67)=5), IF(YEAR('Raw Data'!N67)=2026,CONCATENATE(DAY('Raw Data'!N67),".",IF(LEN(MONTH('Raw Data'!N67))=2,MONTH('Raw Data'!N67),CONCATENATE("0",MONTH('Raw Data'!N67)))),CONCATENATE(MONTH('Raw Data'!N67),".",RIGHT(YEAR('Raw Data'!N67),2))),'Raw Data'!N67))</f>
        <v>158.69999999999999</v>
      </c>
      <c r="O67" s="6">
        <f t="shared" ref="O67:O130" si="4">P67/J67*100</f>
        <v>4.7619047619047636</v>
      </c>
      <c r="P67" s="6">
        <f t="shared" ref="P67:P130" si="5">J67-N67</f>
        <v>7.9350000000000023</v>
      </c>
      <c r="Q67">
        <f>VALUE(IF(AND(ISERR(FIND(".",'Raw Data'!Q67)),LEN('Raw Data'!Q67)=5), IF(YEAR('Raw Data'!Q67)=2026,CONCATENATE(DAY('Raw Data'!Q67),".",IF(LEN(MONTH('Raw Data'!Q67))=2,MONTH('Raw Data'!Q67),CONCATENATE(MONTH('Raw Data'!Q67)))),CONCATENATE(MONTH('Raw Data'!Q67),".",RIGHT(YEAR('Raw Data'!Q67),2))),'Raw Data'!Q67))</f>
        <v>5.8</v>
      </c>
    </row>
    <row r="68" spans="1:17">
      <c r="A68" t="s">
        <v>126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f>VALUE(IF(AND(ISERR(FIND(".",'Raw Data'!G68)),LEN('Raw Data'!G68)=5), IF(YEAR('Raw Data'!G68)=2026,CONCATENATE(DAY('Raw Data'!G68),".",IF(LEN(MONTH('Raw Data'!G68))=2,MONTH('Raw Data'!G68),CONCATENATE("0",MONTH('Raw Data'!G68)))),CONCATENATE(MONTH('Raw Data'!G68),".",RIGHT(YEAR('Raw Data'!G68),2))),'Raw Data'!G68))</f>
        <v>33.47</v>
      </c>
      <c r="H68">
        <f>'Raw Data'!H68</f>
        <v>2</v>
      </c>
      <c r="I68" s="6">
        <f t="shared" si="3"/>
        <v>3.3470000000000084</v>
      </c>
      <c r="J68" s="6">
        <f>'Raw Data'!J68</f>
        <v>70.287000000000006</v>
      </c>
      <c r="K68" s="1">
        <f>VALUE(IFERROR(VALUE('Raw Data'!K68),CONCATENATE(MID('Raw Data'!K68,3,2),".","0",LEFT('Raw Data'!K68,1),".", RIGHT('Raw Data'!K68,4))))</f>
        <v>43740</v>
      </c>
      <c r="L68" s="2">
        <f>'Raw Data'!L68</f>
        <v>0.65486111111111112</v>
      </c>
      <c r="M68" t="s">
        <v>23</v>
      </c>
      <c r="N68">
        <f>VALUE(IF(AND(ISERR(FIND(".",'Raw Data'!N68)),LEN('Raw Data'!N68)=5), IF(YEAR('Raw Data'!N68)=2026,CONCATENATE(DAY('Raw Data'!N68),".",IF(LEN(MONTH('Raw Data'!N68))=2,MONTH('Raw Data'!N68),CONCATENATE("0",MONTH('Raw Data'!N68)))),CONCATENATE(MONTH('Raw Data'!N68),".",RIGHT(YEAR('Raw Data'!N68),2))),'Raw Data'!N68))</f>
        <v>66.94</v>
      </c>
      <c r="O68" s="6">
        <f t="shared" si="4"/>
        <v>4.7619047619047734</v>
      </c>
      <c r="P68" s="6">
        <f t="shared" si="5"/>
        <v>3.3470000000000084</v>
      </c>
      <c r="Q68">
        <f>VALUE(IF(AND(ISERR(FIND(".",'Raw Data'!Q68)),LEN('Raw Data'!Q68)=5), IF(YEAR('Raw Data'!Q68)=2026,CONCATENATE(DAY('Raw Data'!Q68),".",IF(LEN(MONTH('Raw Data'!Q68))=2,MONTH('Raw Data'!Q68),CONCATENATE(MONTH('Raw Data'!Q68)))),CONCATENATE(MONTH('Raw Data'!Q68),".",RIGHT(YEAR('Raw Data'!Q68),2))),'Raw Data'!Q68))</f>
        <v>6.7</v>
      </c>
    </row>
    <row r="69" spans="1:17">
      <c r="A69" t="s">
        <v>127</v>
      </c>
      <c r="B69" t="s">
        <v>34</v>
      </c>
      <c r="C69" t="s">
        <v>35</v>
      </c>
      <c r="D69" t="s">
        <v>20</v>
      </c>
      <c r="E69" t="s">
        <v>21</v>
      </c>
      <c r="F69" t="s">
        <v>43</v>
      </c>
      <c r="G69">
        <f>VALUE(IF(AND(ISERR(FIND(".",'Raw Data'!G69)),LEN('Raw Data'!G69)=5), IF(YEAR('Raw Data'!G69)=2026,CONCATENATE(DAY('Raw Data'!G69),".",IF(LEN(MONTH('Raw Data'!G69))=2,MONTH('Raw Data'!G69),CONCATENATE("0",MONTH('Raw Data'!G69)))),CONCATENATE(MONTH('Raw Data'!G69),".",RIGHT(YEAR('Raw Data'!G69),2))),'Raw Data'!G69))</f>
        <v>97.61</v>
      </c>
      <c r="H69">
        <f>'Raw Data'!H69</f>
        <v>6</v>
      </c>
      <c r="I69" s="6">
        <f t="shared" si="3"/>
        <v>29.283000000000015</v>
      </c>
      <c r="J69" s="6">
        <f>'Raw Data'!J69</f>
        <v>614.94299999999998</v>
      </c>
      <c r="K69" s="1">
        <f>VALUE(IFERROR(VALUE('Raw Data'!K69),CONCATENATE(MID('Raw Data'!K69,3,2),".","0",LEFT('Raw Data'!K69,1),".", RIGHT('Raw Data'!K69,4))))</f>
        <v>43647</v>
      </c>
      <c r="L69" s="2">
        <f>'Raw Data'!L69</f>
        <v>0.62569444444444444</v>
      </c>
      <c r="M69" t="s">
        <v>23</v>
      </c>
      <c r="N69">
        <f>VALUE(IF(AND(ISERR(FIND(".",'Raw Data'!N69)),LEN('Raw Data'!N69)=5), IF(YEAR('Raw Data'!N69)=2026,CONCATENATE(DAY('Raw Data'!N69),".",IF(LEN(MONTH('Raw Data'!N69))=2,MONTH('Raw Data'!N69),CONCATENATE("0",MONTH('Raw Data'!N69)))),CONCATENATE(MONTH('Raw Data'!N69),".",RIGHT(YEAR('Raw Data'!N69),2))),'Raw Data'!N69))</f>
        <v>585.66</v>
      </c>
      <c r="O69" s="6">
        <f t="shared" si="4"/>
        <v>4.7619047619047645</v>
      </c>
      <c r="P69" s="6">
        <f t="shared" si="5"/>
        <v>29.283000000000015</v>
      </c>
      <c r="Q69">
        <f>VALUE(IF(AND(ISERR(FIND(".",'Raw Data'!Q69)),LEN('Raw Data'!Q69)=5), IF(YEAR('Raw Data'!Q69)=2026,CONCATENATE(DAY('Raw Data'!Q69),".",IF(LEN(MONTH('Raw Data'!Q69))=2,MONTH('Raw Data'!Q69),CONCATENATE(MONTH('Raw Data'!Q69)))),CONCATENATE(MONTH('Raw Data'!Q69),".",RIGHT(YEAR('Raw Data'!Q69),2))),'Raw Data'!Q69))</f>
        <v>9.9</v>
      </c>
    </row>
    <row r="70" spans="1:17">
      <c r="A70" t="s">
        <v>128</v>
      </c>
      <c r="B70" t="s">
        <v>18</v>
      </c>
      <c r="C70" t="s">
        <v>19</v>
      </c>
      <c r="D70" t="s">
        <v>27</v>
      </c>
      <c r="E70" t="s">
        <v>30</v>
      </c>
      <c r="F70" t="s">
        <v>38</v>
      </c>
      <c r="G70">
        <f>VALUE(IF(AND(ISERR(FIND(".",'Raw Data'!G70)),LEN('Raw Data'!G70)=5), IF(YEAR('Raw Data'!G70)=2026,CONCATENATE(DAY('Raw Data'!G70),".",IF(LEN(MONTH('Raw Data'!G70))=2,MONTH('Raw Data'!G70),CONCATENATE("0",MONTH('Raw Data'!G70)))),CONCATENATE(MONTH('Raw Data'!G70),".",RIGHT(YEAR('Raw Data'!G70),2))),'Raw Data'!G70))</f>
        <v>78.77</v>
      </c>
      <c r="H70">
        <f>'Raw Data'!H70</f>
        <v>10</v>
      </c>
      <c r="I70" s="6">
        <f t="shared" si="3"/>
        <v>39.385000000000105</v>
      </c>
      <c r="J70" s="6">
        <f>'Raw Data'!J70</f>
        <v>827.08500000000004</v>
      </c>
      <c r="K70" s="1">
        <f>VALUE(IFERROR(VALUE('Raw Data'!K70),CONCATENATE(MID('Raw Data'!K70,3,2),".","0",LEFT('Raw Data'!K70,1),".", RIGHT('Raw Data'!K70,4))))</f>
        <v>43489</v>
      </c>
      <c r="L70" s="2">
        <f>'Raw Data'!L70</f>
        <v>0.41944444444444445</v>
      </c>
      <c r="M70" t="s">
        <v>29</v>
      </c>
      <c r="N70">
        <f>VALUE(IF(AND(ISERR(FIND(".",'Raw Data'!N70)),LEN('Raw Data'!N70)=5), IF(YEAR('Raw Data'!N70)=2026,CONCATENATE(DAY('Raw Data'!N70),".",IF(LEN(MONTH('Raw Data'!N70))=2,MONTH('Raw Data'!N70),CONCATENATE("0",MONTH('Raw Data'!N70)))),CONCATENATE(MONTH('Raw Data'!N70),".",RIGHT(YEAR('Raw Data'!N70),2))),'Raw Data'!N70))</f>
        <v>787.7</v>
      </c>
      <c r="O70" s="6">
        <f t="shared" si="4"/>
        <v>4.7619047619047601</v>
      </c>
      <c r="P70" s="6">
        <f t="shared" si="5"/>
        <v>39.384999999999991</v>
      </c>
      <c r="Q70">
        <f>VALUE(IF(AND(ISERR(FIND(".",'Raw Data'!Q70)),LEN('Raw Data'!Q70)=5), IF(YEAR('Raw Data'!Q70)=2026,CONCATENATE(DAY('Raw Data'!Q70),".",IF(LEN(MONTH('Raw Data'!Q70))=2,MONTH('Raw Data'!Q70),CONCATENATE(MONTH('Raw Data'!Q70)))),CONCATENATE(MONTH('Raw Data'!Q70),".",RIGHT(YEAR('Raw Data'!Q70),2))),'Raw Data'!Q70))</f>
        <v>6.4</v>
      </c>
    </row>
    <row r="71" spans="1:17">
      <c r="A71" t="s">
        <v>130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f>VALUE(IF(AND(ISERR(FIND(".",'Raw Data'!G71)),LEN('Raw Data'!G71)=5), IF(YEAR('Raw Data'!G71)=2026,CONCATENATE(DAY('Raw Data'!G71),".",IF(LEN(MONTH('Raw Data'!G71))=2,MONTH('Raw Data'!G71),CONCATENATE("0",MONTH('Raw Data'!G71)))),CONCATENATE(MONTH('Raw Data'!G71),".",RIGHT(YEAR('Raw Data'!G71),2))),'Raw Data'!G71))</f>
        <v>18.329999999999998</v>
      </c>
      <c r="H71">
        <f>'Raw Data'!H71</f>
        <v>1</v>
      </c>
      <c r="I71" s="6">
        <f t="shared" si="3"/>
        <v>0.91650000000000276</v>
      </c>
      <c r="J71" s="6">
        <f>'Raw Data'!J71</f>
        <v>19.246500000000001</v>
      </c>
      <c r="K71" s="1">
        <f>VALUE(IFERROR(VALUE('Raw Data'!K71),CONCATENATE(MID('Raw Data'!K71,3,2),".","0",LEFT('Raw Data'!K71,1),".", RIGHT('Raw Data'!K71,4))))</f>
        <v>43498</v>
      </c>
      <c r="L71" s="2">
        <f>'Raw Data'!L71</f>
        <v>0.78472222222222221</v>
      </c>
      <c r="M71" t="s">
        <v>29</v>
      </c>
      <c r="N71">
        <f>VALUE(IF(AND(ISERR(FIND(".",'Raw Data'!N71)),LEN('Raw Data'!N71)=5), IF(YEAR('Raw Data'!N71)=2026,CONCATENATE(DAY('Raw Data'!N71),".",IF(LEN(MONTH('Raw Data'!N71))=2,MONTH('Raw Data'!N71),CONCATENATE("0",MONTH('Raw Data'!N71)))),CONCATENATE(MONTH('Raw Data'!N71),".",RIGHT(YEAR('Raw Data'!N71),2))),'Raw Data'!N71))</f>
        <v>18.329999999999998</v>
      </c>
      <c r="O71" s="6">
        <f t="shared" si="4"/>
        <v>4.7619047619047761</v>
      </c>
      <c r="P71" s="6">
        <f t="shared" si="5"/>
        <v>0.91650000000000276</v>
      </c>
      <c r="Q71">
        <f>VALUE(IF(AND(ISERR(FIND(".",'Raw Data'!Q71)),LEN('Raw Data'!Q71)=5), IF(YEAR('Raw Data'!Q71)=2026,CONCATENATE(DAY('Raw Data'!Q71),".",IF(LEN(MONTH('Raw Data'!Q71))=2,MONTH('Raw Data'!Q71),CONCATENATE(MONTH('Raw Data'!Q71)))),CONCATENATE(MONTH('Raw Data'!Q71),".",RIGHT(YEAR('Raw Data'!Q71),2))),'Raw Data'!Q71))</f>
        <v>4.3</v>
      </c>
    </row>
    <row r="72" spans="1:17">
      <c r="A72" t="s">
        <v>131</v>
      </c>
      <c r="B72" t="s">
        <v>25</v>
      </c>
      <c r="C72" t="s">
        <v>26</v>
      </c>
      <c r="D72" t="s">
        <v>27</v>
      </c>
      <c r="E72" t="s">
        <v>30</v>
      </c>
      <c r="F72" t="s">
        <v>40</v>
      </c>
      <c r="G72">
        <f>VALUE(IF(AND(ISERR(FIND(".",'Raw Data'!G72)),LEN('Raw Data'!G72)=5), IF(YEAR('Raw Data'!G72)=2026,CONCATENATE(DAY('Raw Data'!G72),".",IF(LEN(MONTH('Raw Data'!G72))=2,MONTH('Raw Data'!G72),CONCATENATE("0",MONTH('Raw Data'!G72)))),CONCATENATE(MONTH('Raw Data'!G72),".",RIGHT(YEAR('Raw Data'!G72),2))),'Raw Data'!G72))</f>
        <v>89.48</v>
      </c>
      <c r="H72">
        <f>'Raw Data'!H72</f>
        <v>10</v>
      </c>
      <c r="I72" s="6">
        <f t="shared" si="3"/>
        <v>44.739999999999895</v>
      </c>
      <c r="J72" s="6">
        <f>'Raw Data'!J72</f>
        <v>939.54</v>
      </c>
      <c r="K72" s="1">
        <f>VALUE(IFERROR(VALUE('Raw Data'!K72),CONCATENATE(MID('Raw Data'!K72,3,2),".","0",LEFT('Raw Data'!K72,1),".", RIGHT('Raw Data'!K72,4))))</f>
        <v>43617</v>
      </c>
      <c r="L72" s="2">
        <f>'Raw Data'!L72</f>
        <v>0.53194444444444444</v>
      </c>
      <c r="M72" t="s">
        <v>33</v>
      </c>
      <c r="N72">
        <f>VALUE(IF(AND(ISERR(FIND(".",'Raw Data'!N72)),LEN('Raw Data'!N72)=5), IF(YEAR('Raw Data'!N72)=2026,CONCATENATE(DAY('Raw Data'!N72),".",IF(LEN(MONTH('Raw Data'!N72))=2,MONTH('Raw Data'!N72),CONCATENATE("0",MONTH('Raw Data'!N72)))),CONCATENATE(MONTH('Raw Data'!N72),".",RIGHT(YEAR('Raw Data'!N72),2))),'Raw Data'!N72))</f>
        <v>894.8</v>
      </c>
      <c r="O72" s="6">
        <f t="shared" si="4"/>
        <v>4.7619047619047628</v>
      </c>
      <c r="P72" s="6">
        <f t="shared" si="5"/>
        <v>44.740000000000009</v>
      </c>
      <c r="Q72">
        <f>VALUE(IF(AND(ISERR(FIND(".",'Raw Data'!Q72)),LEN('Raw Data'!Q72)=5), IF(YEAR('Raw Data'!Q72)=2026,CONCATENATE(DAY('Raw Data'!Q72),".",IF(LEN(MONTH('Raw Data'!Q72))=2,MONTH('Raw Data'!Q72),CONCATENATE(MONTH('Raw Data'!Q72)))),CONCATENATE(MONTH('Raw Data'!Q72),".",RIGHT(YEAR('Raw Data'!Q72),2))),'Raw Data'!Q72))</f>
        <v>9.6</v>
      </c>
    </row>
    <row r="73" spans="1:17">
      <c r="A73" t="s">
        <v>132</v>
      </c>
      <c r="B73" t="s">
        <v>25</v>
      </c>
      <c r="C73" t="s">
        <v>26</v>
      </c>
      <c r="D73" t="s">
        <v>27</v>
      </c>
      <c r="E73" t="s">
        <v>30</v>
      </c>
      <c r="F73" t="s">
        <v>43</v>
      </c>
      <c r="G73">
        <f>VALUE(IF(AND(ISERR(FIND(".",'Raw Data'!G73)),LEN('Raw Data'!G73)=5), IF(YEAR('Raw Data'!G73)=2026,CONCATENATE(DAY('Raw Data'!G73),".",IF(LEN(MONTH('Raw Data'!G73))=2,MONTH('Raw Data'!G73),CONCATENATE("0",MONTH('Raw Data'!G73)))),CONCATENATE(MONTH('Raw Data'!G73),".",RIGHT(YEAR('Raw Data'!G73),2))),'Raw Data'!G73))</f>
        <v>62.12</v>
      </c>
      <c r="H73">
        <f>'Raw Data'!H73</f>
        <v>10</v>
      </c>
      <c r="I73" s="6">
        <f t="shared" si="3"/>
        <v>31.060000000000059</v>
      </c>
      <c r="J73" s="6">
        <f>'Raw Data'!J73</f>
        <v>652.26</v>
      </c>
      <c r="K73" s="1">
        <f>VALUE(IFERROR(VALUE('Raw Data'!K73),CONCATENATE(MID('Raw Data'!K73,3,2),".","0",LEFT('Raw Data'!K73,1),".", RIGHT('Raw Data'!K73,4))))</f>
        <v>43771</v>
      </c>
      <c r="L73" s="2">
        <f>'Raw Data'!L73</f>
        <v>0.67986111111111114</v>
      </c>
      <c r="M73" t="s">
        <v>29</v>
      </c>
      <c r="N73">
        <f>VALUE(IF(AND(ISERR(FIND(".",'Raw Data'!N73)),LEN('Raw Data'!N73)=5), IF(YEAR('Raw Data'!N73)=2026,CONCATENATE(DAY('Raw Data'!N73),".",IF(LEN(MONTH('Raw Data'!N73))=2,MONTH('Raw Data'!N73),CONCATENATE("0",MONTH('Raw Data'!N73)))),CONCATENATE(MONTH('Raw Data'!N73),".",RIGHT(YEAR('Raw Data'!N73),2))),'Raw Data'!N73))</f>
        <v>621.20000000000005</v>
      </c>
      <c r="O73" s="6">
        <f t="shared" si="4"/>
        <v>4.761904761904753</v>
      </c>
      <c r="P73" s="6">
        <f t="shared" si="5"/>
        <v>31.059999999999945</v>
      </c>
      <c r="Q73">
        <f>VALUE(IF(AND(ISERR(FIND(".",'Raw Data'!Q73)),LEN('Raw Data'!Q73)=5), IF(YEAR('Raw Data'!Q73)=2026,CONCATENATE(DAY('Raw Data'!Q73),".",IF(LEN(MONTH('Raw Data'!Q73))=2,MONTH('Raw Data'!Q73),CONCATENATE(MONTH('Raw Data'!Q73)))),CONCATENATE(MONTH('Raw Data'!Q73),".",RIGHT(YEAR('Raw Data'!Q73),2))),'Raw Data'!Q73))</f>
        <v>5.9</v>
      </c>
    </row>
    <row r="74" spans="1:17">
      <c r="A74" t="s">
        <v>133</v>
      </c>
      <c r="B74" t="s">
        <v>34</v>
      </c>
      <c r="C74" t="s">
        <v>35</v>
      </c>
      <c r="D74" t="s">
        <v>20</v>
      </c>
      <c r="E74" t="s">
        <v>21</v>
      </c>
      <c r="F74" t="s">
        <v>40</v>
      </c>
      <c r="G74">
        <f>VALUE(IF(AND(ISERR(FIND(".",'Raw Data'!G74)),LEN('Raw Data'!G74)=5), IF(YEAR('Raw Data'!G74)=2026,CONCATENATE(DAY('Raw Data'!G74),".",IF(LEN(MONTH('Raw Data'!G74))=2,MONTH('Raw Data'!G74),CONCATENATE("0",MONTH('Raw Data'!G74)))),CONCATENATE(MONTH('Raw Data'!G74),".",RIGHT(YEAR('Raw Data'!G74),2))),'Raw Data'!G74))</f>
        <v>48.52</v>
      </c>
      <c r="H74">
        <f>'Raw Data'!H74</f>
        <v>3</v>
      </c>
      <c r="I74" s="6">
        <f t="shared" si="3"/>
        <v>7.2779999999999916</v>
      </c>
      <c r="J74" s="6">
        <f>'Raw Data'!J74</f>
        <v>152.83799999999999</v>
      </c>
      <c r="K74" s="1">
        <f>VALUE(IFERROR(VALUE('Raw Data'!K74),CONCATENATE(MID('Raw Data'!K74,3,2),".","0",LEFT('Raw Data'!K74,1),".", RIGHT('Raw Data'!K74,4))))</f>
        <v>43588</v>
      </c>
      <c r="L74" s="2">
        <f>'Raw Data'!L74</f>
        <v>0.76180555555555562</v>
      </c>
      <c r="M74" t="s">
        <v>23</v>
      </c>
      <c r="N74">
        <f>VALUE(IF(AND(ISERR(FIND(".",'Raw Data'!N74)),LEN('Raw Data'!N74)=5), IF(YEAR('Raw Data'!N74)=2026,CONCATENATE(DAY('Raw Data'!N74),".",IF(LEN(MONTH('Raw Data'!N74))=2,MONTH('Raw Data'!N74),CONCATENATE("0",MONTH('Raw Data'!N74)))),CONCATENATE(MONTH('Raw Data'!N74),".",RIGHT(YEAR('Raw Data'!N74),2))),'Raw Data'!N74))</f>
        <v>145.56</v>
      </c>
      <c r="O74" s="6">
        <f t="shared" si="4"/>
        <v>4.7619047619047565</v>
      </c>
      <c r="P74" s="6">
        <f t="shared" si="5"/>
        <v>7.2779999999999916</v>
      </c>
      <c r="Q74">
        <f>VALUE(IF(AND(ISERR(FIND(".",'Raw Data'!Q74)),LEN('Raw Data'!Q74)=5), IF(YEAR('Raw Data'!Q74)=2026,CONCATENATE(DAY('Raw Data'!Q74),".",IF(LEN(MONTH('Raw Data'!Q74))=2,MONTH('Raw Data'!Q74),CONCATENATE(MONTH('Raw Data'!Q74)))),CONCATENATE(MONTH('Raw Data'!Q74),".",RIGHT(YEAR('Raw Data'!Q74),2))),'Raw Data'!Q74))</f>
        <v>4</v>
      </c>
    </row>
    <row r="75" spans="1:17">
      <c r="A75" t="s">
        <v>134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f>VALUE(IF(AND(ISERR(FIND(".",'Raw Data'!G75)),LEN('Raw Data'!G75)=5), IF(YEAR('Raw Data'!G75)=2026,CONCATENATE(DAY('Raw Data'!G75),".",IF(LEN(MONTH('Raw Data'!G75))=2,MONTH('Raw Data'!G75),CONCATENATE("0",MONTH('Raw Data'!G75)))),CONCATENATE(MONTH('Raw Data'!G75),".",RIGHT(YEAR('Raw Data'!G75),2))),'Raw Data'!G75))</f>
        <v>75.91</v>
      </c>
      <c r="H75">
        <f>'Raw Data'!H75</f>
        <v>6</v>
      </c>
      <c r="I75" s="6">
        <f t="shared" si="3"/>
        <v>22.773000000000025</v>
      </c>
      <c r="J75" s="6">
        <f>'Raw Data'!J75</f>
        <v>478.233</v>
      </c>
      <c r="K75" s="1">
        <f>VALUE(IFERROR(VALUE('Raw Data'!K75),CONCATENATE(MID('Raw Data'!K75,3,2),".","0",LEFT('Raw Data'!K75,1),".", RIGHT('Raw Data'!K75,4))))</f>
        <v>43711</v>
      </c>
      <c r="L75" s="2">
        <f>'Raw Data'!L75</f>
        <v>0.76458333333333339</v>
      </c>
      <c r="M75" t="s">
        <v>29</v>
      </c>
      <c r="N75">
        <f>VALUE(IF(AND(ISERR(FIND(".",'Raw Data'!N75)),LEN('Raw Data'!N75)=5), IF(YEAR('Raw Data'!N75)=2026,CONCATENATE(DAY('Raw Data'!N75),".",IF(LEN(MONTH('Raw Data'!N75))=2,MONTH('Raw Data'!N75),CONCATENATE("0",MONTH('Raw Data'!N75)))),CONCATENATE(MONTH('Raw Data'!N75),".",RIGHT(YEAR('Raw Data'!N75),2))),'Raw Data'!N75))</f>
        <v>455.46</v>
      </c>
      <c r="O75" s="6">
        <f t="shared" si="4"/>
        <v>4.7619047619047672</v>
      </c>
      <c r="P75" s="6">
        <f t="shared" si="5"/>
        <v>22.773000000000025</v>
      </c>
      <c r="Q75">
        <f>VALUE(IF(AND(ISERR(FIND(".",'Raw Data'!Q75)),LEN('Raw Data'!Q75)=5), IF(YEAR('Raw Data'!Q75)=2026,CONCATENATE(DAY('Raw Data'!Q75),".",IF(LEN(MONTH('Raw Data'!Q75))=2,MONTH('Raw Data'!Q75),CONCATENATE(MONTH('Raw Data'!Q75)))),CONCATENATE(MONTH('Raw Data'!Q75),".",RIGHT(YEAR('Raw Data'!Q75),2))),'Raw Data'!Q75))</f>
        <v>8.6999999999999993</v>
      </c>
    </row>
    <row r="76" spans="1:17">
      <c r="A76" t="s">
        <v>135</v>
      </c>
      <c r="B76" t="s">
        <v>18</v>
      </c>
      <c r="C76" t="s">
        <v>19</v>
      </c>
      <c r="D76" t="s">
        <v>27</v>
      </c>
      <c r="E76" t="s">
        <v>30</v>
      </c>
      <c r="F76" t="s">
        <v>32</v>
      </c>
      <c r="G76">
        <f>VALUE(IF(AND(ISERR(FIND(".",'Raw Data'!G76)),LEN('Raw Data'!G76)=5), IF(YEAR('Raw Data'!G76)=2026,CONCATENATE(DAY('Raw Data'!G76),".",IF(LEN(MONTH('Raw Data'!G76))=2,MONTH('Raw Data'!G76),CONCATENATE("0",MONTH('Raw Data'!G76)))),CONCATENATE(MONTH('Raw Data'!G76),".",RIGHT(YEAR('Raw Data'!G76),2))),'Raw Data'!G76))</f>
        <v>74.67</v>
      </c>
      <c r="H76">
        <f>'Raw Data'!H76</f>
        <v>9</v>
      </c>
      <c r="I76" s="6">
        <f t="shared" si="3"/>
        <v>33.601499999999987</v>
      </c>
      <c r="J76" s="6">
        <f>'Raw Data'!J76</f>
        <v>705.63149999999996</v>
      </c>
      <c r="K76" s="1">
        <f>VALUE(IFERROR(VALUE('Raw Data'!K76),CONCATENATE(MID('Raw Data'!K76,3,2),".","0",LEFT('Raw Data'!K76,1),".", RIGHT('Raw Data'!K76,4))))</f>
        <v>43487</v>
      </c>
      <c r="L76" s="2">
        <f>'Raw Data'!L76</f>
        <v>0.4548611111111111</v>
      </c>
      <c r="M76" t="s">
        <v>23</v>
      </c>
      <c r="N76">
        <f>VALUE(IF(AND(ISERR(FIND(".",'Raw Data'!N76)),LEN('Raw Data'!N76)=5), IF(YEAR('Raw Data'!N76)=2026,CONCATENATE(DAY('Raw Data'!N76),".",IF(LEN(MONTH('Raw Data'!N76))=2,MONTH('Raw Data'!N76),CONCATENATE("0",MONTH('Raw Data'!N76)))),CONCATENATE(MONTH('Raw Data'!N76),".",RIGHT(YEAR('Raw Data'!N76),2))),'Raw Data'!N76))</f>
        <v>672.03</v>
      </c>
      <c r="O76" s="6">
        <f t="shared" si="4"/>
        <v>4.7619047619047601</v>
      </c>
      <c r="P76" s="6">
        <f t="shared" si="5"/>
        <v>33.601499999999987</v>
      </c>
      <c r="Q76">
        <f>VALUE(IF(AND(ISERR(FIND(".",'Raw Data'!Q76)),LEN('Raw Data'!Q76)=5), IF(YEAR('Raw Data'!Q76)=2026,CONCATENATE(DAY('Raw Data'!Q76),".",IF(LEN(MONTH('Raw Data'!Q76))=2,MONTH('Raw Data'!Q76),CONCATENATE(MONTH('Raw Data'!Q76)))),CONCATENATE(MONTH('Raw Data'!Q76),".",RIGHT(YEAR('Raw Data'!Q76),2))),'Raw Data'!Q76))</f>
        <v>9.4</v>
      </c>
    </row>
    <row r="77" spans="1:17">
      <c r="A77" t="s">
        <v>137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f>VALUE(IF(AND(ISERR(FIND(".",'Raw Data'!G77)),LEN('Raw Data'!G77)=5), IF(YEAR('Raw Data'!G77)=2026,CONCATENATE(DAY('Raw Data'!G77),".",IF(LEN(MONTH('Raw Data'!G77))=2,MONTH('Raw Data'!G77),CONCATENATE("0",MONTH('Raw Data'!G77)))),CONCATENATE(MONTH('Raw Data'!G77),".",RIGHT(YEAR('Raw Data'!G77),2))),'Raw Data'!G77))</f>
        <v>41.65</v>
      </c>
      <c r="H77">
        <f>'Raw Data'!H77</f>
        <v>10</v>
      </c>
      <c r="I77" s="6">
        <f t="shared" si="3"/>
        <v>20.824999999999989</v>
      </c>
      <c r="J77" s="6">
        <f>'Raw Data'!J77</f>
        <v>437.32499999999999</v>
      </c>
      <c r="K77" s="1">
        <f>VALUE(IFERROR(VALUE('Raw Data'!K77),CONCATENATE(MID('Raw Data'!K77,3,2),".","0",LEFT('Raw Data'!K77,1),".", RIGHT('Raw Data'!K77,4))))</f>
        <v>43478</v>
      </c>
      <c r="L77" s="2">
        <f>'Raw Data'!L77</f>
        <v>0.71111111111111114</v>
      </c>
      <c r="M77" t="s">
        <v>33</v>
      </c>
      <c r="N77">
        <f>VALUE(IF(AND(ISERR(FIND(".",'Raw Data'!N77)),LEN('Raw Data'!N77)=5), IF(YEAR('Raw Data'!N77)=2026,CONCATENATE(DAY('Raw Data'!N77),".",IF(LEN(MONTH('Raw Data'!N77))=2,MONTH('Raw Data'!N77),CONCATENATE("0",MONTH('Raw Data'!N77)))),CONCATENATE(MONTH('Raw Data'!N77),".",RIGHT(YEAR('Raw Data'!N77),2))),'Raw Data'!N77))</f>
        <v>416.5</v>
      </c>
      <c r="O77" s="6">
        <f t="shared" si="4"/>
        <v>4.7619047619047592</v>
      </c>
      <c r="P77" s="6">
        <f t="shared" si="5"/>
        <v>20.824999999999989</v>
      </c>
      <c r="Q77">
        <f>VALUE(IF(AND(ISERR(FIND(".",'Raw Data'!Q77)),LEN('Raw Data'!Q77)=5), IF(YEAR('Raw Data'!Q77)=2026,CONCATENATE(DAY('Raw Data'!Q77),".",IF(LEN(MONTH('Raw Data'!Q77))=2,MONTH('Raw Data'!Q77),CONCATENATE(MONTH('Raw Data'!Q77)))),CONCATENATE(MONTH('Raw Data'!Q77),".",RIGHT(YEAR('Raw Data'!Q77),2))),'Raw Data'!Q77))</f>
        <v>5.4</v>
      </c>
    </row>
    <row r="78" spans="1:17">
      <c r="A78" t="s">
        <v>139</v>
      </c>
      <c r="B78" t="s">
        <v>25</v>
      </c>
      <c r="C78" t="s">
        <v>26</v>
      </c>
      <c r="D78" t="s">
        <v>20</v>
      </c>
      <c r="E78" t="s">
        <v>30</v>
      </c>
      <c r="F78" t="s">
        <v>43</v>
      </c>
      <c r="G78">
        <f>VALUE(IF(AND(ISERR(FIND(".",'Raw Data'!G78)),LEN('Raw Data'!G78)=5), IF(YEAR('Raw Data'!G78)=2026,CONCATENATE(DAY('Raw Data'!G78),".",IF(LEN(MONTH('Raw Data'!G78))=2,MONTH('Raw Data'!G78),CONCATENATE("0",MONTH('Raw Data'!G78)))),CONCATENATE(MONTH('Raw Data'!G78),".",RIGHT(YEAR('Raw Data'!G78),2))),'Raw Data'!G78))</f>
        <v>49.04</v>
      </c>
      <c r="H78">
        <f>'Raw Data'!H78</f>
        <v>9</v>
      </c>
      <c r="I78" s="6">
        <f t="shared" si="3"/>
        <v>22.067999999999984</v>
      </c>
      <c r="J78" s="6">
        <f>'Raw Data'!J78</f>
        <v>463.428</v>
      </c>
      <c r="K78" s="1">
        <f>VALUE(IFERROR(VALUE('Raw Data'!K78),CONCATENATE(MID('Raw Data'!K78,3,2),".","0",LEFT('Raw Data'!K78,1),".", RIGHT('Raw Data'!K78,4))))</f>
        <v>43709</v>
      </c>
      <c r="L78" s="2">
        <f>'Raw Data'!L78</f>
        <v>0.59722222222222221</v>
      </c>
      <c r="M78" t="s">
        <v>33</v>
      </c>
      <c r="N78">
        <f>VALUE(IF(AND(ISERR(FIND(".",'Raw Data'!N78)),LEN('Raw Data'!N78)=5), IF(YEAR('Raw Data'!N78)=2026,CONCATENATE(DAY('Raw Data'!N78),".",IF(LEN(MONTH('Raw Data'!N78))=2,MONTH('Raw Data'!N78),CONCATENATE("0",MONTH('Raw Data'!N78)))),CONCATENATE(MONTH('Raw Data'!N78),".",RIGHT(YEAR('Raw Data'!N78),2))),'Raw Data'!N78))</f>
        <v>441.36</v>
      </c>
      <c r="O78" s="6">
        <f t="shared" si="4"/>
        <v>4.7619047619047583</v>
      </c>
      <c r="P78" s="6">
        <f t="shared" si="5"/>
        <v>22.067999999999984</v>
      </c>
      <c r="Q78">
        <f>VALUE(IF(AND(ISERR(FIND(".",'Raw Data'!Q78)),LEN('Raw Data'!Q78)=5), IF(YEAR('Raw Data'!Q78)=2026,CONCATENATE(DAY('Raw Data'!Q78),".",IF(LEN(MONTH('Raw Data'!Q78))=2,MONTH('Raw Data'!Q78),CONCATENATE(MONTH('Raw Data'!Q78)))),CONCATENATE(MONTH('Raw Data'!Q78),".",RIGHT(YEAR('Raw Data'!Q78),2))),'Raw Data'!Q78))</f>
        <v>8.6</v>
      </c>
    </row>
    <row r="79" spans="1:17">
      <c r="A79" t="s">
        <v>140</v>
      </c>
      <c r="B79" t="s">
        <v>18</v>
      </c>
      <c r="C79" t="s">
        <v>19</v>
      </c>
      <c r="D79" t="s">
        <v>20</v>
      </c>
      <c r="E79" t="s">
        <v>21</v>
      </c>
      <c r="F79" t="s">
        <v>43</v>
      </c>
      <c r="G79">
        <f>VALUE(IF(AND(ISERR(FIND(".",'Raw Data'!G79)),LEN('Raw Data'!G79)=5), IF(YEAR('Raw Data'!G79)=2026,CONCATENATE(DAY('Raw Data'!G79),".",IF(LEN(MONTH('Raw Data'!G79))=2,MONTH('Raw Data'!G79),CONCATENATE("0",MONTH('Raw Data'!G79)))),CONCATENATE(MONTH('Raw Data'!G79),".",RIGHT(YEAR('Raw Data'!G79),2))),'Raw Data'!G79))</f>
        <v>20.010000000000002</v>
      </c>
      <c r="H79">
        <f>'Raw Data'!H79</f>
        <v>9</v>
      </c>
      <c r="I79" s="6">
        <f t="shared" si="3"/>
        <v>9.0045000000000073</v>
      </c>
      <c r="J79" s="6">
        <f>'Raw Data'!J79</f>
        <v>189.09450000000001</v>
      </c>
      <c r="K79" s="1">
        <f>VALUE(IFERROR(VALUE('Raw Data'!K79),CONCATENATE(MID('Raw Data'!K79,3,2),".","0",LEFT('Raw Data'!K79,1),".", RIGHT('Raw Data'!K79,4))))</f>
        <v>43800</v>
      </c>
      <c r="L79" s="2">
        <f>'Raw Data'!L79</f>
        <v>0.65833333333333333</v>
      </c>
      <c r="M79" t="s">
        <v>33</v>
      </c>
      <c r="N79">
        <f>VALUE(IF(AND(ISERR(FIND(".",'Raw Data'!N79)),LEN('Raw Data'!N79)=5), IF(YEAR('Raw Data'!N79)=2026,CONCATENATE(DAY('Raw Data'!N79),".",IF(LEN(MONTH('Raw Data'!N79))=2,MONTH('Raw Data'!N79),CONCATENATE("0",MONTH('Raw Data'!N79)))),CONCATENATE(MONTH('Raw Data'!N79),".",RIGHT(YEAR('Raw Data'!N79),2))),'Raw Data'!N79))</f>
        <v>180.09</v>
      </c>
      <c r="O79" s="6">
        <f t="shared" si="4"/>
        <v>4.7619047619047654</v>
      </c>
      <c r="P79" s="6">
        <f t="shared" si="5"/>
        <v>9.0045000000000073</v>
      </c>
      <c r="Q79">
        <f>VALUE(IF(AND(ISERR(FIND(".",'Raw Data'!Q79)),LEN('Raw Data'!Q79)=5), IF(YEAR('Raw Data'!Q79)=2026,CONCATENATE(DAY('Raw Data'!Q79),".",IF(LEN(MONTH('Raw Data'!Q79))=2,MONTH('Raw Data'!Q79),CONCATENATE(MONTH('Raw Data'!Q79)))),CONCATENATE(MONTH('Raw Data'!Q79),".",RIGHT(YEAR('Raw Data'!Q79),2))),'Raw Data'!Q79))</f>
        <v>5.7</v>
      </c>
    </row>
    <row r="80" spans="1:17">
      <c r="A80" t="s">
        <v>141</v>
      </c>
      <c r="B80" t="s">
        <v>25</v>
      </c>
      <c r="C80" t="s">
        <v>26</v>
      </c>
      <c r="D80" t="s">
        <v>20</v>
      </c>
      <c r="E80" t="s">
        <v>21</v>
      </c>
      <c r="F80" t="s">
        <v>40</v>
      </c>
      <c r="G80">
        <f>VALUE(IF(AND(ISERR(FIND(".",'Raw Data'!G80)),LEN('Raw Data'!G80)=5), IF(YEAR('Raw Data'!G80)=2026,CONCATENATE(DAY('Raw Data'!G80),".",IF(LEN(MONTH('Raw Data'!G80))=2,MONTH('Raw Data'!G80),CONCATENATE("0",MONTH('Raw Data'!G80)))),CONCATENATE(MONTH('Raw Data'!G80),".",RIGHT(YEAR('Raw Data'!G80),2))),'Raw Data'!G80))</f>
        <v>78.31</v>
      </c>
      <c r="H80">
        <f>'Raw Data'!H80</f>
        <v>10</v>
      </c>
      <c r="I80" s="6">
        <f t="shared" si="3"/>
        <v>39.154999999999973</v>
      </c>
      <c r="J80" s="6">
        <f>'Raw Data'!J80</f>
        <v>822.255</v>
      </c>
      <c r="K80" s="1">
        <f>VALUE(IFERROR(VALUE('Raw Data'!K80),CONCATENATE(MID('Raw Data'!K80,3,2),".","0",LEFT('Raw Data'!K80,1),".", RIGHT('Raw Data'!K80,4))))</f>
        <v>43588</v>
      </c>
      <c r="L80" s="2">
        <f>'Raw Data'!L80</f>
        <v>0.68333333333333324</v>
      </c>
      <c r="M80" t="s">
        <v>23</v>
      </c>
      <c r="N80">
        <f>VALUE(IF(AND(ISERR(FIND(".",'Raw Data'!N80)),LEN('Raw Data'!N80)=5), IF(YEAR('Raw Data'!N80)=2026,CONCATENATE(DAY('Raw Data'!N80),".",IF(LEN(MONTH('Raw Data'!N80))=2,MONTH('Raw Data'!N80),CONCATENATE("0",MONTH('Raw Data'!N80)))),CONCATENATE(MONTH('Raw Data'!N80),".",RIGHT(YEAR('Raw Data'!N80),2))),'Raw Data'!N80))</f>
        <v>783.1</v>
      </c>
      <c r="O80" s="6">
        <f t="shared" si="4"/>
        <v>4.7619047619047592</v>
      </c>
      <c r="P80" s="6">
        <f t="shared" si="5"/>
        <v>39.154999999999973</v>
      </c>
      <c r="Q80">
        <f>VALUE(IF(AND(ISERR(FIND(".",'Raw Data'!Q80)),LEN('Raw Data'!Q80)=5), IF(YEAR('Raw Data'!Q80)=2026,CONCATENATE(DAY('Raw Data'!Q80),".",IF(LEN(MONTH('Raw Data'!Q80))=2,MONTH('Raw Data'!Q80),CONCATENATE(MONTH('Raw Data'!Q80)))),CONCATENATE(MONTH('Raw Data'!Q80),".",RIGHT(YEAR('Raw Data'!Q80),2))),'Raw Data'!Q80))</f>
        <v>6.6</v>
      </c>
    </row>
    <row r="81" spans="1:17">
      <c r="A81" t="s">
        <v>142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f>VALUE(IF(AND(ISERR(FIND(".",'Raw Data'!G81)),LEN('Raw Data'!G81)=5), IF(YEAR('Raw Data'!G81)=2026,CONCATENATE(DAY('Raw Data'!G81),".",IF(LEN(MONTH('Raw Data'!G81))=2,MONTH('Raw Data'!G81),CONCATENATE("0",MONTH('Raw Data'!G81)))),CONCATENATE(MONTH('Raw Data'!G81),".",RIGHT(YEAR('Raw Data'!G81),2))),'Raw Data'!G81))</f>
        <v>20.38</v>
      </c>
      <c r="H81">
        <f>'Raw Data'!H81</f>
        <v>5</v>
      </c>
      <c r="I81" s="6">
        <f t="shared" si="3"/>
        <v>5.0950000000000131</v>
      </c>
      <c r="J81" s="6">
        <f>'Raw Data'!J81</f>
        <v>106.995</v>
      </c>
      <c r="K81" s="1">
        <f>VALUE(IFERROR(VALUE('Raw Data'!K81),CONCATENATE(MID('Raw Data'!K81,3,2),".","0",LEFT('Raw Data'!K81,1),".", RIGHT('Raw Data'!K81,4))))</f>
        <v>43487</v>
      </c>
      <c r="L81" s="2">
        <f>'Raw Data'!L81</f>
        <v>0.78888888888888886</v>
      </c>
      <c r="M81" t="s">
        <v>29</v>
      </c>
      <c r="N81">
        <f>VALUE(IF(AND(ISERR(FIND(".",'Raw Data'!N81)),LEN('Raw Data'!N81)=5), IF(YEAR('Raw Data'!N81)=2026,CONCATENATE(DAY('Raw Data'!N81),".",IF(LEN(MONTH('Raw Data'!N81))=2,MONTH('Raw Data'!N81),CONCATENATE("0",MONTH('Raw Data'!N81)))),CONCATENATE(MONTH('Raw Data'!N81),".",RIGHT(YEAR('Raw Data'!N81),2))),'Raw Data'!N81))</f>
        <v>101.9</v>
      </c>
      <c r="O81" s="6">
        <f t="shared" si="4"/>
        <v>4.761904761904761</v>
      </c>
      <c r="P81" s="6">
        <f t="shared" si="5"/>
        <v>5.0949999999999989</v>
      </c>
      <c r="Q81">
        <f>VALUE(IF(AND(ISERR(FIND(".",'Raw Data'!Q81)),LEN('Raw Data'!Q81)=5), IF(YEAR('Raw Data'!Q81)=2026,CONCATENATE(DAY('Raw Data'!Q81),".",IF(LEN(MONTH('Raw Data'!Q81))=2,MONTH('Raw Data'!Q81),CONCATENATE(MONTH('Raw Data'!Q81)))),CONCATENATE(MONTH('Raw Data'!Q81),".",RIGHT(YEAR('Raw Data'!Q81),2))),'Raw Data'!Q81))</f>
        <v>6</v>
      </c>
    </row>
    <row r="82" spans="1:17">
      <c r="A82" t="s">
        <v>143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f>VALUE(IF(AND(ISERR(FIND(".",'Raw Data'!G82)),LEN('Raw Data'!G82)=5), IF(YEAR('Raw Data'!G82)=2026,CONCATENATE(DAY('Raw Data'!G82),".",IF(LEN(MONTH('Raw Data'!G82))=2,MONTH('Raw Data'!G82),CONCATENATE("0",MONTH('Raw Data'!G82)))),CONCATENATE(MONTH('Raw Data'!G82),".",RIGHT(YEAR('Raw Data'!G82),2))),'Raw Data'!G82))</f>
        <v>99.19</v>
      </c>
      <c r="H82">
        <f>'Raw Data'!H82</f>
        <v>6</v>
      </c>
      <c r="I82" s="6">
        <f t="shared" si="3"/>
        <v>29.757000000000062</v>
      </c>
      <c r="J82" s="6">
        <f>'Raw Data'!J82</f>
        <v>624.89700000000005</v>
      </c>
      <c r="K82" s="1">
        <f>VALUE(IFERROR(VALUE('Raw Data'!K82),CONCATENATE(MID('Raw Data'!K82,3,2),".","0",LEFT('Raw Data'!K82,1),".", RIGHT('Raw Data'!K82,4))))</f>
        <v>43486</v>
      </c>
      <c r="L82" s="2">
        <f>'Raw Data'!L82</f>
        <v>0.61249999999999993</v>
      </c>
      <c r="M82" t="s">
        <v>33</v>
      </c>
      <c r="N82">
        <f>VALUE(IF(AND(ISERR(FIND(".",'Raw Data'!N82)),LEN('Raw Data'!N82)=5), IF(YEAR('Raw Data'!N82)=2026,CONCATENATE(DAY('Raw Data'!N82),".",IF(LEN(MONTH('Raw Data'!N82))=2,MONTH('Raw Data'!N82),CONCATENATE("0",MONTH('Raw Data'!N82)))),CONCATENATE(MONTH('Raw Data'!N82),".",RIGHT(YEAR('Raw Data'!N82),2))),'Raw Data'!N82))</f>
        <v>595.14</v>
      </c>
      <c r="O82" s="6">
        <f t="shared" si="4"/>
        <v>4.7619047619047716</v>
      </c>
      <c r="P82" s="6">
        <f t="shared" si="5"/>
        <v>29.757000000000062</v>
      </c>
      <c r="Q82">
        <f>VALUE(IF(AND(ISERR(FIND(".",'Raw Data'!Q82)),LEN('Raw Data'!Q82)=5), IF(YEAR('Raw Data'!Q82)=2026,CONCATENATE(DAY('Raw Data'!Q82),".",IF(LEN(MONTH('Raw Data'!Q82))=2,MONTH('Raw Data'!Q82),CONCATENATE(MONTH('Raw Data'!Q82)))),CONCATENATE(MONTH('Raw Data'!Q82),".",RIGHT(YEAR('Raw Data'!Q82),2))),'Raw Data'!Q82))</f>
        <v>5.5</v>
      </c>
    </row>
    <row r="83" spans="1:17">
      <c r="A83" t="s">
        <v>144</v>
      </c>
      <c r="B83" t="s">
        <v>34</v>
      </c>
      <c r="C83" t="s">
        <v>35</v>
      </c>
      <c r="D83" t="s">
        <v>27</v>
      </c>
      <c r="E83" t="s">
        <v>21</v>
      </c>
      <c r="F83" t="s">
        <v>40</v>
      </c>
      <c r="G83">
        <f>VALUE(IF(AND(ISERR(FIND(".",'Raw Data'!G83)),LEN('Raw Data'!G83)=5), IF(YEAR('Raw Data'!G83)=2026,CONCATENATE(DAY('Raw Data'!G83),".",IF(LEN(MONTH('Raw Data'!G83))=2,MONTH('Raw Data'!G83),CONCATENATE("0",MONTH('Raw Data'!G83)))),CONCATENATE(MONTH('Raw Data'!G83),".",RIGHT(YEAR('Raw Data'!G83),2))),'Raw Data'!G83))</f>
        <v>96.68</v>
      </c>
      <c r="H83">
        <f>'Raw Data'!H83</f>
        <v>3</v>
      </c>
      <c r="I83" s="6">
        <f t="shared" si="3"/>
        <v>14.501999999999953</v>
      </c>
      <c r="J83" s="6">
        <f>'Raw Data'!J83</f>
        <v>304.54199999999997</v>
      </c>
      <c r="K83" s="1">
        <f>VALUE(IFERROR(VALUE('Raw Data'!K83),CONCATENATE(MID('Raw Data'!K83,3,2),".","0",LEFT('Raw Data'!K83,1),".", RIGHT('Raw Data'!K83,4))))</f>
        <v>43491</v>
      </c>
      <c r="L83" s="2">
        <f>'Raw Data'!L83</f>
        <v>0.8305555555555556</v>
      </c>
      <c r="M83" t="s">
        <v>23</v>
      </c>
      <c r="N83">
        <f>VALUE(IF(AND(ISERR(FIND(".",'Raw Data'!N83)),LEN('Raw Data'!N83)=5), IF(YEAR('Raw Data'!N83)=2026,CONCATENATE(DAY('Raw Data'!N83),".",IF(LEN(MONTH('Raw Data'!N83))=2,MONTH('Raw Data'!N83),CONCATENATE("0",MONTH('Raw Data'!N83)))),CONCATENATE(MONTH('Raw Data'!N83),".",RIGHT(YEAR('Raw Data'!N83),2))),'Raw Data'!N83))</f>
        <v>290.04000000000002</v>
      </c>
      <c r="O83" s="6">
        <f t="shared" si="4"/>
        <v>4.7619047619047468</v>
      </c>
      <c r="P83" s="6">
        <f t="shared" si="5"/>
        <v>14.501999999999953</v>
      </c>
      <c r="Q83">
        <f>VALUE(IF(AND(ISERR(FIND(".",'Raw Data'!Q83)),LEN('Raw Data'!Q83)=5), IF(YEAR('Raw Data'!Q83)=2026,CONCATENATE(DAY('Raw Data'!Q83),".",IF(LEN(MONTH('Raw Data'!Q83))=2,MONTH('Raw Data'!Q83),CONCATENATE(MONTH('Raw Data'!Q83)))),CONCATENATE(MONTH('Raw Data'!Q83),".",RIGHT(YEAR('Raw Data'!Q83),2))),'Raw Data'!Q83))</f>
        <v>6.4</v>
      </c>
    </row>
    <row r="84" spans="1:17">
      <c r="A84" t="s">
        <v>146</v>
      </c>
      <c r="B84" t="s">
        <v>25</v>
      </c>
      <c r="C84" t="s">
        <v>26</v>
      </c>
      <c r="D84" t="s">
        <v>27</v>
      </c>
      <c r="E84" t="s">
        <v>30</v>
      </c>
      <c r="F84" t="s">
        <v>40</v>
      </c>
      <c r="G84">
        <f>VALUE(IF(AND(ISERR(FIND(".",'Raw Data'!G84)),LEN('Raw Data'!G84)=5), IF(YEAR('Raw Data'!G84)=2026,CONCATENATE(DAY('Raw Data'!G84),".",IF(LEN(MONTH('Raw Data'!G84))=2,MONTH('Raw Data'!G84),CONCATENATE("0",MONTH('Raw Data'!G84)))),CONCATENATE(MONTH('Raw Data'!G84),".",RIGHT(YEAR('Raw Data'!G84),2))),'Raw Data'!G84))</f>
        <v>19.25</v>
      </c>
      <c r="H84">
        <f>'Raw Data'!H84</f>
        <v>8</v>
      </c>
      <c r="I84" s="6">
        <f t="shared" si="3"/>
        <v>7.6999999999999886</v>
      </c>
      <c r="J84" s="6">
        <f>'Raw Data'!J84</f>
        <v>161.69999999999999</v>
      </c>
      <c r="K84" s="1">
        <f>VALUE(IFERROR(VALUE('Raw Data'!K84),CONCATENATE(MID('Raw Data'!K84,3,2),".","0",LEFT('Raw Data'!K84,1),".", RIGHT('Raw Data'!K84,4))))</f>
        <v>43488</v>
      </c>
      <c r="L84" s="2">
        <f>'Raw Data'!L84</f>
        <v>0.77569444444444446</v>
      </c>
      <c r="M84" t="s">
        <v>23</v>
      </c>
      <c r="N84">
        <f>VALUE(IF(AND(ISERR(FIND(".",'Raw Data'!N84)),LEN('Raw Data'!N84)=5), IF(YEAR('Raw Data'!N84)=2026,CONCATENATE(DAY('Raw Data'!N84),".",IF(LEN(MONTH('Raw Data'!N84))=2,MONTH('Raw Data'!N84),CONCATENATE("0",MONTH('Raw Data'!N84)))),CONCATENATE(MONTH('Raw Data'!N84),".",RIGHT(YEAR('Raw Data'!N84),2))),'Raw Data'!N84))</f>
        <v>154</v>
      </c>
      <c r="O84" s="6">
        <f t="shared" si="4"/>
        <v>4.7619047619047556</v>
      </c>
      <c r="P84" s="6">
        <f t="shared" si="5"/>
        <v>7.6999999999999886</v>
      </c>
      <c r="Q84">
        <f>VALUE(IF(AND(ISERR(FIND(".",'Raw Data'!Q84)),LEN('Raw Data'!Q84)=5), IF(YEAR('Raw Data'!Q84)=2026,CONCATENATE(DAY('Raw Data'!Q84),".",IF(LEN(MONTH('Raw Data'!Q84))=2,MONTH('Raw Data'!Q84),CONCATENATE(MONTH('Raw Data'!Q84)))),CONCATENATE(MONTH('Raw Data'!Q84),".",RIGHT(YEAR('Raw Data'!Q84),2))),'Raw Data'!Q84))</f>
        <v>6.6</v>
      </c>
    </row>
    <row r="85" spans="1:17">
      <c r="A85" t="s">
        <v>148</v>
      </c>
      <c r="B85" t="s">
        <v>25</v>
      </c>
      <c r="C85" t="s">
        <v>26</v>
      </c>
      <c r="D85" t="s">
        <v>20</v>
      </c>
      <c r="E85" t="s">
        <v>21</v>
      </c>
      <c r="F85" t="s">
        <v>40</v>
      </c>
      <c r="G85">
        <f>VALUE(IF(AND(ISERR(FIND(".",'Raw Data'!G85)),LEN('Raw Data'!G85)=5), IF(YEAR('Raw Data'!G85)=2026,CONCATENATE(DAY('Raw Data'!G85),".",IF(LEN(MONTH('Raw Data'!G85))=2,MONTH('Raw Data'!G85),CONCATENATE("0",MONTH('Raw Data'!G85)))),CONCATENATE(MONTH('Raw Data'!G85),".",RIGHT(YEAR('Raw Data'!G85),2))),'Raw Data'!G85))</f>
        <v>80.36</v>
      </c>
      <c r="H85">
        <f>'Raw Data'!H85</f>
        <v>4</v>
      </c>
      <c r="I85" s="6">
        <f t="shared" si="3"/>
        <v>16.072000000000003</v>
      </c>
      <c r="J85" s="6">
        <f>'Raw Data'!J85</f>
        <v>337.512</v>
      </c>
      <c r="K85" s="1">
        <f>VALUE(IFERROR(VALUE('Raw Data'!K85),CONCATENATE(MID('Raw Data'!K85,3,2),".","0",LEFT('Raw Data'!K85,1),".", RIGHT('Raw Data'!K85,4))))</f>
        <v>43519</v>
      </c>
      <c r="L85" s="2">
        <f>'Raw Data'!L85</f>
        <v>0.78125</v>
      </c>
      <c r="M85" t="s">
        <v>33</v>
      </c>
      <c r="N85">
        <f>VALUE(IF(AND(ISERR(FIND(".",'Raw Data'!N85)),LEN('Raw Data'!N85)=5), IF(YEAR('Raw Data'!N85)=2026,CONCATENATE(DAY('Raw Data'!N85),".",IF(LEN(MONTH('Raw Data'!N85))=2,MONTH('Raw Data'!N85),CONCATENATE("0",MONTH('Raw Data'!N85)))),CONCATENATE(MONTH('Raw Data'!N85),".",RIGHT(YEAR('Raw Data'!N85),2))),'Raw Data'!N85))</f>
        <v>321.44</v>
      </c>
      <c r="O85" s="6">
        <f t="shared" si="4"/>
        <v>4.7619047619047628</v>
      </c>
      <c r="P85" s="6">
        <f t="shared" si="5"/>
        <v>16.072000000000003</v>
      </c>
      <c r="Q85">
        <f>VALUE(IF(AND(ISERR(FIND(".",'Raw Data'!Q85)),LEN('Raw Data'!Q85)=5), IF(YEAR('Raw Data'!Q85)=2026,CONCATENATE(DAY('Raw Data'!Q85),".",IF(LEN(MONTH('Raw Data'!Q85))=2,MONTH('Raw Data'!Q85),CONCATENATE(MONTH('Raw Data'!Q85)))),CONCATENATE(MONTH('Raw Data'!Q85),".",RIGHT(YEAR('Raw Data'!Q85),2))),'Raw Data'!Q85))</f>
        <v>8.3000000000000007</v>
      </c>
    </row>
    <row r="86" spans="1:17">
      <c r="A86" t="s">
        <v>150</v>
      </c>
      <c r="B86" t="s">
        <v>25</v>
      </c>
      <c r="C86" t="s">
        <v>26</v>
      </c>
      <c r="D86" t="s">
        <v>20</v>
      </c>
      <c r="E86" t="s">
        <v>30</v>
      </c>
      <c r="F86" t="s">
        <v>38</v>
      </c>
      <c r="G86">
        <f>VALUE(IF(AND(ISERR(FIND(".",'Raw Data'!G86)),LEN('Raw Data'!G86)=5), IF(YEAR('Raw Data'!G86)=2026,CONCATENATE(DAY('Raw Data'!G86),".",IF(LEN(MONTH('Raw Data'!G86))=2,MONTH('Raw Data'!G86),CONCATENATE("0",MONTH('Raw Data'!G86)))),CONCATENATE(MONTH('Raw Data'!G86),".",RIGHT(YEAR('Raw Data'!G86),2))),'Raw Data'!G86))</f>
        <v>48.91</v>
      </c>
      <c r="H86">
        <f>'Raw Data'!H86</f>
        <v>5</v>
      </c>
      <c r="I86" s="6">
        <f t="shared" si="3"/>
        <v>12.227499999999992</v>
      </c>
      <c r="J86" s="6">
        <f>'Raw Data'!J86</f>
        <v>256.77749999999997</v>
      </c>
      <c r="K86" s="1">
        <f>VALUE(IFERROR(VALUE('Raw Data'!K86),CONCATENATE(MID('Raw Data'!K86,3,2),".","0",LEFT('Raw Data'!K86,1),".", RIGHT('Raw Data'!K86,4))))</f>
        <v>43711</v>
      </c>
      <c r="L86" s="2">
        <f>'Raw Data'!L86</f>
        <v>0.4284722222222222</v>
      </c>
      <c r="M86" t="s">
        <v>29</v>
      </c>
      <c r="N86">
        <f>VALUE(IF(AND(ISERR(FIND(".",'Raw Data'!N86)),LEN('Raw Data'!N86)=5), IF(YEAR('Raw Data'!N86)=2026,CONCATENATE(DAY('Raw Data'!N86),".",IF(LEN(MONTH('Raw Data'!N86))=2,MONTH('Raw Data'!N86),CONCATENATE("0",MONTH('Raw Data'!N86)))),CONCATENATE(MONTH('Raw Data'!N86),".",RIGHT(YEAR('Raw Data'!N86),2))),'Raw Data'!N86))</f>
        <v>244.55</v>
      </c>
      <c r="O86" s="6">
        <f t="shared" si="4"/>
        <v>4.7619047619047485</v>
      </c>
      <c r="P86" s="6">
        <f t="shared" si="5"/>
        <v>12.227499999999964</v>
      </c>
      <c r="Q86">
        <f>VALUE(IF(AND(ISERR(FIND(".",'Raw Data'!Q86)),LEN('Raw Data'!Q86)=5), IF(YEAR('Raw Data'!Q86)=2026,CONCATENATE(DAY('Raw Data'!Q86),".",IF(LEN(MONTH('Raw Data'!Q86))=2,MONTH('Raw Data'!Q86),CONCATENATE(MONTH('Raw Data'!Q86)))),CONCATENATE(MONTH('Raw Data'!Q86),".",RIGHT(YEAR('Raw Data'!Q86),2))),'Raw Data'!Q86))</f>
        <v>6.6</v>
      </c>
    </row>
    <row r="87" spans="1:17">
      <c r="A87" t="s">
        <v>151</v>
      </c>
      <c r="B87" t="s">
        <v>25</v>
      </c>
      <c r="C87" t="s">
        <v>26</v>
      </c>
      <c r="D87" t="s">
        <v>27</v>
      </c>
      <c r="E87" t="s">
        <v>21</v>
      </c>
      <c r="F87" t="s">
        <v>38</v>
      </c>
      <c r="G87">
        <f>VALUE(IF(AND(ISERR(FIND(".",'Raw Data'!G87)),LEN('Raw Data'!G87)=5), IF(YEAR('Raw Data'!G87)=2026,CONCATENATE(DAY('Raw Data'!G87),".",IF(LEN(MONTH('Raw Data'!G87))=2,MONTH('Raw Data'!G87),CONCATENATE("0",MONTH('Raw Data'!G87)))),CONCATENATE(MONTH('Raw Data'!G87),".",RIGHT(YEAR('Raw Data'!G87),2))),'Raw Data'!G87))</f>
        <v>83.06</v>
      </c>
      <c r="H87">
        <f>'Raw Data'!H87</f>
        <v>7</v>
      </c>
      <c r="I87" s="6">
        <f t="shared" si="3"/>
        <v>29.070999999999913</v>
      </c>
      <c r="J87" s="6">
        <f>'Raw Data'!J87</f>
        <v>610.49099999999999</v>
      </c>
      <c r="K87" s="1">
        <f>VALUE(IFERROR(VALUE('Raw Data'!K87),CONCATENATE(MID('Raw Data'!K87,3,2),".","0",LEFT('Raw Data'!K87,1),".", RIGHT('Raw Data'!K87,4))))</f>
        <v>43588</v>
      </c>
      <c r="L87" s="2">
        <f>'Raw Data'!L87</f>
        <v>0.60486111111111118</v>
      </c>
      <c r="M87" t="s">
        <v>23</v>
      </c>
      <c r="N87">
        <f>VALUE(IF(AND(ISERR(FIND(".",'Raw Data'!N87)),LEN('Raw Data'!N87)=5), IF(YEAR('Raw Data'!N87)=2026,CONCATENATE(DAY('Raw Data'!N87),".",IF(LEN(MONTH('Raw Data'!N87))=2,MONTH('Raw Data'!N87),CONCATENATE("0",MONTH('Raw Data'!N87)))),CONCATENATE(MONTH('Raw Data'!N87),".",RIGHT(YEAR('Raw Data'!N87),2))),'Raw Data'!N87))</f>
        <v>581.41999999999996</v>
      </c>
      <c r="O87" s="6">
        <f t="shared" si="4"/>
        <v>4.7619047619047663</v>
      </c>
      <c r="P87" s="6">
        <f t="shared" si="5"/>
        <v>29.071000000000026</v>
      </c>
      <c r="Q87">
        <f>VALUE(IF(AND(ISERR(FIND(".",'Raw Data'!Q87)),LEN('Raw Data'!Q87)=5), IF(YEAR('Raw Data'!Q87)=2026,CONCATENATE(DAY('Raw Data'!Q87),".",IF(LEN(MONTH('Raw Data'!Q87))=2,MONTH('Raw Data'!Q87),CONCATENATE(MONTH('Raw Data'!Q87)))),CONCATENATE(MONTH('Raw Data'!Q87),".",RIGHT(YEAR('Raw Data'!Q87),2))),'Raw Data'!Q87))</f>
        <v>4</v>
      </c>
    </row>
    <row r="88" spans="1:17">
      <c r="A88" t="s">
        <v>152</v>
      </c>
      <c r="B88" t="s">
        <v>25</v>
      </c>
      <c r="C88" t="s">
        <v>26</v>
      </c>
      <c r="D88" t="s">
        <v>27</v>
      </c>
      <c r="E88" t="s">
        <v>30</v>
      </c>
      <c r="F88" t="s">
        <v>43</v>
      </c>
      <c r="G88">
        <f>VALUE(IF(AND(ISERR(FIND(".",'Raw Data'!G88)),LEN('Raw Data'!G88)=5), IF(YEAR('Raw Data'!G88)=2026,CONCATENATE(DAY('Raw Data'!G88),".",IF(LEN(MONTH('Raw Data'!G88))=2,MONTH('Raw Data'!G88),CONCATENATE("0",MONTH('Raw Data'!G88)))),CONCATENATE(MONTH('Raw Data'!G88),".",RIGHT(YEAR('Raw Data'!G88),2))),'Raw Data'!G88))</f>
        <v>76.52</v>
      </c>
      <c r="H88">
        <f>'Raw Data'!H88</f>
        <v>5</v>
      </c>
      <c r="I88" s="6">
        <f t="shared" si="3"/>
        <v>19.130000000000052</v>
      </c>
      <c r="J88" s="6">
        <f>'Raw Data'!J88</f>
        <v>401.73</v>
      </c>
      <c r="K88" s="1">
        <f>VALUE(IFERROR(VALUE('Raw Data'!K88),CONCATENATE(MID('Raw Data'!K88,3,2),".","0",LEFT('Raw Data'!K88,1),".", RIGHT('Raw Data'!K88,4))))</f>
        <v>43549</v>
      </c>
      <c r="L88" s="2">
        <f>'Raw Data'!L88</f>
        <v>0.43263888888888885</v>
      </c>
      <c r="M88" t="s">
        <v>29</v>
      </c>
      <c r="N88">
        <f>VALUE(IF(AND(ISERR(FIND(".",'Raw Data'!N88)),LEN('Raw Data'!N88)=5), IF(YEAR('Raw Data'!N88)=2026,CONCATENATE(DAY('Raw Data'!N88),".",IF(LEN(MONTH('Raw Data'!N88))=2,MONTH('Raw Data'!N88),CONCATENATE("0",MONTH('Raw Data'!N88)))),CONCATENATE(MONTH('Raw Data'!N88),".",RIGHT(YEAR('Raw Data'!N88),2))),'Raw Data'!N88))</f>
        <v>382.6</v>
      </c>
      <c r="O88" s="6">
        <f t="shared" si="4"/>
        <v>4.7619047619047601</v>
      </c>
      <c r="P88" s="6">
        <f t="shared" si="5"/>
        <v>19.129999999999995</v>
      </c>
      <c r="Q88">
        <f>VALUE(IF(AND(ISERR(FIND(".",'Raw Data'!Q88)),LEN('Raw Data'!Q88)=5), IF(YEAR('Raw Data'!Q88)=2026,CONCATENATE(DAY('Raw Data'!Q88),".",IF(LEN(MONTH('Raw Data'!Q88))=2,MONTH('Raw Data'!Q88),CONCATENATE(MONTH('Raw Data'!Q88)))),CONCATENATE(MONTH('Raw Data'!Q88),".",RIGHT(YEAR('Raw Data'!Q88),2))),'Raw Data'!Q88))</f>
        <v>9.9</v>
      </c>
    </row>
    <row r="89" spans="1:17">
      <c r="A89" t="s">
        <v>153</v>
      </c>
      <c r="B89" t="s">
        <v>18</v>
      </c>
      <c r="C89" t="s">
        <v>19</v>
      </c>
      <c r="D89" t="s">
        <v>20</v>
      </c>
      <c r="E89" t="s">
        <v>30</v>
      </c>
      <c r="F89" t="s">
        <v>40</v>
      </c>
      <c r="G89">
        <f>VALUE(IF(AND(ISERR(FIND(".",'Raw Data'!G89)),LEN('Raw Data'!G89)=5), IF(YEAR('Raw Data'!G89)=2026,CONCATENATE(DAY('Raw Data'!G89),".",IF(LEN(MONTH('Raw Data'!G89))=2,MONTH('Raw Data'!G89),CONCATENATE("0",MONTH('Raw Data'!G89)))),CONCATENATE(MONTH('Raw Data'!G89),".",RIGHT(YEAR('Raw Data'!G89),2))),'Raw Data'!G89))</f>
        <v>49.38</v>
      </c>
      <c r="H89">
        <f>'Raw Data'!H89</f>
        <v>7</v>
      </c>
      <c r="I89" s="6">
        <f t="shared" si="3"/>
        <v>17.282999999999959</v>
      </c>
      <c r="J89" s="6">
        <f>'Raw Data'!J89</f>
        <v>362.94299999999998</v>
      </c>
      <c r="K89" s="1">
        <f>VALUE(IFERROR(VALUE('Raw Data'!K89),CONCATENATE(MID('Raw Data'!K89,3,2),".","0",LEFT('Raw Data'!K89,1),".", RIGHT('Raw Data'!K89,4))))</f>
        <v>43551</v>
      </c>
      <c r="L89" s="2">
        <f>'Raw Data'!L89</f>
        <v>0.85763888888888884</v>
      </c>
      <c r="M89" t="s">
        <v>33</v>
      </c>
      <c r="N89">
        <f>VALUE(IF(AND(ISERR(FIND(".",'Raw Data'!N89)),LEN('Raw Data'!N89)=5), IF(YEAR('Raw Data'!N89)=2026,CONCATENATE(DAY('Raw Data'!N89),".",IF(LEN(MONTH('Raw Data'!N89))=2,MONTH('Raw Data'!N89),CONCATENATE("0",MONTH('Raw Data'!N89)))),CONCATENATE(MONTH('Raw Data'!N89),".",RIGHT(YEAR('Raw Data'!N89),2))),'Raw Data'!N89))</f>
        <v>345.66</v>
      </c>
      <c r="O89" s="6">
        <f t="shared" si="4"/>
        <v>4.7619047619047503</v>
      </c>
      <c r="P89" s="6">
        <f t="shared" si="5"/>
        <v>17.282999999999959</v>
      </c>
      <c r="Q89">
        <f>VALUE(IF(AND(ISERR(FIND(".",'Raw Data'!Q89)),LEN('Raw Data'!Q89)=5), IF(YEAR('Raw Data'!Q89)=2026,CONCATENATE(DAY('Raw Data'!Q89),".",IF(LEN(MONTH('Raw Data'!Q89))=2,MONTH('Raw Data'!Q89),CONCATENATE(MONTH('Raw Data'!Q89)))),CONCATENATE(MONTH('Raw Data'!Q89),".",RIGHT(YEAR('Raw Data'!Q89),2))),'Raw Data'!Q89))</f>
        <v>7.3</v>
      </c>
    </row>
    <row r="90" spans="1:17">
      <c r="A90" t="s">
        <v>154</v>
      </c>
      <c r="B90" t="s">
        <v>18</v>
      </c>
      <c r="C90" t="s">
        <v>19</v>
      </c>
      <c r="D90" t="s">
        <v>27</v>
      </c>
      <c r="E90" t="s">
        <v>30</v>
      </c>
      <c r="F90" t="s">
        <v>38</v>
      </c>
      <c r="G90">
        <f>VALUE(IF(AND(ISERR(FIND(".",'Raw Data'!G90)),LEN('Raw Data'!G90)=5), IF(YEAR('Raw Data'!G90)=2026,CONCATENATE(DAY('Raw Data'!G90),".",IF(LEN(MONTH('Raw Data'!G90))=2,MONTH('Raw Data'!G90),CONCATENATE("0",MONTH('Raw Data'!G90)))),CONCATENATE(MONTH('Raw Data'!G90),".",RIGHT(YEAR('Raw Data'!G90),2))),'Raw Data'!G90))</f>
        <v>42.47</v>
      </c>
      <c r="H90">
        <f>'Raw Data'!H90</f>
        <v>1</v>
      </c>
      <c r="I90" s="6">
        <f t="shared" si="3"/>
        <v>2.1234999999999999</v>
      </c>
      <c r="J90" s="6">
        <f>'Raw Data'!J90</f>
        <v>44.593499999999999</v>
      </c>
      <c r="K90" s="1">
        <f>VALUE(IFERROR(VALUE('Raw Data'!K90),CONCATENATE(MID('Raw Data'!K90,3,2),".","0",LEFT('Raw Data'!K90,1),".", RIGHT('Raw Data'!K90,4))))</f>
        <v>43497</v>
      </c>
      <c r="L90" s="2">
        <f>'Raw Data'!L90</f>
        <v>0.70624999999999993</v>
      </c>
      <c r="M90" t="s">
        <v>29</v>
      </c>
      <c r="N90">
        <f>VALUE(IF(AND(ISERR(FIND(".",'Raw Data'!N90)),LEN('Raw Data'!N90)=5), IF(YEAR('Raw Data'!N90)=2026,CONCATENATE(DAY('Raw Data'!N90),".",IF(LEN(MONTH('Raw Data'!N90))=2,MONTH('Raw Data'!N90),CONCATENATE("0",MONTH('Raw Data'!N90)))),CONCATENATE(MONTH('Raw Data'!N90),".",RIGHT(YEAR('Raw Data'!N90),2))),'Raw Data'!N90))</f>
        <v>42.47</v>
      </c>
      <c r="O90" s="6">
        <f t="shared" si="4"/>
        <v>4.7619047619047619</v>
      </c>
      <c r="P90" s="6">
        <f t="shared" si="5"/>
        <v>2.1234999999999999</v>
      </c>
      <c r="Q90">
        <f>VALUE(IF(AND(ISERR(FIND(".",'Raw Data'!Q90)),LEN('Raw Data'!Q90)=5), IF(YEAR('Raw Data'!Q90)=2026,CONCATENATE(DAY('Raw Data'!Q90),".",IF(LEN(MONTH('Raw Data'!Q90))=2,MONTH('Raw Data'!Q90),CONCATENATE(MONTH('Raw Data'!Q90)))),CONCATENATE(MONTH('Raw Data'!Q90),".",RIGHT(YEAR('Raw Data'!Q90),2))),'Raw Data'!Q90))</f>
        <v>5.7</v>
      </c>
    </row>
    <row r="91" spans="1:17">
      <c r="A91" t="s">
        <v>155</v>
      </c>
      <c r="B91" t="s">
        <v>34</v>
      </c>
      <c r="C91" t="s">
        <v>35</v>
      </c>
      <c r="D91" t="s">
        <v>27</v>
      </c>
      <c r="E91" t="s">
        <v>21</v>
      </c>
      <c r="F91" t="s">
        <v>22</v>
      </c>
      <c r="G91">
        <f>VALUE(IF(AND(ISERR(FIND(".",'Raw Data'!G91)),LEN('Raw Data'!G91)=5), IF(YEAR('Raw Data'!G91)=2026,CONCATENATE(DAY('Raw Data'!G91),".",IF(LEN(MONTH('Raw Data'!G91))=2,MONTH('Raw Data'!G91),CONCATENATE("0",MONTH('Raw Data'!G91)))),CONCATENATE(MONTH('Raw Data'!G91),".",RIGHT(YEAR('Raw Data'!G91),2))),'Raw Data'!G91))</f>
        <v>76.989999999999995</v>
      </c>
      <c r="H91">
        <f>'Raw Data'!H91</f>
        <v>6</v>
      </c>
      <c r="I91" s="6">
        <f t="shared" si="3"/>
        <v>23.097000000000037</v>
      </c>
      <c r="J91" s="6">
        <f>'Raw Data'!J91</f>
        <v>485.03699999999998</v>
      </c>
      <c r="K91" s="1">
        <f>VALUE(IFERROR(VALUE('Raw Data'!K91),CONCATENATE(MID('Raw Data'!K91,3,2),".","0",LEFT('Raw Data'!K91,1),".", RIGHT('Raw Data'!K91,4))))</f>
        <v>43523</v>
      </c>
      <c r="L91" s="2">
        <f>'Raw Data'!L91</f>
        <v>0.74652777777777779</v>
      </c>
      <c r="M91" t="s">
        <v>29</v>
      </c>
      <c r="N91">
        <f>VALUE(IF(AND(ISERR(FIND(".",'Raw Data'!N91)),LEN('Raw Data'!N91)=5), IF(YEAR('Raw Data'!N91)=2026,CONCATENATE(DAY('Raw Data'!N91),".",IF(LEN(MONTH('Raw Data'!N91))=2,MONTH('Raw Data'!N91),CONCATENATE("0",MONTH('Raw Data'!N91)))),CONCATENATE(MONTH('Raw Data'!N91),".",RIGHT(YEAR('Raw Data'!N91),2))),'Raw Data'!N91))</f>
        <v>461.94</v>
      </c>
      <c r="O91" s="6">
        <f t="shared" si="4"/>
        <v>4.7619047619047583</v>
      </c>
      <c r="P91" s="6">
        <f t="shared" si="5"/>
        <v>23.09699999999998</v>
      </c>
      <c r="Q91">
        <f>VALUE(IF(AND(ISERR(FIND(".",'Raw Data'!Q91)),LEN('Raw Data'!Q91)=5), IF(YEAR('Raw Data'!Q91)=2026,CONCATENATE(DAY('Raw Data'!Q91),".",IF(LEN(MONTH('Raw Data'!Q91))=2,MONTH('Raw Data'!Q91),CONCATENATE(MONTH('Raw Data'!Q91)))),CONCATENATE(MONTH('Raw Data'!Q91),".",RIGHT(YEAR('Raw Data'!Q91),2))),'Raw Data'!Q91))</f>
        <v>6.1</v>
      </c>
    </row>
    <row r="92" spans="1:17">
      <c r="A92" t="s">
        <v>156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f>VALUE(IF(AND(ISERR(FIND(".",'Raw Data'!G92)),LEN('Raw Data'!G92)=5), IF(YEAR('Raw Data'!G92)=2026,CONCATENATE(DAY('Raw Data'!G92),".",IF(LEN(MONTH('Raw Data'!G92))=2,MONTH('Raw Data'!G92),CONCATENATE("0",MONTH('Raw Data'!G92)))),CONCATENATE(MONTH('Raw Data'!G92),".",RIGHT(YEAR('Raw Data'!G92),2))),'Raw Data'!G92))</f>
        <v>47.38</v>
      </c>
      <c r="H92">
        <f>'Raw Data'!H92</f>
        <v>4</v>
      </c>
      <c r="I92" s="6">
        <f t="shared" si="3"/>
        <v>9.4759999999999991</v>
      </c>
      <c r="J92" s="6">
        <f>'Raw Data'!J92</f>
        <v>198.99600000000001</v>
      </c>
      <c r="K92" s="1">
        <f>VALUE(IFERROR(VALUE('Raw Data'!K92),CONCATENATE(MID('Raw Data'!K92,3,2),".","0",LEFT('Raw Data'!K92,1),".", RIGHT('Raw Data'!K92,4))))</f>
        <v>43488</v>
      </c>
      <c r="L92" s="2">
        <f>'Raw Data'!L92</f>
        <v>0.43402777777777773</v>
      </c>
      <c r="M92" t="s">
        <v>29</v>
      </c>
      <c r="N92">
        <f>VALUE(IF(AND(ISERR(FIND(".",'Raw Data'!N92)),LEN('Raw Data'!N92)=5), IF(YEAR('Raw Data'!N92)=2026,CONCATENATE(DAY('Raw Data'!N92),".",IF(LEN(MONTH('Raw Data'!N92))=2,MONTH('Raw Data'!N92),CONCATENATE("0",MONTH('Raw Data'!N92)))),CONCATENATE(MONTH('Raw Data'!N92),".",RIGHT(YEAR('Raw Data'!N92),2))),'Raw Data'!N92))</f>
        <v>189.52</v>
      </c>
      <c r="O92" s="6">
        <f t="shared" si="4"/>
        <v>4.761904761904761</v>
      </c>
      <c r="P92" s="6">
        <f t="shared" si="5"/>
        <v>9.4759999999999991</v>
      </c>
      <c r="Q92">
        <f>VALUE(IF(AND(ISERR(FIND(".",'Raw Data'!Q92)),LEN('Raw Data'!Q92)=5), IF(YEAR('Raw Data'!Q92)=2026,CONCATENATE(DAY('Raw Data'!Q92),".",IF(LEN(MONTH('Raw Data'!Q92))=2,MONTH('Raw Data'!Q92),CONCATENATE(MONTH('Raw Data'!Q92)))),CONCATENATE(MONTH('Raw Data'!Q92),".",RIGHT(YEAR('Raw Data'!Q92),2))),'Raw Data'!Q92))</f>
        <v>7.1</v>
      </c>
    </row>
    <row r="93" spans="1:17">
      <c r="A93" t="s">
        <v>157</v>
      </c>
      <c r="B93" t="s">
        <v>25</v>
      </c>
      <c r="C93" t="s">
        <v>26</v>
      </c>
      <c r="D93" t="s">
        <v>27</v>
      </c>
      <c r="E93" t="s">
        <v>21</v>
      </c>
      <c r="F93" t="s">
        <v>38</v>
      </c>
      <c r="G93">
        <f>VALUE(IF(AND(ISERR(FIND(".",'Raw Data'!G93)),LEN('Raw Data'!G93)=5), IF(YEAR('Raw Data'!G93)=2026,CONCATENATE(DAY('Raw Data'!G93),".",IF(LEN(MONTH('Raw Data'!G93))=2,MONTH('Raw Data'!G93),CONCATENATE("0",MONTH('Raw Data'!G93)))),CONCATENATE(MONTH('Raw Data'!G93),".",RIGHT(YEAR('Raw Data'!G93),2))),'Raw Data'!G93))</f>
        <v>44.86</v>
      </c>
      <c r="H93">
        <f>'Raw Data'!H93</f>
        <v>10</v>
      </c>
      <c r="I93" s="6">
        <f t="shared" si="3"/>
        <v>22.42999999999995</v>
      </c>
      <c r="J93" s="6">
        <f>'Raw Data'!J93</f>
        <v>471.03</v>
      </c>
      <c r="K93" s="1">
        <f>VALUE(IFERROR(VALUE('Raw Data'!K93),CONCATENATE(MID('Raw Data'!K93,3,2),".","0",LEFT('Raw Data'!K93,1),".", RIGHT('Raw Data'!K93,4))))</f>
        <v>43491</v>
      </c>
      <c r="L93" s="2">
        <f>'Raw Data'!L93</f>
        <v>0.82916666666666661</v>
      </c>
      <c r="M93" t="s">
        <v>23</v>
      </c>
      <c r="N93">
        <f>VALUE(IF(AND(ISERR(FIND(".",'Raw Data'!N93)),LEN('Raw Data'!N93)=5), IF(YEAR('Raw Data'!N93)=2026,CONCATENATE(DAY('Raw Data'!N93),".",IF(LEN(MONTH('Raw Data'!N93))=2,MONTH('Raw Data'!N93),CONCATENATE("0",MONTH('Raw Data'!N93)))),CONCATENATE(MONTH('Raw Data'!N93),".",RIGHT(YEAR('Raw Data'!N93),2))),'Raw Data'!N93))</f>
        <v>448.6</v>
      </c>
      <c r="O93" s="6">
        <f t="shared" si="4"/>
        <v>4.7619047619047512</v>
      </c>
      <c r="P93" s="6">
        <f t="shared" si="5"/>
        <v>22.42999999999995</v>
      </c>
      <c r="Q93">
        <f>VALUE(IF(AND(ISERR(FIND(".",'Raw Data'!Q93)),LEN('Raw Data'!Q93)=5), IF(YEAR('Raw Data'!Q93)=2026,CONCATENATE(DAY('Raw Data'!Q93),".",IF(LEN(MONTH('Raw Data'!Q93))=2,MONTH('Raw Data'!Q93),CONCATENATE(MONTH('Raw Data'!Q93)))),CONCATENATE(MONTH('Raw Data'!Q93),".",RIGHT(YEAR('Raw Data'!Q93),2))),'Raw Data'!Q93))</f>
        <v>8.1999999999999993</v>
      </c>
    </row>
    <row r="94" spans="1:17">
      <c r="A94" t="s">
        <v>158</v>
      </c>
      <c r="B94" t="s">
        <v>18</v>
      </c>
      <c r="C94" t="s">
        <v>19</v>
      </c>
      <c r="D94" t="s">
        <v>20</v>
      </c>
      <c r="E94" t="s">
        <v>21</v>
      </c>
      <c r="F94" t="s">
        <v>38</v>
      </c>
      <c r="G94">
        <f>VALUE(IF(AND(ISERR(FIND(".",'Raw Data'!G94)),LEN('Raw Data'!G94)=5), IF(YEAR('Raw Data'!G94)=2026,CONCATENATE(DAY('Raw Data'!G94),".",IF(LEN(MONTH('Raw Data'!G94))=2,MONTH('Raw Data'!G94),CONCATENATE("0",MONTH('Raw Data'!G94)))),CONCATENATE(MONTH('Raw Data'!G94),".",RIGHT(YEAR('Raw Data'!G94),2))),'Raw Data'!G94))</f>
        <v>21.98</v>
      </c>
      <c r="H94">
        <f>'Raw Data'!H94</f>
        <v>7</v>
      </c>
      <c r="I94" s="6">
        <f t="shared" si="3"/>
        <v>7.6929999999999836</v>
      </c>
      <c r="J94" s="6">
        <f>'Raw Data'!J94</f>
        <v>161.553</v>
      </c>
      <c r="K94" s="1">
        <f>VALUE(IFERROR(VALUE('Raw Data'!K94),CONCATENATE(MID('Raw Data'!K94,3,2),".","0",LEFT('Raw Data'!K94,1),".", RIGHT('Raw Data'!K94,4))))</f>
        <v>43739</v>
      </c>
      <c r="L94" s="2">
        <f>'Raw Data'!L94</f>
        <v>0.6958333333333333</v>
      </c>
      <c r="M94" t="s">
        <v>23</v>
      </c>
      <c r="N94">
        <f>VALUE(IF(AND(ISERR(FIND(".",'Raw Data'!N94)),LEN('Raw Data'!N94)=5), IF(YEAR('Raw Data'!N94)=2026,CONCATENATE(DAY('Raw Data'!N94),".",IF(LEN(MONTH('Raw Data'!N94))=2,MONTH('Raw Data'!N94),CONCATENATE("0",MONTH('Raw Data'!N94)))),CONCATENATE(MONTH('Raw Data'!N94),".",RIGHT(YEAR('Raw Data'!N94),2))),'Raw Data'!N94))</f>
        <v>153.86000000000001</v>
      </c>
      <c r="O94" s="6">
        <f t="shared" si="4"/>
        <v>4.7619047619047521</v>
      </c>
      <c r="P94" s="6">
        <f t="shared" si="5"/>
        <v>7.6929999999999836</v>
      </c>
      <c r="Q94">
        <f>VALUE(IF(AND(ISERR(FIND(".",'Raw Data'!Q94)),LEN('Raw Data'!Q94)=5), IF(YEAR('Raw Data'!Q94)=2026,CONCATENATE(DAY('Raw Data'!Q94),".",IF(LEN(MONTH('Raw Data'!Q94))=2,MONTH('Raw Data'!Q94),CONCATENATE(MONTH('Raw Data'!Q94)))),CONCATENATE(MONTH('Raw Data'!Q94),".",RIGHT(YEAR('Raw Data'!Q94),2))),'Raw Data'!Q94))</f>
        <v>5.0999999999999996</v>
      </c>
    </row>
    <row r="95" spans="1:17">
      <c r="A95" t="s">
        <v>159</v>
      </c>
      <c r="B95" t="s">
        <v>34</v>
      </c>
      <c r="C95" t="s">
        <v>35</v>
      </c>
      <c r="D95" t="s">
        <v>20</v>
      </c>
      <c r="E95" t="s">
        <v>30</v>
      </c>
      <c r="F95" t="s">
        <v>22</v>
      </c>
      <c r="G95">
        <f>VALUE(IF(AND(ISERR(FIND(".",'Raw Data'!G95)),LEN('Raw Data'!G95)=5), IF(YEAR('Raw Data'!G95)=2026,CONCATENATE(DAY('Raw Data'!G95),".",IF(LEN(MONTH('Raw Data'!G95))=2,MONTH('Raw Data'!G95),CONCATENATE("0",MONTH('Raw Data'!G95)))),CONCATENATE(MONTH('Raw Data'!G95),".",RIGHT(YEAR('Raw Data'!G95),2))),'Raw Data'!G95))</f>
        <v>64.36</v>
      </c>
      <c r="H95">
        <f>'Raw Data'!H95</f>
        <v>9</v>
      </c>
      <c r="I95" s="6">
        <f t="shared" si="3"/>
        <v>28.961999999999989</v>
      </c>
      <c r="J95" s="6">
        <f>'Raw Data'!J95</f>
        <v>608.202</v>
      </c>
      <c r="K95" s="1">
        <f>VALUE(IFERROR(VALUE('Raw Data'!K95),CONCATENATE(MID('Raw Data'!K95,3,2),".","0",LEFT('Raw Data'!K95,1),".", RIGHT('Raw Data'!K95,4))))</f>
        <v>43802</v>
      </c>
      <c r="L95" s="2">
        <f>'Raw Data'!L95</f>
        <v>0.50624999999999998</v>
      </c>
      <c r="M95" t="s">
        <v>33</v>
      </c>
      <c r="N95">
        <f>VALUE(IF(AND(ISERR(FIND(".",'Raw Data'!N95)),LEN('Raw Data'!N95)=5), IF(YEAR('Raw Data'!N95)=2026,CONCATENATE(DAY('Raw Data'!N95),".",IF(LEN(MONTH('Raw Data'!N95))=2,MONTH('Raw Data'!N95),CONCATENATE("0",MONTH('Raw Data'!N95)))),CONCATENATE(MONTH('Raw Data'!N95),".",RIGHT(YEAR('Raw Data'!N95),2))),'Raw Data'!N95))</f>
        <v>579.24</v>
      </c>
      <c r="O95" s="6">
        <f t="shared" si="4"/>
        <v>4.7619047619047601</v>
      </c>
      <c r="P95" s="6">
        <f t="shared" si="5"/>
        <v>28.961999999999989</v>
      </c>
      <c r="Q95">
        <f>VALUE(IF(AND(ISERR(FIND(".",'Raw Data'!Q95)),LEN('Raw Data'!Q95)=5), IF(YEAR('Raw Data'!Q95)=2026,CONCATENATE(DAY('Raw Data'!Q95),".",IF(LEN(MONTH('Raw Data'!Q95))=2,MONTH('Raw Data'!Q95),CONCATENATE(MONTH('Raw Data'!Q95)))),CONCATENATE(MONTH('Raw Data'!Q95),".",RIGHT(YEAR('Raw Data'!Q95),2))),'Raw Data'!Q95))</f>
        <v>8.6</v>
      </c>
    </row>
    <row r="96" spans="1:17">
      <c r="A96" t="s">
        <v>160</v>
      </c>
      <c r="B96" t="s">
        <v>25</v>
      </c>
      <c r="C96" t="s">
        <v>26</v>
      </c>
      <c r="D96" t="s">
        <v>27</v>
      </c>
      <c r="E96" t="s">
        <v>30</v>
      </c>
      <c r="F96" t="s">
        <v>22</v>
      </c>
      <c r="G96">
        <f>VALUE(IF(AND(ISERR(FIND(".",'Raw Data'!G96)),LEN('Raw Data'!G96)=5), IF(YEAR('Raw Data'!G96)=2026,CONCATENATE(DAY('Raw Data'!G96),".",IF(LEN(MONTH('Raw Data'!G96))=2,MONTH('Raw Data'!G96),CONCATENATE("0",MONTH('Raw Data'!G96)))),CONCATENATE(MONTH('Raw Data'!G96),".",RIGHT(YEAR('Raw Data'!G96),2))),'Raw Data'!G96))</f>
        <v>89.75</v>
      </c>
      <c r="H96">
        <f>'Raw Data'!H96</f>
        <v>1</v>
      </c>
      <c r="I96" s="6">
        <f t="shared" si="3"/>
        <v>4.4874999999999972</v>
      </c>
      <c r="J96" s="6">
        <f>'Raw Data'!J96</f>
        <v>94.237499999999997</v>
      </c>
      <c r="K96" s="1">
        <f>VALUE(IFERROR(VALUE('Raw Data'!K96),CONCATENATE(MID('Raw Data'!K96,3,2),".","0",LEFT('Raw Data'!K96,1),".", RIGHT('Raw Data'!K96,4))))</f>
        <v>43618</v>
      </c>
      <c r="L96" s="2">
        <f>'Raw Data'!L96</f>
        <v>0.83680555555555547</v>
      </c>
      <c r="M96" t="s">
        <v>33</v>
      </c>
      <c r="N96">
        <f>VALUE(IF(AND(ISERR(FIND(".",'Raw Data'!N96)),LEN('Raw Data'!N96)=5), IF(YEAR('Raw Data'!N96)=2026,CONCATENATE(DAY('Raw Data'!N96),".",IF(LEN(MONTH('Raw Data'!N96))=2,MONTH('Raw Data'!N96),CONCATENATE("0",MONTH('Raw Data'!N96)))),CONCATENATE(MONTH('Raw Data'!N96),".",RIGHT(YEAR('Raw Data'!N96),2))),'Raw Data'!N96))</f>
        <v>89.75</v>
      </c>
      <c r="O96" s="6">
        <f t="shared" si="4"/>
        <v>4.7619047619047592</v>
      </c>
      <c r="P96" s="6">
        <f t="shared" si="5"/>
        <v>4.4874999999999972</v>
      </c>
      <c r="Q96">
        <f>VALUE(IF(AND(ISERR(FIND(".",'Raw Data'!Q96)),LEN('Raw Data'!Q96)=5), IF(YEAR('Raw Data'!Q96)=2026,CONCATENATE(DAY('Raw Data'!Q96),".",IF(LEN(MONTH('Raw Data'!Q96))=2,MONTH('Raw Data'!Q96),CONCATENATE(MONTH('Raw Data'!Q96)))),CONCATENATE(MONTH('Raw Data'!Q96),".",RIGHT(YEAR('Raw Data'!Q96),2))),'Raw Data'!Q96))</f>
        <v>6.6</v>
      </c>
    </row>
    <row r="97" spans="1:17">
      <c r="A97" t="s">
        <v>161</v>
      </c>
      <c r="B97" t="s">
        <v>18</v>
      </c>
      <c r="C97" t="s">
        <v>19</v>
      </c>
      <c r="D97" t="s">
        <v>27</v>
      </c>
      <c r="E97" t="s">
        <v>30</v>
      </c>
      <c r="F97" t="s">
        <v>28</v>
      </c>
      <c r="G97">
        <f>VALUE(IF(AND(ISERR(FIND(".",'Raw Data'!G97)),LEN('Raw Data'!G97)=5), IF(YEAR('Raw Data'!G97)=2026,CONCATENATE(DAY('Raw Data'!G97),".",IF(LEN(MONTH('Raw Data'!G97))=2,MONTH('Raw Data'!G97),CONCATENATE("0",MONTH('Raw Data'!G97)))),CONCATENATE(MONTH('Raw Data'!G97),".",RIGHT(YEAR('Raw Data'!G97),2))),'Raw Data'!G97))</f>
        <v>97.16</v>
      </c>
      <c r="H97">
        <f>'Raw Data'!H97</f>
        <v>1</v>
      </c>
      <c r="I97" s="6">
        <f t="shared" si="3"/>
        <v>4.8580000000000041</v>
      </c>
      <c r="J97" s="6">
        <f>'Raw Data'!J97</f>
        <v>102.018</v>
      </c>
      <c r="K97" s="1">
        <f>VALUE(IFERROR(VALUE('Raw Data'!K97),CONCATENATE(MID('Raw Data'!K97,3,2),".","0",LEFT('Raw Data'!K97,1),".", RIGHT('Raw Data'!K97,4))))</f>
        <v>43680</v>
      </c>
      <c r="L97" s="2">
        <f>'Raw Data'!L97</f>
        <v>0.85972222222222217</v>
      </c>
      <c r="M97" t="s">
        <v>23</v>
      </c>
      <c r="N97">
        <f>VALUE(IF(AND(ISERR(FIND(".",'Raw Data'!N97)),LEN('Raw Data'!N97)=5), IF(YEAR('Raw Data'!N97)=2026,CONCATENATE(DAY('Raw Data'!N97),".",IF(LEN(MONTH('Raw Data'!N97))=2,MONTH('Raw Data'!N97),CONCATENATE("0",MONTH('Raw Data'!N97)))),CONCATENATE(MONTH('Raw Data'!N97),".",RIGHT(YEAR('Raw Data'!N97),2))),'Raw Data'!N97))</f>
        <v>97.16</v>
      </c>
      <c r="O97" s="6">
        <f t="shared" si="4"/>
        <v>4.7619047619047654</v>
      </c>
      <c r="P97" s="6">
        <f t="shared" si="5"/>
        <v>4.8580000000000041</v>
      </c>
      <c r="Q97">
        <f>VALUE(IF(AND(ISERR(FIND(".",'Raw Data'!Q97)),LEN('Raw Data'!Q97)=5), IF(YEAR('Raw Data'!Q97)=2026,CONCATENATE(DAY('Raw Data'!Q97),".",IF(LEN(MONTH('Raw Data'!Q97))=2,MONTH('Raw Data'!Q97),CONCATENATE(MONTH('Raw Data'!Q97)))),CONCATENATE(MONTH('Raw Data'!Q97),".",RIGHT(YEAR('Raw Data'!Q97),2))),'Raw Data'!Q97))</f>
        <v>7.2</v>
      </c>
    </row>
    <row r="98" spans="1:17">
      <c r="A98" t="s">
        <v>162</v>
      </c>
      <c r="B98" t="s">
        <v>34</v>
      </c>
      <c r="C98" t="s">
        <v>35</v>
      </c>
      <c r="D98" t="s">
        <v>27</v>
      </c>
      <c r="E98" t="s">
        <v>30</v>
      </c>
      <c r="F98" t="s">
        <v>22</v>
      </c>
      <c r="G98">
        <f>VALUE(IF(AND(ISERR(FIND(".",'Raw Data'!G98)),LEN('Raw Data'!G98)=5), IF(YEAR('Raw Data'!G98)=2026,CONCATENATE(DAY('Raw Data'!G98),".",IF(LEN(MONTH('Raw Data'!G98))=2,MONTH('Raw Data'!G98),CONCATENATE("0",MONTH('Raw Data'!G98)))),CONCATENATE(MONTH('Raw Data'!G98),".",RIGHT(YEAR('Raw Data'!G98),2))),'Raw Data'!G98))</f>
        <v>87.87</v>
      </c>
      <c r="H98">
        <f>'Raw Data'!H98</f>
        <v>10</v>
      </c>
      <c r="I98" s="6">
        <f t="shared" si="3"/>
        <v>43.934999999999945</v>
      </c>
      <c r="J98" s="6">
        <f>'Raw Data'!J98</f>
        <v>922.63499999999999</v>
      </c>
      <c r="K98" s="1">
        <f>VALUE(IFERROR(VALUE('Raw Data'!K98),CONCATENATE(MID('Raw Data'!K98,3,2),".","0",LEFT('Raw Data'!K98,1),".", RIGHT('Raw Data'!K98,4))))</f>
        <v>43553</v>
      </c>
      <c r="L98" s="2">
        <f>'Raw Data'!L98</f>
        <v>0.43402777777777773</v>
      </c>
      <c r="M98" t="s">
        <v>23</v>
      </c>
      <c r="N98">
        <f>VALUE(IF(AND(ISERR(FIND(".",'Raw Data'!N98)),LEN('Raw Data'!N98)=5), IF(YEAR('Raw Data'!N98)=2026,CONCATENATE(DAY('Raw Data'!N98),".",IF(LEN(MONTH('Raw Data'!N98))=2,MONTH('Raw Data'!N98),CONCATENATE("0",MONTH('Raw Data'!N98)))),CONCATENATE(MONTH('Raw Data'!N98),".",RIGHT(YEAR('Raw Data'!N98),2))),'Raw Data'!N98))</f>
        <v>878.7</v>
      </c>
      <c r="O98" s="6">
        <f t="shared" si="4"/>
        <v>4.7619047619047556</v>
      </c>
      <c r="P98" s="6">
        <f t="shared" si="5"/>
        <v>43.934999999999945</v>
      </c>
      <c r="Q98">
        <f>VALUE(IF(AND(ISERR(FIND(".",'Raw Data'!Q98)),LEN('Raw Data'!Q98)=5), IF(YEAR('Raw Data'!Q98)=2026,CONCATENATE(DAY('Raw Data'!Q98),".",IF(LEN(MONTH('Raw Data'!Q98))=2,MONTH('Raw Data'!Q98),CONCATENATE(MONTH('Raw Data'!Q98)))),CONCATENATE(MONTH('Raw Data'!Q98),".",RIGHT(YEAR('Raw Data'!Q98),2))),'Raw Data'!Q98))</f>
        <v>5.0999999999999996</v>
      </c>
    </row>
    <row r="99" spans="1:17">
      <c r="A99" t="s">
        <v>163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f>VALUE(IF(AND(ISERR(FIND(".",'Raw Data'!G99)),LEN('Raw Data'!G99)=5), IF(YEAR('Raw Data'!G99)=2026,CONCATENATE(DAY('Raw Data'!G99),".",IF(LEN(MONTH('Raw Data'!G99))=2,MONTH('Raw Data'!G99),CONCATENATE("0",MONTH('Raw Data'!G99)))),CONCATENATE(MONTH('Raw Data'!G99),".",RIGHT(YEAR('Raw Data'!G99),2))),'Raw Data'!G99))</f>
        <v>12.45</v>
      </c>
      <c r="H99">
        <f>'Raw Data'!H99</f>
        <v>6</v>
      </c>
      <c r="I99" s="6">
        <f t="shared" si="3"/>
        <v>3.7350000000000136</v>
      </c>
      <c r="J99" s="6">
        <f>'Raw Data'!J99</f>
        <v>78.435000000000002</v>
      </c>
      <c r="K99" s="1">
        <f>VALUE(IFERROR(VALUE('Raw Data'!K99),CONCATENATE(MID('Raw Data'!K99,3,2),".","0",LEFT('Raw Data'!K99,1),".", RIGHT('Raw Data'!K99,4))))</f>
        <v>43710</v>
      </c>
      <c r="L99" s="2">
        <f>'Raw Data'!L99</f>
        <v>0.5493055555555556</v>
      </c>
      <c r="M99" t="s">
        <v>29</v>
      </c>
      <c r="N99">
        <f>VALUE(IF(AND(ISERR(FIND(".",'Raw Data'!N99)),LEN('Raw Data'!N99)=5), IF(YEAR('Raw Data'!N99)=2026,CONCATENATE(DAY('Raw Data'!N99),".",IF(LEN(MONTH('Raw Data'!N99))=2,MONTH('Raw Data'!N99),CONCATENATE("0",MONTH('Raw Data'!N99)))),CONCATENATE(MONTH('Raw Data'!N99),".",RIGHT(YEAR('Raw Data'!N99),2))),'Raw Data'!N99))</f>
        <v>74.7</v>
      </c>
      <c r="O99" s="6">
        <f t="shared" si="4"/>
        <v>4.761904761904761</v>
      </c>
      <c r="P99" s="6">
        <f t="shared" si="5"/>
        <v>3.7349999999999994</v>
      </c>
      <c r="Q99">
        <f>VALUE(IF(AND(ISERR(FIND(".",'Raw Data'!Q99)),LEN('Raw Data'!Q99)=5), IF(YEAR('Raw Data'!Q99)=2026,CONCATENATE(DAY('Raw Data'!Q99),".",IF(LEN(MONTH('Raw Data'!Q99))=2,MONTH('Raw Data'!Q99),CONCATENATE(MONTH('Raw Data'!Q99)))),CONCATENATE(MONTH('Raw Data'!Q99),".",RIGHT(YEAR('Raw Data'!Q99),2))),'Raw Data'!Q99))</f>
        <v>4.0999999999999996</v>
      </c>
    </row>
    <row r="100" spans="1:17">
      <c r="A100" t="s">
        <v>164</v>
      </c>
      <c r="B100" t="s">
        <v>18</v>
      </c>
      <c r="C100" t="s">
        <v>19</v>
      </c>
      <c r="D100" t="s">
        <v>27</v>
      </c>
      <c r="E100" t="s">
        <v>30</v>
      </c>
      <c r="F100" t="s">
        <v>40</v>
      </c>
      <c r="G100">
        <f>VALUE(IF(AND(ISERR(FIND(".",'Raw Data'!G100)),LEN('Raw Data'!G100)=5), IF(YEAR('Raw Data'!G100)=2026,CONCATENATE(DAY('Raw Data'!G100),".",IF(LEN(MONTH('Raw Data'!G100))=2,MONTH('Raw Data'!G100),CONCATENATE("0",MONTH('Raw Data'!G100)))),CONCATENATE(MONTH('Raw Data'!G100),".",RIGHT(YEAR('Raw Data'!G100),2))),'Raw Data'!G100))</f>
        <v>52.75</v>
      </c>
      <c r="H100">
        <f>'Raw Data'!H100</f>
        <v>3</v>
      </c>
      <c r="I100" s="6">
        <f t="shared" si="3"/>
        <v>7.9124999999999943</v>
      </c>
      <c r="J100" s="6">
        <f>'Raw Data'!J100</f>
        <v>166.16249999999999</v>
      </c>
      <c r="K100" s="1">
        <f>VALUE(IFERROR(VALUE('Raw Data'!K100),CONCATENATE(MID('Raw Data'!K100,3,2),".","0",LEFT('Raw Data'!K100,1),".", RIGHT('Raw Data'!K100,4))))</f>
        <v>43547</v>
      </c>
      <c r="L100" s="2">
        <f>'Raw Data'!L100</f>
        <v>0.42777777777777781</v>
      </c>
      <c r="M100" t="s">
        <v>23</v>
      </c>
      <c r="N100">
        <f>VALUE(IF(AND(ISERR(FIND(".",'Raw Data'!N100)),LEN('Raw Data'!N100)=5), IF(YEAR('Raw Data'!N100)=2026,CONCATENATE(DAY('Raw Data'!N100),".",IF(LEN(MONTH('Raw Data'!N100))=2,MONTH('Raw Data'!N100),CONCATENATE("0",MONTH('Raw Data'!N100)))),CONCATENATE(MONTH('Raw Data'!N100),".",RIGHT(YEAR('Raw Data'!N100),2))),'Raw Data'!N100))</f>
        <v>158.25</v>
      </c>
      <c r="O100" s="6">
        <f t="shared" si="4"/>
        <v>4.7619047619047592</v>
      </c>
      <c r="P100" s="6">
        <f t="shared" si="5"/>
        <v>7.9124999999999943</v>
      </c>
      <c r="Q100">
        <f>VALUE(IF(AND(ISERR(FIND(".",'Raw Data'!Q100)),LEN('Raw Data'!Q100)=5), IF(YEAR('Raw Data'!Q100)=2026,CONCATENATE(DAY('Raw Data'!Q100),".",IF(LEN(MONTH('Raw Data'!Q100))=2,MONTH('Raw Data'!Q100),CONCATENATE(MONTH('Raw Data'!Q100)))),CONCATENATE(MONTH('Raw Data'!Q100),".",RIGHT(YEAR('Raw Data'!Q100),2))),'Raw Data'!Q100))</f>
        <v>9.3000000000000007</v>
      </c>
    </row>
    <row r="101" spans="1:17">
      <c r="A101" t="s">
        <v>165</v>
      </c>
      <c r="B101" t="s">
        <v>34</v>
      </c>
      <c r="C101" t="s">
        <v>35</v>
      </c>
      <c r="D101" t="s">
        <v>27</v>
      </c>
      <c r="E101" t="s">
        <v>30</v>
      </c>
      <c r="F101" t="s">
        <v>32</v>
      </c>
      <c r="G101">
        <f>VALUE(IF(AND(ISERR(FIND(".",'Raw Data'!G101)),LEN('Raw Data'!G101)=5), IF(YEAR('Raw Data'!G101)=2026,CONCATENATE(DAY('Raw Data'!G101),".",IF(LEN(MONTH('Raw Data'!G101))=2,MONTH('Raw Data'!G101),CONCATENATE("0",MONTH('Raw Data'!G101)))),CONCATENATE(MONTH('Raw Data'!G101),".",RIGHT(YEAR('Raw Data'!G101),2))),'Raw Data'!G101))</f>
        <v>82.7</v>
      </c>
      <c r="H101">
        <f>'Raw Data'!H101</f>
        <v>6</v>
      </c>
      <c r="I101" s="6">
        <f t="shared" si="3"/>
        <v>24.809999999999945</v>
      </c>
      <c r="J101" s="6">
        <f>'Raw Data'!J101</f>
        <v>521.01</v>
      </c>
      <c r="K101" s="1">
        <f>VALUE(IFERROR(VALUE('Raw Data'!K101),CONCATENATE(MID('Raw Data'!K101,3,2),".","0",LEFT('Raw Data'!K101,1),".", RIGHT('Raw Data'!K101,4))))</f>
        <v>43588</v>
      </c>
      <c r="L101" s="2">
        <f>'Raw Data'!L101</f>
        <v>0.7597222222222223</v>
      </c>
      <c r="M101" t="s">
        <v>29</v>
      </c>
      <c r="N101">
        <f>VALUE(IF(AND(ISERR(FIND(".",'Raw Data'!N101)),LEN('Raw Data'!N101)=5), IF(YEAR('Raw Data'!N101)=2026,CONCATENATE(DAY('Raw Data'!N101),".",IF(LEN(MONTH('Raw Data'!N101))=2,MONTH('Raw Data'!N101),CONCATENATE("0",MONTH('Raw Data'!N101)))),CONCATENATE(MONTH('Raw Data'!N101),".",RIGHT(YEAR('Raw Data'!N101),2))),'Raw Data'!N101))</f>
        <v>496.2</v>
      </c>
      <c r="O101" s="6">
        <f t="shared" si="4"/>
        <v>4.7619047619047628</v>
      </c>
      <c r="P101" s="6">
        <f t="shared" si="5"/>
        <v>24.810000000000002</v>
      </c>
      <c r="Q101">
        <f>VALUE(IF(AND(ISERR(FIND(".",'Raw Data'!Q101)),LEN('Raw Data'!Q101)=5), IF(YEAR('Raw Data'!Q101)=2026,CONCATENATE(DAY('Raw Data'!Q101),".",IF(LEN(MONTH('Raw Data'!Q101))=2,MONTH('Raw Data'!Q101),CONCATENATE(MONTH('Raw Data'!Q101)))),CONCATENATE(MONTH('Raw Data'!Q101),".",RIGHT(YEAR('Raw Data'!Q101),2))),'Raw Data'!Q101))</f>
        <v>7.4</v>
      </c>
    </row>
    <row r="102" spans="1:17">
      <c r="A102" t="s">
        <v>166</v>
      </c>
      <c r="B102" t="s">
        <v>25</v>
      </c>
      <c r="C102" t="s">
        <v>26</v>
      </c>
      <c r="D102" t="s">
        <v>20</v>
      </c>
      <c r="E102" t="s">
        <v>30</v>
      </c>
      <c r="F102" t="s">
        <v>43</v>
      </c>
      <c r="G102">
        <f>VALUE(IF(AND(ISERR(FIND(".",'Raw Data'!G102)),LEN('Raw Data'!G102)=5), IF(YEAR('Raw Data'!G102)=2026,CONCATENATE(DAY('Raw Data'!G102),".",IF(LEN(MONTH('Raw Data'!G102))=2,MONTH('Raw Data'!G102),CONCATENATE("0",MONTH('Raw Data'!G102)))),CONCATENATE(MONTH('Raw Data'!G102),".",RIGHT(YEAR('Raw Data'!G102),2))),'Raw Data'!G102))</f>
        <v>48.71</v>
      </c>
      <c r="H102">
        <f>'Raw Data'!H102</f>
        <v>1</v>
      </c>
      <c r="I102" s="6">
        <f t="shared" si="3"/>
        <v>2.4354999999999976</v>
      </c>
      <c r="J102" s="6">
        <f>'Raw Data'!J102</f>
        <v>51.145499999999998</v>
      </c>
      <c r="K102" s="1">
        <f>VALUE(IFERROR(VALUE('Raw Data'!K102),CONCATENATE(MID('Raw Data'!K102,3,2),".","0",LEFT('Raw Data'!K102,1),".", RIGHT('Raw Data'!K102,4))))</f>
        <v>43550</v>
      </c>
      <c r="L102" s="2">
        <f>'Raw Data'!L102</f>
        <v>0.80555555555555547</v>
      </c>
      <c r="M102" t="s">
        <v>29</v>
      </c>
      <c r="N102">
        <f>VALUE(IF(AND(ISERR(FIND(".",'Raw Data'!N102)),LEN('Raw Data'!N102)=5), IF(YEAR('Raw Data'!N102)=2026,CONCATENATE(DAY('Raw Data'!N102),".",IF(LEN(MONTH('Raw Data'!N102))=2,MONTH('Raw Data'!N102),CONCATENATE("0",MONTH('Raw Data'!N102)))),CONCATENATE(MONTH('Raw Data'!N102),".",RIGHT(YEAR('Raw Data'!N102),2))),'Raw Data'!N102))</f>
        <v>48.71</v>
      </c>
      <c r="O102" s="6">
        <f t="shared" si="4"/>
        <v>4.7619047619047574</v>
      </c>
      <c r="P102" s="6">
        <f t="shared" si="5"/>
        <v>2.4354999999999976</v>
      </c>
      <c r="Q102">
        <f>VALUE(IF(AND(ISERR(FIND(".",'Raw Data'!Q102)),LEN('Raw Data'!Q102)=5), IF(YEAR('Raw Data'!Q102)=2026,CONCATENATE(DAY('Raw Data'!Q102),".",IF(LEN(MONTH('Raw Data'!Q102))=2,MONTH('Raw Data'!Q102),CONCATENATE(MONTH('Raw Data'!Q102)))),CONCATENATE(MONTH('Raw Data'!Q102),".",RIGHT(YEAR('Raw Data'!Q102),2))),'Raw Data'!Q102))</f>
        <v>4.0999999999999996</v>
      </c>
    </row>
    <row r="103" spans="1:17">
      <c r="A103" t="s">
        <v>168</v>
      </c>
      <c r="B103" t="s">
        <v>25</v>
      </c>
      <c r="C103" t="s">
        <v>26</v>
      </c>
      <c r="D103" t="s">
        <v>27</v>
      </c>
      <c r="E103" t="s">
        <v>30</v>
      </c>
      <c r="F103" t="s">
        <v>43</v>
      </c>
      <c r="G103">
        <f>VALUE(IF(AND(ISERR(FIND(".",'Raw Data'!G103)),LEN('Raw Data'!G103)=5), IF(YEAR('Raw Data'!G103)=2026,CONCATENATE(DAY('Raw Data'!G103),".",IF(LEN(MONTH('Raw Data'!G103))=2,MONTH('Raw Data'!G103),CONCATENATE("0",MONTH('Raw Data'!G103)))),CONCATENATE(MONTH('Raw Data'!G103),".",RIGHT(YEAR('Raw Data'!G103),2))),'Raw Data'!G103))</f>
        <v>78.55</v>
      </c>
      <c r="H103">
        <f>'Raw Data'!H103</f>
        <v>9</v>
      </c>
      <c r="I103" s="6">
        <f t="shared" si="3"/>
        <v>35.347500000000082</v>
      </c>
      <c r="J103" s="6">
        <f>'Raw Data'!J103</f>
        <v>742.29750000000001</v>
      </c>
      <c r="K103" s="1">
        <f>VALUE(IFERROR(VALUE('Raw Data'!K103),CONCATENATE(MID('Raw Data'!K103,3,2),".","0",LEFT('Raw Data'!K103,1),".", RIGHT('Raw Data'!K103,4))))</f>
        <v>43468</v>
      </c>
      <c r="L103" s="2">
        <f>'Raw Data'!L103</f>
        <v>0.55694444444444446</v>
      </c>
      <c r="M103" t="s">
        <v>29</v>
      </c>
      <c r="N103">
        <f>VALUE(IF(AND(ISERR(FIND(".",'Raw Data'!N103)),LEN('Raw Data'!N103)=5), IF(YEAR('Raw Data'!N103)=2026,CONCATENATE(DAY('Raw Data'!N103),".",IF(LEN(MONTH('Raw Data'!N103))=2,MONTH('Raw Data'!N103),CONCATENATE("0",MONTH('Raw Data'!N103)))),CONCATENATE(MONTH('Raw Data'!N103),".",RIGHT(YEAR('Raw Data'!N103),2))),'Raw Data'!N103))</f>
        <v>706.95</v>
      </c>
      <c r="O103" s="6">
        <f t="shared" si="4"/>
        <v>4.7619047619047574</v>
      </c>
      <c r="P103" s="6">
        <f t="shared" si="5"/>
        <v>35.347499999999968</v>
      </c>
      <c r="Q103">
        <f>VALUE(IF(AND(ISERR(FIND(".",'Raw Data'!Q103)),LEN('Raw Data'!Q103)=5), IF(YEAR('Raw Data'!Q103)=2026,CONCATENATE(DAY('Raw Data'!Q103),".",IF(LEN(MONTH('Raw Data'!Q103))=2,MONTH('Raw Data'!Q103),CONCATENATE(MONTH('Raw Data'!Q103)))),CONCATENATE(MONTH('Raw Data'!Q103),".",RIGHT(YEAR('Raw Data'!Q103),2))),'Raw Data'!Q103))</f>
        <v>7.2</v>
      </c>
    </row>
    <row r="104" spans="1:17">
      <c r="A104" t="s">
        <v>169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f>VALUE(IF(AND(ISERR(FIND(".",'Raw Data'!G104)),LEN('Raw Data'!G104)=5), IF(YEAR('Raw Data'!G104)=2026,CONCATENATE(DAY('Raw Data'!G104),".",IF(LEN(MONTH('Raw Data'!G104))=2,MONTH('Raw Data'!G104),CONCATENATE("0",MONTH('Raw Data'!G104)))),CONCATENATE(MONTH('Raw Data'!G104),".",RIGHT(YEAR('Raw Data'!G104),2))),'Raw Data'!G104))</f>
        <v>23.07</v>
      </c>
      <c r="H104">
        <f>'Raw Data'!H104</f>
        <v>9</v>
      </c>
      <c r="I104" s="6">
        <f t="shared" si="3"/>
        <v>10.381500000000017</v>
      </c>
      <c r="J104" s="6">
        <f>'Raw Data'!J104</f>
        <v>218.01150000000001</v>
      </c>
      <c r="K104" s="1">
        <f>VALUE(IFERROR(VALUE('Raw Data'!K104),CONCATENATE(MID('Raw Data'!K104,3,2),".","0",LEFT('Raw Data'!K104,1),".", RIGHT('Raw Data'!K104,4))))</f>
        <v>43467</v>
      </c>
      <c r="L104" s="2">
        <f>'Raw Data'!L104</f>
        <v>0.4770833333333333</v>
      </c>
      <c r="M104" t="s">
        <v>29</v>
      </c>
      <c r="N104">
        <f>VALUE(IF(AND(ISERR(FIND(".",'Raw Data'!N104)),LEN('Raw Data'!N104)=5), IF(YEAR('Raw Data'!N104)=2026,CONCATENATE(DAY('Raw Data'!N104),".",IF(LEN(MONTH('Raw Data'!N104))=2,MONTH('Raw Data'!N104),CONCATENATE("0",MONTH('Raw Data'!N104)))),CONCATENATE(MONTH('Raw Data'!N104),".",RIGHT(YEAR('Raw Data'!N104),2))),'Raw Data'!N104))</f>
        <v>207.63</v>
      </c>
      <c r="O104" s="6">
        <f t="shared" si="4"/>
        <v>4.761904761904769</v>
      </c>
      <c r="P104" s="6">
        <f t="shared" si="5"/>
        <v>10.381500000000017</v>
      </c>
      <c r="Q104">
        <f>VALUE(IF(AND(ISERR(FIND(".",'Raw Data'!Q104)),LEN('Raw Data'!Q104)=5), IF(YEAR('Raw Data'!Q104)=2026,CONCATENATE(DAY('Raw Data'!Q104),".",IF(LEN(MONTH('Raw Data'!Q104))=2,MONTH('Raw Data'!Q104),CONCATENATE(MONTH('Raw Data'!Q104)))),CONCATENATE(MONTH('Raw Data'!Q104),".",RIGHT(YEAR('Raw Data'!Q104),2))),'Raw Data'!Q104))</f>
        <v>4.9000000000000004</v>
      </c>
    </row>
    <row r="105" spans="1:17">
      <c r="A105" t="s">
        <v>170</v>
      </c>
      <c r="B105" t="s">
        <v>18</v>
      </c>
      <c r="C105" t="s">
        <v>19</v>
      </c>
      <c r="D105" t="s">
        <v>27</v>
      </c>
      <c r="E105" t="s">
        <v>30</v>
      </c>
      <c r="F105" t="s">
        <v>40</v>
      </c>
      <c r="G105">
        <f>VALUE(IF(AND(ISERR(FIND(".",'Raw Data'!G105)),LEN('Raw Data'!G105)=5), IF(YEAR('Raw Data'!G105)=2026,CONCATENATE(DAY('Raw Data'!G105),".",IF(LEN(MONTH('Raw Data'!G105))=2,MONTH('Raw Data'!G105),CONCATENATE("0",MONTH('Raw Data'!G105)))),CONCATENATE(MONTH('Raw Data'!G105),".",RIGHT(YEAR('Raw Data'!G105),2))),'Raw Data'!G105))</f>
        <v>58.26</v>
      </c>
      <c r="H105">
        <f>'Raw Data'!H105</f>
        <v>6</v>
      </c>
      <c r="I105" s="6">
        <f t="shared" si="3"/>
        <v>17.478000000000009</v>
      </c>
      <c r="J105" s="6">
        <f>'Raw Data'!J105</f>
        <v>367.03800000000001</v>
      </c>
      <c r="K105" s="1">
        <f>VALUE(IFERROR(VALUE('Raw Data'!K105),CONCATENATE(MID('Raw Data'!K105,3,2),".","0",LEFT('Raw Data'!K105,1),".", RIGHT('Raw Data'!K105,4))))</f>
        <v>43552</v>
      </c>
      <c r="L105" s="2">
        <f>'Raw Data'!L105</f>
        <v>0.6972222222222223</v>
      </c>
      <c r="M105" t="s">
        <v>29</v>
      </c>
      <c r="N105">
        <f>VALUE(IF(AND(ISERR(FIND(".",'Raw Data'!N105)),LEN('Raw Data'!N105)=5), IF(YEAR('Raw Data'!N105)=2026,CONCATENATE(DAY('Raw Data'!N105),".",IF(LEN(MONTH('Raw Data'!N105))=2,MONTH('Raw Data'!N105),CONCATENATE("0",MONTH('Raw Data'!N105)))),CONCATENATE(MONTH('Raw Data'!N105),".",RIGHT(YEAR('Raw Data'!N105),2))),'Raw Data'!N105))</f>
        <v>349.56</v>
      </c>
      <c r="O105" s="6">
        <f t="shared" si="4"/>
        <v>4.7619047619047645</v>
      </c>
      <c r="P105" s="6">
        <f t="shared" si="5"/>
        <v>17.478000000000009</v>
      </c>
      <c r="Q105">
        <f>VALUE(IF(AND(ISERR(FIND(".",'Raw Data'!Q105)),LEN('Raw Data'!Q105)=5), IF(YEAR('Raw Data'!Q105)=2026,CONCATENATE(DAY('Raw Data'!Q105),".",IF(LEN(MONTH('Raw Data'!Q105))=2,MONTH('Raw Data'!Q105),CONCATENATE(MONTH('Raw Data'!Q105)))),CONCATENATE(MONTH('Raw Data'!Q105),".",RIGHT(YEAR('Raw Data'!Q105),2))),'Raw Data'!Q105))</f>
        <v>9.9</v>
      </c>
    </row>
    <row r="106" spans="1:17">
      <c r="A106" t="s">
        <v>172</v>
      </c>
      <c r="B106" t="s">
        <v>34</v>
      </c>
      <c r="C106" t="s">
        <v>35</v>
      </c>
      <c r="D106" t="s">
        <v>27</v>
      </c>
      <c r="E106" t="s">
        <v>30</v>
      </c>
      <c r="F106" t="s">
        <v>22</v>
      </c>
      <c r="G106">
        <f>VALUE(IF(AND(ISERR(FIND(".",'Raw Data'!G106)),LEN('Raw Data'!G106)=5), IF(YEAR('Raw Data'!G106)=2026,CONCATENATE(DAY('Raw Data'!G106),".",IF(LEN(MONTH('Raw Data'!G106))=2,MONTH('Raw Data'!G106),CONCATENATE("0",MONTH('Raw Data'!G106)))),CONCATENATE(MONTH('Raw Data'!G106),".",RIGHT(YEAR('Raw Data'!G106),2))),'Raw Data'!G106))</f>
        <v>30.35</v>
      </c>
      <c r="H106">
        <f>'Raw Data'!H106</f>
        <v>7</v>
      </c>
      <c r="I106" s="6">
        <f t="shared" si="3"/>
        <v>10.622499999999974</v>
      </c>
      <c r="J106" s="6">
        <f>'Raw Data'!J106</f>
        <v>223.07249999999999</v>
      </c>
      <c r="K106" s="1">
        <f>VALUE(IFERROR(VALUE('Raw Data'!K106),CONCATENATE(MID('Raw Data'!K106,3,2),".","0",LEFT('Raw Data'!K106,1),".", RIGHT('Raw Data'!K106,4))))</f>
        <v>43543</v>
      </c>
      <c r="L106" s="2">
        <f>'Raw Data'!L106</f>
        <v>0.7631944444444444</v>
      </c>
      <c r="M106" t="s">
        <v>29</v>
      </c>
      <c r="N106">
        <f>VALUE(IF(AND(ISERR(FIND(".",'Raw Data'!N106)),LEN('Raw Data'!N106)=5), IF(YEAR('Raw Data'!N106)=2026,CONCATENATE(DAY('Raw Data'!N106),".",IF(LEN(MONTH('Raw Data'!N106))=2,MONTH('Raw Data'!N106),CONCATENATE("0",MONTH('Raw Data'!N106)))),CONCATENATE(MONTH('Raw Data'!N106),".",RIGHT(YEAR('Raw Data'!N106),2))),'Raw Data'!N106))</f>
        <v>212.45</v>
      </c>
      <c r="O106" s="6">
        <f t="shared" si="4"/>
        <v>4.7619047619047628</v>
      </c>
      <c r="P106" s="6">
        <f t="shared" si="5"/>
        <v>10.622500000000002</v>
      </c>
      <c r="Q106">
        <f>VALUE(IF(AND(ISERR(FIND(".",'Raw Data'!Q106)),LEN('Raw Data'!Q106)=5), IF(YEAR('Raw Data'!Q106)=2026,CONCATENATE(DAY('Raw Data'!Q106),".",IF(LEN(MONTH('Raw Data'!Q106))=2,MONTH('Raw Data'!Q106),CONCATENATE(MONTH('Raw Data'!Q106)))),CONCATENATE(MONTH('Raw Data'!Q106),".",RIGHT(YEAR('Raw Data'!Q106),2))),'Raw Data'!Q106))</f>
        <v>8</v>
      </c>
    </row>
    <row r="107" spans="1:17">
      <c r="A107" t="s">
        <v>173</v>
      </c>
      <c r="B107" t="s">
        <v>18</v>
      </c>
      <c r="C107" t="s">
        <v>19</v>
      </c>
      <c r="D107" t="s">
        <v>20</v>
      </c>
      <c r="E107" t="s">
        <v>30</v>
      </c>
      <c r="F107" t="s">
        <v>28</v>
      </c>
      <c r="G107">
        <f>VALUE(IF(AND(ISERR(FIND(".",'Raw Data'!G107)),LEN('Raw Data'!G107)=5), IF(YEAR('Raw Data'!G107)=2026,CONCATENATE(DAY('Raw Data'!G107),".",IF(LEN(MONTH('Raw Data'!G107))=2,MONTH('Raw Data'!G107),CONCATENATE("0",MONTH('Raw Data'!G107)))),CONCATENATE(MONTH('Raw Data'!G107),".",RIGHT(YEAR('Raw Data'!G107),2))),'Raw Data'!G107))</f>
        <v>88.67</v>
      </c>
      <c r="H107">
        <f>'Raw Data'!H107</f>
        <v>10</v>
      </c>
      <c r="I107" s="6">
        <f t="shared" si="3"/>
        <v>44.334999999999923</v>
      </c>
      <c r="J107" s="6">
        <f>'Raw Data'!J107</f>
        <v>931.03499999999997</v>
      </c>
      <c r="K107" s="1">
        <f>VALUE(IFERROR(VALUE('Raw Data'!K107),CONCATENATE(MID('Raw Data'!K107,3,2),".","0",LEFT('Raw Data'!K107,1),".", RIGHT('Raw Data'!K107,4))))</f>
        <v>43800</v>
      </c>
      <c r="L107" s="2">
        <f>'Raw Data'!L107</f>
        <v>0.61805555555555558</v>
      </c>
      <c r="M107" t="s">
        <v>23</v>
      </c>
      <c r="N107">
        <f>VALUE(IF(AND(ISERR(FIND(".",'Raw Data'!N107)),LEN('Raw Data'!N107)=5), IF(YEAR('Raw Data'!N107)=2026,CONCATENATE(DAY('Raw Data'!N107),".",IF(LEN(MONTH('Raw Data'!N107))=2,MONTH('Raw Data'!N107),CONCATENATE("0",MONTH('Raw Data'!N107)))),CONCATENATE(MONTH('Raw Data'!N107),".",RIGHT(YEAR('Raw Data'!N107),2))),'Raw Data'!N107))</f>
        <v>886.7</v>
      </c>
      <c r="O107" s="6">
        <f t="shared" si="4"/>
        <v>4.7619047619047539</v>
      </c>
      <c r="P107" s="6">
        <f t="shared" si="5"/>
        <v>44.334999999999923</v>
      </c>
      <c r="Q107">
        <f>VALUE(IF(AND(ISERR(FIND(".",'Raw Data'!Q107)),LEN('Raw Data'!Q107)=5), IF(YEAR('Raw Data'!Q107)=2026,CONCATENATE(DAY('Raw Data'!Q107),".",IF(LEN(MONTH('Raw Data'!Q107))=2,MONTH('Raw Data'!Q107),CONCATENATE(MONTH('Raw Data'!Q107)))),CONCATENATE(MONTH('Raw Data'!Q107),".",RIGHT(YEAR('Raw Data'!Q107),2))),'Raw Data'!Q107))</f>
        <v>7.3</v>
      </c>
    </row>
    <row r="108" spans="1:17">
      <c r="A108" t="s">
        <v>174</v>
      </c>
      <c r="B108" t="s">
        <v>25</v>
      </c>
      <c r="C108" t="s">
        <v>26</v>
      </c>
      <c r="D108" t="s">
        <v>27</v>
      </c>
      <c r="E108" t="s">
        <v>30</v>
      </c>
      <c r="F108" t="s">
        <v>43</v>
      </c>
      <c r="G108">
        <f>VALUE(IF(AND(ISERR(FIND(".",'Raw Data'!G108)),LEN('Raw Data'!G108)=5), IF(YEAR('Raw Data'!G108)=2026,CONCATENATE(DAY('Raw Data'!G108),".",IF(LEN(MONTH('Raw Data'!G108))=2,MONTH('Raw Data'!G108),CONCATENATE("0",MONTH('Raw Data'!G108)))),CONCATENATE(MONTH('Raw Data'!G108),".",RIGHT(YEAR('Raw Data'!G108),2))),'Raw Data'!G108))</f>
        <v>27.38</v>
      </c>
      <c r="H108">
        <f>'Raw Data'!H108</f>
        <v>6</v>
      </c>
      <c r="I108" s="6">
        <f t="shared" si="3"/>
        <v>8.2139999999999986</v>
      </c>
      <c r="J108" s="6">
        <f>'Raw Data'!J108</f>
        <v>172.494</v>
      </c>
      <c r="K108" s="1">
        <f>VALUE(IFERROR(VALUE('Raw Data'!K108),CONCATENATE(MID('Raw Data'!K108,3,2),".","0",LEFT('Raw Data'!K108,1),".", RIGHT('Raw Data'!K108,4))))</f>
        <v>43586</v>
      </c>
      <c r="L108" s="2">
        <f>'Raw Data'!L108</f>
        <v>0.87083333333333324</v>
      </c>
      <c r="M108" t="s">
        <v>33</v>
      </c>
      <c r="N108">
        <f>VALUE(IF(AND(ISERR(FIND(".",'Raw Data'!N108)),LEN('Raw Data'!N108)=5), IF(YEAR('Raw Data'!N108)=2026,CONCATENATE(DAY('Raw Data'!N108),".",IF(LEN(MONTH('Raw Data'!N108))=2,MONTH('Raw Data'!N108),CONCATENATE("0",MONTH('Raw Data'!N108)))),CONCATENATE(MONTH('Raw Data'!N108),".",RIGHT(YEAR('Raw Data'!N108),2))),'Raw Data'!N108))</f>
        <v>164.28</v>
      </c>
      <c r="O108" s="6">
        <f t="shared" si="4"/>
        <v>4.761904761904761</v>
      </c>
      <c r="P108" s="6">
        <f t="shared" si="5"/>
        <v>8.2139999999999986</v>
      </c>
      <c r="Q108">
        <f>VALUE(IF(AND(ISERR(FIND(".",'Raw Data'!Q108)),LEN('Raw Data'!Q108)=5), IF(YEAR('Raw Data'!Q108)=2026,CONCATENATE(DAY('Raw Data'!Q108),".",IF(LEN(MONTH('Raw Data'!Q108))=2,MONTH('Raw Data'!Q108),CONCATENATE(MONTH('Raw Data'!Q108)))),CONCATENATE(MONTH('Raw Data'!Q108),".",RIGHT(YEAR('Raw Data'!Q108),2))),'Raw Data'!Q108))</f>
        <v>7.9</v>
      </c>
    </row>
    <row r="109" spans="1:17">
      <c r="A109" t="s">
        <v>175</v>
      </c>
      <c r="B109" t="s">
        <v>18</v>
      </c>
      <c r="C109" t="s">
        <v>19</v>
      </c>
      <c r="D109" t="s">
        <v>27</v>
      </c>
      <c r="E109" t="s">
        <v>30</v>
      </c>
      <c r="F109" t="s">
        <v>38</v>
      </c>
      <c r="G109">
        <f>VALUE(IF(AND(ISERR(FIND(".",'Raw Data'!G109)),LEN('Raw Data'!G109)=5), IF(YEAR('Raw Data'!G109)=2026,CONCATENATE(DAY('Raw Data'!G109),".",IF(LEN(MONTH('Raw Data'!G109))=2,MONTH('Raw Data'!G109),CONCATENATE("0",MONTH('Raw Data'!G109)))),CONCATENATE(MONTH('Raw Data'!G109),".",RIGHT(YEAR('Raw Data'!G109),2))),'Raw Data'!G109))</f>
        <v>62.13</v>
      </c>
      <c r="H109">
        <f>'Raw Data'!H109</f>
        <v>6</v>
      </c>
      <c r="I109" s="6">
        <f t="shared" si="3"/>
        <v>18.638999999999953</v>
      </c>
      <c r="J109" s="6">
        <f>'Raw Data'!J109</f>
        <v>391.41899999999998</v>
      </c>
      <c r="K109" s="1">
        <f>VALUE(IFERROR(VALUE('Raw Data'!K109),CONCATENATE(MID('Raw Data'!K109,3,2),".","0",LEFT('Raw Data'!K109,1),".", RIGHT('Raw Data'!K109,4))))</f>
        <v>43546</v>
      </c>
      <c r="L109" s="2">
        <f>'Raw Data'!L109</f>
        <v>0.84652777777777777</v>
      </c>
      <c r="M109" t="s">
        <v>29</v>
      </c>
      <c r="N109">
        <f>VALUE(IF(AND(ISERR(FIND(".",'Raw Data'!N109)),LEN('Raw Data'!N109)=5), IF(YEAR('Raw Data'!N109)=2026,CONCATENATE(DAY('Raw Data'!N109),".",IF(LEN(MONTH('Raw Data'!N109))=2,MONTH('Raw Data'!N109),CONCATENATE("0",MONTH('Raw Data'!N109)))),CONCATENATE(MONTH('Raw Data'!N109),".",RIGHT(YEAR('Raw Data'!N109),2))),'Raw Data'!N109))</f>
        <v>372.78</v>
      </c>
      <c r="O109" s="6">
        <f t="shared" si="4"/>
        <v>4.7619047619047645</v>
      </c>
      <c r="P109" s="6">
        <f t="shared" si="5"/>
        <v>18.63900000000001</v>
      </c>
      <c r="Q109">
        <f>VALUE(IF(AND(ISERR(FIND(".",'Raw Data'!Q109)),LEN('Raw Data'!Q109)=5), IF(YEAR('Raw Data'!Q109)=2026,CONCATENATE(DAY('Raw Data'!Q109),".",IF(LEN(MONTH('Raw Data'!Q109))=2,MONTH('Raw Data'!Q109),CONCATENATE(MONTH('Raw Data'!Q109)))),CONCATENATE(MONTH('Raw Data'!Q109),".",RIGHT(YEAR('Raw Data'!Q109),2))),'Raw Data'!Q109))</f>
        <v>7.4</v>
      </c>
    </row>
    <row r="110" spans="1:17">
      <c r="A110" t="s">
        <v>176</v>
      </c>
      <c r="B110" t="s">
        <v>25</v>
      </c>
      <c r="C110" t="s">
        <v>26</v>
      </c>
      <c r="D110" t="s">
        <v>27</v>
      </c>
      <c r="E110" t="s">
        <v>21</v>
      </c>
      <c r="F110" t="s">
        <v>40</v>
      </c>
      <c r="G110">
        <f>VALUE(IF(AND(ISERR(FIND(".",'Raw Data'!G110)),LEN('Raw Data'!G110)=5), IF(YEAR('Raw Data'!G110)=2026,CONCATENATE(DAY('Raw Data'!G110),".",IF(LEN(MONTH('Raw Data'!G110))=2,MONTH('Raw Data'!G110),CONCATENATE("0",MONTH('Raw Data'!G110)))),CONCATENATE(MONTH('Raw Data'!G110),".",RIGHT(YEAR('Raw Data'!G110),2))),'Raw Data'!G110))</f>
        <v>33.979999999999997</v>
      </c>
      <c r="H110">
        <f>'Raw Data'!H110</f>
        <v>9</v>
      </c>
      <c r="I110" s="6">
        <f t="shared" si="3"/>
        <v>15.290999999999997</v>
      </c>
      <c r="J110" s="6">
        <f>'Raw Data'!J110</f>
        <v>321.11099999999999</v>
      </c>
      <c r="K110" s="1">
        <f>VALUE(IFERROR(VALUE('Raw Data'!K110),CONCATENATE(MID('Raw Data'!K110,3,2),".","0",LEFT('Raw Data'!K110,1),".", RIGHT('Raw Data'!K110,4))))</f>
        <v>43548</v>
      </c>
      <c r="L110" s="2">
        <f>'Raw Data'!L110</f>
        <v>0.4465277777777778</v>
      </c>
      <c r="M110" t="s">
        <v>29</v>
      </c>
      <c r="N110">
        <f>VALUE(IF(AND(ISERR(FIND(".",'Raw Data'!N110)),LEN('Raw Data'!N110)=5), IF(YEAR('Raw Data'!N110)=2026,CONCATENATE(DAY('Raw Data'!N110),".",IF(LEN(MONTH('Raw Data'!N110))=2,MONTH('Raw Data'!N110),CONCATENATE("0",MONTH('Raw Data'!N110)))),CONCATENATE(MONTH('Raw Data'!N110),".",RIGHT(YEAR('Raw Data'!N110),2))),'Raw Data'!N110))</f>
        <v>305.82</v>
      </c>
      <c r="O110" s="6">
        <f t="shared" si="4"/>
        <v>4.761904761904761</v>
      </c>
      <c r="P110" s="6">
        <f t="shared" si="5"/>
        <v>15.290999999999997</v>
      </c>
      <c r="Q110">
        <f>VALUE(IF(AND(ISERR(FIND(".",'Raw Data'!Q110)),LEN('Raw Data'!Q110)=5), IF(YEAR('Raw Data'!Q110)=2026,CONCATENATE(DAY('Raw Data'!Q110),".",IF(LEN(MONTH('Raw Data'!Q110))=2,MONTH('Raw Data'!Q110),CONCATENATE(MONTH('Raw Data'!Q110)))),CONCATENATE(MONTH('Raw Data'!Q110),".",RIGHT(YEAR('Raw Data'!Q110),2))),'Raw Data'!Q110))</f>
        <v>4.2</v>
      </c>
    </row>
    <row r="111" spans="1:17">
      <c r="A111" t="s">
        <v>178</v>
      </c>
      <c r="B111" t="s">
        <v>25</v>
      </c>
      <c r="C111" t="s">
        <v>26</v>
      </c>
      <c r="D111" t="s">
        <v>20</v>
      </c>
      <c r="E111" t="s">
        <v>30</v>
      </c>
      <c r="F111" t="s">
        <v>28</v>
      </c>
      <c r="G111">
        <f>VALUE(IF(AND(ISERR(FIND(".",'Raw Data'!G111)),LEN('Raw Data'!G111)=5), IF(YEAR('Raw Data'!G111)=2026,CONCATENATE(DAY('Raw Data'!G111),".",IF(LEN(MONTH('Raw Data'!G111))=2,MONTH('Raw Data'!G111),CONCATENATE("0",MONTH('Raw Data'!G111)))),CONCATENATE(MONTH('Raw Data'!G111),".",RIGHT(YEAR('Raw Data'!G111),2))),'Raw Data'!G111))</f>
        <v>81.97</v>
      </c>
      <c r="H111">
        <f>'Raw Data'!H111</f>
        <v>10</v>
      </c>
      <c r="I111" s="6">
        <f t="shared" si="3"/>
        <v>40.9849999999999</v>
      </c>
      <c r="J111" s="6">
        <f>'Raw Data'!J111</f>
        <v>860.68499999999995</v>
      </c>
      <c r="K111" s="1">
        <f>VALUE(IFERROR(VALUE('Raw Data'!K111),CONCATENATE(MID('Raw Data'!K111,3,2),".","0",LEFT('Raw Data'!K111,1),".", RIGHT('Raw Data'!K111,4))))</f>
        <v>43527</v>
      </c>
      <c r="L111" s="2">
        <f>'Raw Data'!L111</f>
        <v>0.60416666666666663</v>
      </c>
      <c r="M111" t="s">
        <v>29</v>
      </c>
      <c r="N111">
        <f>VALUE(IF(AND(ISERR(FIND(".",'Raw Data'!N111)),LEN('Raw Data'!N111)=5), IF(YEAR('Raw Data'!N111)=2026,CONCATENATE(DAY('Raw Data'!N111),".",IF(LEN(MONTH('Raw Data'!N111))=2,MONTH('Raw Data'!N111),CONCATENATE("0",MONTH('Raw Data'!N111)))),CONCATENATE(MONTH('Raw Data'!N111),".",RIGHT(YEAR('Raw Data'!N111),2))),'Raw Data'!N111))</f>
        <v>819.7</v>
      </c>
      <c r="O111" s="6">
        <f t="shared" si="4"/>
        <v>4.7619047619047503</v>
      </c>
      <c r="P111" s="6">
        <f t="shared" si="5"/>
        <v>40.9849999999999</v>
      </c>
      <c r="Q111">
        <f>VALUE(IF(AND(ISERR(FIND(".",'Raw Data'!Q111)),LEN('Raw Data'!Q111)=5), IF(YEAR('Raw Data'!Q111)=2026,CONCATENATE(DAY('Raw Data'!Q111),".",IF(LEN(MONTH('Raw Data'!Q111))=2,MONTH('Raw Data'!Q111),CONCATENATE(MONTH('Raw Data'!Q111)))),CONCATENATE(MONTH('Raw Data'!Q111),".",RIGHT(YEAR('Raw Data'!Q111),2))),'Raw Data'!Q111))</f>
        <v>9.1999999999999993</v>
      </c>
    </row>
    <row r="112" spans="1:17">
      <c r="A112" t="s">
        <v>179</v>
      </c>
      <c r="B112" t="s">
        <v>34</v>
      </c>
      <c r="C112" t="s">
        <v>35</v>
      </c>
      <c r="D112" t="s">
        <v>20</v>
      </c>
      <c r="E112" t="s">
        <v>21</v>
      </c>
      <c r="F112" t="s">
        <v>38</v>
      </c>
      <c r="G112">
        <f>VALUE(IF(AND(ISERR(FIND(".",'Raw Data'!G112)),LEN('Raw Data'!G112)=5), IF(YEAR('Raw Data'!G112)=2026,CONCATENATE(DAY('Raw Data'!G112),".",IF(LEN(MONTH('Raw Data'!G112))=2,MONTH('Raw Data'!G112),CONCATENATE("0",MONTH('Raw Data'!G112)))),CONCATENATE(MONTH('Raw Data'!G112),".",RIGHT(YEAR('Raw Data'!G112),2))),'Raw Data'!G112))</f>
        <v>16.489999999999998</v>
      </c>
      <c r="H112">
        <f>'Raw Data'!H112</f>
        <v>2</v>
      </c>
      <c r="I112" s="6">
        <f t="shared" si="3"/>
        <v>1.6490000000000009</v>
      </c>
      <c r="J112" s="6">
        <f>'Raw Data'!J112</f>
        <v>34.628999999999998</v>
      </c>
      <c r="K112" s="1">
        <f>VALUE(IFERROR(VALUE('Raw Data'!K112),CONCATENATE(MID('Raw Data'!K112,3,2),".","0",LEFT('Raw Data'!K112,1),".", RIGHT('Raw Data'!K112,4))))</f>
        <v>43587</v>
      </c>
      <c r="L112" s="2">
        <f>'Raw Data'!L112</f>
        <v>0.48055555555555557</v>
      </c>
      <c r="M112" t="s">
        <v>23</v>
      </c>
      <c r="N112">
        <f>VALUE(IF(AND(ISERR(FIND(".",'Raw Data'!N112)),LEN('Raw Data'!N112)=5), IF(YEAR('Raw Data'!N112)=2026,CONCATENATE(DAY('Raw Data'!N112),".",IF(LEN(MONTH('Raw Data'!N112))=2,MONTH('Raw Data'!N112),CONCATENATE("0",MONTH('Raw Data'!N112)))),CONCATENATE(MONTH('Raw Data'!N112),".",RIGHT(YEAR('Raw Data'!N112),2))),'Raw Data'!N112))</f>
        <v>32.979999999999997</v>
      </c>
      <c r="O112" s="6">
        <f t="shared" si="4"/>
        <v>4.7619047619047654</v>
      </c>
      <c r="P112" s="6">
        <f t="shared" si="5"/>
        <v>1.6490000000000009</v>
      </c>
      <c r="Q112">
        <f>VALUE(IF(AND(ISERR(FIND(".",'Raw Data'!Q112)),LEN('Raw Data'!Q112)=5), IF(YEAR('Raw Data'!Q112)=2026,CONCATENATE(DAY('Raw Data'!Q112),".",IF(LEN(MONTH('Raw Data'!Q112))=2,MONTH('Raw Data'!Q112),CONCATENATE(MONTH('Raw Data'!Q112)))),CONCATENATE(MONTH('Raw Data'!Q112),".",RIGHT(YEAR('Raw Data'!Q112),2))),'Raw Data'!Q112))</f>
        <v>4.5999999999999996</v>
      </c>
    </row>
    <row r="113" spans="1:17">
      <c r="A113" t="s">
        <v>180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f>VALUE(IF(AND(ISERR(FIND(".",'Raw Data'!G113)),LEN('Raw Data'!G113)=5), IF(YEAR('Raw Data'!G113)=2026,CONCATENATE(DAY('Raw Data'!G113),".",IF(LEN(MONTH('Raw Data'!G113))=2,MONTH('Raw Data'!G113),CONCATENATE("0",MONTH('Raw Data'!G113)))),CONCATENATE(MONTH('Raw Data'!G113),".",RIGHT(YEAR('Raw Data'!G113),2))),'Raw Data'!G113))</f>
        <v>98.21</v>
      </c>
      <c r="H113">
        <f>'Raw Data'!H113</f>
        <v>3</v>
      </c>
      <c r="I113" s="6">
        <f t="shared" si="3"/>
        <v>14.731499999999983</v>
      </c>
      <c r="J113" s="6">
        <f>'Raw Data'!J113</f>
        <v>309.36149999999998</v>
      </c>
      <c r="K113" s="1">
        <f>VALUE(IFERROR(VALUE('Raw Data'!K113),CONCATENATE(MID('Raw Data'!K113,3,2),".","0",LEFT('Raw Data'!K113,1),".", RIGHT('Raw Data'!K113,4))))</f>
        <v>43587</v>
      </c>
      <c r="L113" s="2">
        <f>'Raw Data'!L113</f>
        <v>0.44513888888888892</v>
      </c>
      <c r="M113" t="s">
        <v>33</v>
      </c>
      <c r="N113">
        <f>VALUE(IF(AND(ISERR(FIND(".",'Raw Data'!N113)),LEN('Raw Data'!N113)=5), IF(YEAR('Raw Data'!N113)=2026,CONCATENATE(DAY('Raw Data'!N113),".",IF(LEN(MONTH('Raw Data'!N113))=2,MONTH('Raw Data'!N113),CONCATENATE("0",MONTH('Raw Data'!N113)))),CONCATENATE(MONTH('Raw Data'!N113),".",RIGHT(YEAR('Raw Data'!N113),2))),'Raw Data'!N113))</f>
        <v>294.63</v>
      </c>
      <c r="O113" s="6">
        <f t="shared" si="4"/>
        <v>4.7619047619047565</v>
      </c>
      <c r="P113" s="6">
        <f t="shared" si="5"/>
        <v>14.731499999999983</v>
      </c>
      <c r="Q113">
        <f>VALUE(IF(AND(ISERR(FIND(".",'Raw Data'!Q113)),LEN('Raw Data'!Q113)=5), IF(YEAR('Raw Data'!Q113)=2026,CONCATENATE(DAY('Raw Data'!Q113),".",IF(LEN(MONTH('Raw Data'!Q113))=2,MONTH('Raw Data'!Q113),CONCATENATE(MONTH('Raw Data'!Q113)))),CONCATENATE(MONTH('Raw Data'!Q113),".",RIGHT(YEAR('Raw Data'!Q113),2))),'Raw Data'!Q113))</f>
        <v>7.8</v>
      </c>
    </row>
    <row r="114" spans="1:17">
      <c r="A114" t="s">
        <v>181</v>
      </c>
      <c r="B114" t="s">
        <v>34</v>
      </c>
      <c r="C114" t="s">
        <v>35</v>
      </c>
      <c r="D114" t="s">
        <v>27</v>
      </c>
      <c r="E114" t="s">
        <v>21</v>
      </c>
      <c r="F114" t="s">
        <v>43</v>
      </c>
      <c r="G114">
        <f>VALUE(IF(AND(ISERR(FIND(".",'Raw Data'!G114)),LEN('Raw Data'!G114)=5), IF(YEAR('Raw Data'!G114)=2026,CONCATENATE(DAY('Raw Data'!G114),".",IF(LEN(MONTH('Raw Data'!G114))=2,MONTH('Raw Data'!G114),CONCATENATE("0",MONTH('Raw Data'!G114)))),CONCATENATE(MONTH('Raw Data'!G114),".",RIGHT(YEAR('Raw Data'!G114),2))),'Raw Data'!G114))</f>
        <v>72.84</v>
      </c>
      <c r="H114">
        <f>'Raw Data'!H114</f>
        <v>7</v>
      </c>
      <c r="I114" s="6">
        <f t="shared" si="3"/>
        <v>25.494000000000028</v>
      </c>
      <c r="J114" s="6">
        <f>'Raw Data'!J114</f>
        <v>535.37400000000002</v>
      </c>
      <c r="K114" s="1">
        <f>VALUE(IFERROR(VALUE('Raw Data'!K114),CONCATENATE(MID('Raw Data'!K114,3,2),".","0",LEFT('Raw Data'!K114,1),".", RIGHT('Raw Data'!K114,4))))</f>
        <v>43511</v>
      </c>
      <c r="L114" s="2">
        <f>'Raw Data'!L114</f>
        <v>0.53055555555555556</v>
      </c>
      <c r="M114" t="s">
        <v>29</v>
      </c>
      <c r="N114">
        <f>VALUE(IF(AND(ISERR(FIND(".",'Raw Data'!N114)),LEN('Raw Data'!N114)=5), IF(YEAR('Raw Data'!N114)=2026,CONCATENATE(DAY('Raw Data'!N114),".",IF(LEN(MONTH('Raw Data'!N114))=2,MONTH('Raw Data'!N114),CONCATENATE("0",MONTH('Raw Data'!N114)))),CONCATENATE(MONTH('Raw Data'!N114),".",RIGHT(YEAR('Raw Data'!N114),2))),'Raw Data'!N114))</f>
        <v>509.88</v>
      </c>
      <c r="O114" s="6">
        <f t="shared" si="4"/>
        <v>4.7619047619047672</v>
      </c>
      <c r="P114" s="6">
        <f t="shared" si="5"/>
        <v>25.494000000000028</v>
      </c>
      <c r="Q114">
        <f>VALUE(IF(AND(ISERR(FIND(".",'Raw Data'!Q114)),LEN('Raw Data'!Q114)=5), IF(YEAR('Raw Data'!Q114)=2026,CONCATENATE(DAY('Raw Data'!Q114),".",IF(LEN(MONTH('Raw Data'!Q114))=2,MONTH('Raw Data'!Q114),CONCATENATE(MONTH('Raw Data'!Q114)))),CONCATENATE(MONTH('Raw Data'!Q114),".",RIGHT(YEAR('Raw Data'!Q114),2))),'Raw Data'!Q114))</f>
        <v>8.4</v>
      </c>
    </row>
    <row r="115" spans="1:17">
      <c r="A115" t="s">
        <v>182</v>
      </c>
      <c r="B115" t="s">
        <v>18</v>
      </c>
      <c r="C115" t="s">
        <v>19</v>
      </c>
      <c r="D115" t="s">
        <v>20</v>
      </c>
      <c r="E115" t="s">
        <v>30</v>
      </c>
      <c r="F115" t="s">
        <v>32</v>
      </c>
      <c r="G115">
        <f>VALUE(IF(AND(ISERR(FIND(".",'Raw Data'!G115)),LEN('Raw Data'!G115)=5), IF(YEAR('Raw Data'!G115)=2026,CONCATENATE(DAY('Raw Data'!G115),".",IF(LEN(MONTH('Raw Data'!G115))=2,MONTH('Raw Data'!G115),CONCATENATE("0",MONTH('Raw Data'!G115)))),CONCATENATE(MONTH('Raw Data'!G115),".",RIGHT(YEAR('Raw Data'!G115),2))),'Raw Data'!G115))</f>
        <v>58.07</v>
      </c>
      <c r="H115">
        <f>'Raw Data'!H115</f>
        <v>9</v>
      </c>
      <c r="I115" s="6">
        <f t="shared" si="3"/>
        <v>26.13149999999996</v>
      </c>
      <c r="J115" s="6">
        <f>'Raw Data'!J115</f>
        <v>548.76149999999996</v>
      </c>
      <c r="K115" s="1">
        <f>VALUE(IFERROR(VALUE('Raw Data'!K115),CONCATENATE(MID('Raw Data'!K115,3,2),".","0",LEFT('Raw Data'!K115,1),".", RIGHT('Raw Data'!K115,4))))</f>
        <v>43484</v>
      </c>
      <c r="L115" s="2">
        <f>'Raw Data'!L115</f>
        <v>0.83819444444444446</v>
      </c>
      <c r="M115" t="s">
        <v>23</v>
      </c>
      <c r="N115">
        <f>VALUE(IF(AND(ISERR(FIND(".",'Raw Data'!N115)),LEN('Raw Data'!N115)=5), IF(YEAR('Raw Data'!N115)=2026,CONCATENATE(DAY('Raw Data'!N115),".",IF(LEN(MONTH('Raw Data'!N115))=2,MONTH('Raw Data'!N115),CONCATENATE("0",MONTH('Raw Data'!N115)))),CONCATENATE(MONTH('Raw Data'!N115),".",RIGHT(YEAR('Raw Data'!N115),2))),'Raw Data'!N115))</f>
        <v>522.63</v>
      </c>
      <c r="O115" s="6">
        <f t="shared" si="4"/>
        <v>4.7619047619047548</v>
      </c>
      <c r="P115" s="6">
        <f t="shared" si="5"/>
        <v>26.13149999999996</v>
      </c>
      <c r="Q115">
        <f>VALUE(IF(AND(ISERR(FIND(".",'Raw Data'!Q115)),LEN('Raw Data'!Q115)=5), IF(YEAR('Raw Data'!Q115)=2026,CONCATENATE(DAY('Raw Data'!Q115),".",IF(LEN(MONTH('Raw Data'!Q115))=2,MONTH('Raw Data'!Q115),CONCATENATE(MONTH('Raw Data'!Q115)))),CONCATENATE(MONTH('Raw Data'!Q115),".",RIGHT(YEAR('Raw Data'!Q115),2))),'Raw Data'!Q115))</f>
        <v>4.3</v>
      </c>
    </row>
    <row r="116" spans="1:17">
      <c r="A116" t="s">
        <v>184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f>VALUE(IF(AND(ISERR(FIND(".",'Raw Data'!G116)),LEN('Raw Data'!G116)=5), IF(YEAR('Raw Data'!G116)=2026,CONCATENATE(DAY('Raw Data'!G116),".",IF(LEN(MONTH('Raw Data'!G116))=2,MONTH('Raw Data'!G116),CONCATENATE("0",MONTH('Raw Data'!G116)))),CONCATENATE(MONTH('Raw Data'!G116),".",RIGHT(YEAR('Raw Data'!G116),2))),'Raw Data'!G116))</f>
        <v>80.790000000000006</v>
      </c>
      <c r="H116">
        <f>'Raw Data'!H116</f>
        <v>9</v>
      </c>
      <c r="I116" s="6">
        <f t="shared" si="3"/>
        <v>36.355500000000006</v>
      </c>
      <c r="J116" s="6">
        <f>'Raw Data'!J116</f>
        <v>763.46550000000002</v>
      </c>
      <c r="K116" s="1">
        <f>VALUE(IFERROR(VALUE('Raw Data'!K116),CONCATENATE(MID('Raw Data'!K116,3,2),".","0",LEFT('Raw Data'!K116,1),".", RIGHT('Raw Data'!K116,4))))</f>
        <v>43467</v>
      </c>
      <c r="L116" s="2">
        <f>'Raw Data'!L116</f>
        <v>0.85486111111111107</v>
      </c>
      <c r="M116" t="s">
        <v>33</v>
      </c>
      <c r="N116">
        <f>VALUE(IF(AND(ISERR(FIND(".",'Raw Data'!N116)),LEN('Raw Data'!N116)=5), IF(YEAR('Raw Data'!N116)=2026,CONCATENATE(DAY('Raw Data'!N116),".",IF(LEN(MONTH('Raw Data'!N116))=2,MONTH('Raw Data'!N116),CONCATENATE("0",MONTH('Raw Data'!N116)))),CONCATENATE(MONTH('Raw Data'!N116),".",RIGHT(YEAR('Raw Data'!N116),2))),'Raw Data'!N116))</f>
        <v>727.11</v>
      </c>
      <c r="O116" s="6">
        <f t="shared" si="4"/>
        <v>4.7619047619047628</v>
      </c>
      <c r="P116" s="6">
        <f t="shared" si="5"/>
        <v>36.355500000000006</v>
      </c>
      <c r="Q116">
        <f>VALUE(IF(AND(ISERR(FIND(".",'Raw Data'!Q116)),LEN('Raw Data'!Q116)=5), IF(YEAR('Raw Data'!Q116)=2026,CONCATENATE(DAY('Raw Data'!Q116),".",IF(LEN(MONTH('Raw Data'!Q116))=2,MONTH('Raw Data'!Q116),CONCATENATE(MONTH('Raw Data'!Q116)))),CONCATENATE(MONTH('Raw Data'!Q116),".",RIGHT(YEAR('Raw Data'!Q116),2))),'Raw Data'!Q116))</f>
        <v>9.5</v>
      </c>
    </row>
    <row r="117" spans="1:17">
      <c r="A117" t="s">
        <v>185</v>
      </c>
      <c r="B117" t="s">
        <v>25</v>
      </c>
      <c r="C117" t="s">
        <v>26</v>
      </c>
      <c r="D117" t="s">
        <v>27</v>
      </c>
      <c r="E117" t="s">
        <v>21</v>
      </c>
      <c r="F117" t="s">
        <v>43</v>
      </c>
      <c r="G117">
        <f>VALUE(IF(AND(ISERR(FIND(".",'Raw Data'!G117)),LEN('Raw Data'!G117)=5), IF(YEAR('Raw Data'!G117)=2026,CONCATENATE(DAY('Raw Data'!G117),".",IF(LEN(MONTH('Raw Data'!G117))=2,MONTH('Raw Data'!G117),CONCATENATE("0",MONTH('Raw Data'!G117)))),CONCATENATE(MONTH('Raw Data'!G117),".",RIGHT(YEAR('Raw Data'!G117),2))),'Raw Data'!G117))</f>
        <v>27.02</v>
      </c>
      <c r="H117">
        <f>'Raw Data'!H117</f>
        <v>3</v>
      </c>
      <c r="I117" s="6">
        <f t="shared" si="3"/>
        <v>4.0529999999999973</v>
      </c>
      <c r="J117" s="6">
        <f>'Raw Data'!J117</f>
        <v>85.113</v>
      </c>
      <c r="K117" s="1">
        <f>VALUE(IFERROR(VALUE('Raw Data'!K117),CONCATENATE(MID('Raw Data'!K117,3,2),".","0",LEFT('Raw Data'!K117,1),".", RIGHT('Raw Data'!K117,4))))</f>
        <v>43499</v>
      </c>
      <c r="L117" s="2">
        <f>'Raw Data'!L117</f>
        <v>0.54236111111111118</v>
      </c>
      <c r="M117" t="s">
        <v>33</v>
      </c>
      <c r="N117">
        <f>VALUE(IF(AND(ISERR(FIND(".",'Raw Data'!N117)),LEN('Raw Data'!N117)=5), IF(YEAR('Raw Data'!N117)=2026,CONCATENATE(DAY('Raw Data'!N117),".",IF(LEN(MONTH('Raw Data'!N117))=2,MONTH('Raw Data'!N117),CONCATENATE("0",MONTH('Raw Data'!N117)))),CONCATENATE(MONTH('Raw Data'!N117),".",RIGHT(YEAR('Raw Data'!N117),2))),'Raw Data'!N117))</f>
        <v>81.06</v>
      </c>
      <c r="O117" s="6">
        <f t="shared" si="4"/>
        <v>4.7619047619047592</v>
      </c>
      <c r="P117" s="6">
        <f t="shared" si="5"/>
        <v>4.0529999999999973</v>
      </c>
      <c r="Q117">
        <f>VALUE(IF(AND(ISERR(FIND(".",'Raw Data'!Q117)),LEN('Raw Data'!Q117)=5), IF(YEAR('Raw Data'!Q117)=2026,CONCATENATE(DAY('Raw Data'!Q117),".",IF(LEN(MONTH('Raw Data'!Q117))=2,MONTH('Raw Data'!Q117),CONCATENATE(MONTH('Raw Data'!Q117)))),CONCATENATE(MONTH('Raw Data'!Q117),".",RIGHT(YEAR('Raw Data'!Q117),2))),'Raw Data'!Q117))</f>
        <v>7.1</v>
      </c>
    </row>
    <row r="118" spans="1:17">
      <c r="A118" t="s">
        <v>186</v>
      </c>
      <c r="B118" t="s">
        <v>34</v>
      </c>
      <c r="C118" t="s">
        <v>35</v>
      </c>
      <c r="D118" t="s">
        <v>20</v>
      </c>
      <c r="E118" t="s">
        <v>30</v>
      </c>
      <c r="F118" t="s">
        <v>43</v>
      </c>
      <c r="G118">
        <f>VALUE(IF(AND(ISERR(FIND(".",'Raw Data'!G118)),LEN('Raw Data'!G118)=5), IF(YEAR('Raw Data'!G118)=2026,CONCATENATE(DAY('Raw Data'!G118),".",IF(LEN(MONTH('Raw Data'!G118))=2,MONTH('Raw Data'!G118),CONCATENATE("0",MONTH('Raw Data'!G118)))),CONCATENATE(MONTH('Raw Data'!G118),".",RIGHT(YEAR('Raw Data'!G118),2))),'Raw Data'!G118))</f>
        <v>21.94</v>
      </c>
      <c r="H118">
        <f>'Raw Data'!H118</f>
        <v>5</v>
      </c>
      <c r="I118" s="6">
        <f t="shared" si="3"/>
        <v>5.4849999999999994</v>
      </c>
      <c r="J118" s="6">
        <f>'Raw Data'!J118</f>
        <v>115.185</v>
      </c>
      <c r="K118" s="1">
        <f>VALUE(IFERROR(VALUE('Raw Data'!K118),CONCATENATE(MID('Raw Data'!K118,3,2),".","0",LEFT('Raw Data'!K118,1),".", RIGHT('Raw Data'!K118,4))))</f>
        <v>43588</v>
      </c>
      <c r="L118" s="2">
        <f>'Raw Data'!L118</f>
        <v>0.52013888888888882</v>
      </c>
      <c r="M118" t="s">
        <v>23</v>
      </c>
      <c r="N118">
        <f>VALUE(IF(AND(ISERR(FIND(".",'Raw Data'!N118)),LEN('Raw Data'!N118)=5), IF(YEAR('Raw Data'!N118)=2026,CONCATENATE(DAY('Raw Data'!N118),".",IF(LEN(MONTH('Raw Data'!N118))=2,MONTH('Raw Data'!N118),CONCATENATE("0",MONTH('Raw Data'!N118)))),CONCATENATE(MONTH('Raw Data'!N118),".",RIGHT(YEAR('Raw Data'!N118),2))),'Raw Data'!N118))</f>
        <v>109.7</v>
      </c>
      <c r="O118" s="6">
        <f t="shared" si="4"/>
        <v>4.7619047619047619</v>
      </c>
      <c r="P118" s="6">
        <f t="shared" si="5"/>
        <v>5.4849999999999994</v>
      </c>
      <c r="Q118">
        <f>VALUE(IF(AND(ISERR(FIND(".",'Raw Data'!Q118)),LEN('Raw Data'!Q118)=5), IF(YEAR('Raw Data'!Q118)=2026,CONCATENATE(DAY('Raw Data'!Q118),".",IF(LEN(MONTH('Raw Data'!Q118))=2,MONTH('Raw Data'!Q118),CONCATENATE(MONTH('Raw Data'!Q118)))),CONCATENATE(MONTH('Raw Data'!Q118),".",RIGHT(YEAR('Raw Data'!Q118),2))),'Raw Data'!Q118))</f>
        <v>5.3</v>
      </c>
    </row>
    <row r="119" spans="1:17">
      <c r="A119" t="s">
        <v>187</v>
      </c>
      <c r="B119" t="s">
        <v>34</v>
      </c>
      <c r="C119" t="s">
        <v>35</v>
      </c>
      <c r="D119" t="s">
        <v>20</v>
      </c>
      <c r="E119" t="s">
        <v>30</v>
      </c>
      <c r="F119" t="s">
        <v>43</v>
      </c>
      <c r="G119">
        <f>VALUE(IF(AND(ISERR(FIND(".",'Raw Data'!G119)),LEN('Raw Data'!G119)=5), IF(YEAR('Raw Data'!G119)=2026,CONCATENATE(DAY('Raw Data'!G119),".",IF(LEN(MONTH('Raw Data'!G119))=2,MONTH('Raw Data'!G119),CONCATENATE("0",MONTH('Raw Data'!G119)))),CONCATENATE(MONTH('Raw Data'!G119),".",RIGHT(YEAR('Raw Data'!G119),2))),'Raw Data'!G119))</f>
        <v>51.36</v>
      </c>
      <c r="H119">
        <f>'Raw Data'!H119</f>
        <v>1</v>
      </c>
      <c r="I119" s="6">
        <f t="shared" si="3"/>
        <v>2.5679999999999978</v>
      </c>
      <c r="J119" s="6">
        <f>'Raw Data'!J119</f>
        <v>53.927999999999997</v>
      </c>
      <c r="K119" s="1">
        <f>VALUE(IFERROR(VALUE('Raw Data'!K119),CONCATENATE(MID('Raw Data'!K119,3,2),".","0",LEFT('Raw Data'!K119,1),".", RIGHT('Raw Data'!K119,4))))</f>
        <v>43481</v>
      </c>
      <c r="L119" s="2">
        <f>'Raw Data'!L119</f>
        <v>0.6430555555555556</v>
      </c>
      <c r="M119" t="s">
        <v>23</v>
      </c>
      <c r="N119">
        <f>VALUE(IF(AND(ISERR(FIND(".",'Raw Data'!N119)),LEN('Raw Data'!N119)=5), IF(YEAR('Raw Data'!N119)=2026,CONCATENATE(DAY('Raw Data'!N119),".",IF(LEN(MONTH('Raw Data'!N119))=2,MONTH('Raw Data'!N119),CONCATENATE("0",MONTH('Raw Data'!N119)))),CONCATENATE(MONTH('Raw Data'!N119),".",RIGHT(YEAR('Raw Data'!N119),2))),'Raw Data'!N119))</f>
        <v>51.36</v>
      </c>
      <c r="O119" s="6">
        <f t="shared" si="4"/>
        <v>4.7619047619047583</v>
      </c>
      <c r="P119" s="6">
        <f t="shared" si="5"/>
        <v>2.5679999999999978</v>
      </c>
      <c r="Q119">
        <f>VALUE(IF(AND(ISERR(FIND(".",'Raw Data'!Q119)),LEN('Raw Data'!Q119)=5), IF(YEAR('Raw Data'!Q119)=2026,CONCATENATE(DAY('Raw Data'!Q119),".",IF(LEN(MONTH('Raw Data'!Q119))=2,MONTH('Raw Data'!Q119),CONCATENATE(MONTH('Raw Data'!Q119)))),CONCATENATE(MONTH('Raw Data'!Q119),".",RIGHT(YEAR('Raw Data'!Q119),2))),'Raw Data'!Q119))</f>
        <v>5.2</v>
      </c>
    </row>
    <row r="120" spans="1:17">
      <c r="A120" t="s">
        <v>189</v>
      </c>
      <c r="B120" t="s">
        <v>18</v>
      </c>
      <c r="C120" t="s">
        <v>19</v>
      </c>
      <c r="D120" t="s">
        <v>27</v>
      </c>
      <c r="E120" t="s">
        <v>21</v>
      </c>
      <c r="F120" t="s">
        <v>40</v>
      </c>
      <c r="G120">
        <f>VALUE(IF(AND(ISERR(FIND(".",'Raw Data'!G120)),LEN('Raw Data'!G120)=5), IF(YEAR('Raw Data'!G120)=2026,CONCATENATE(DAY('Raw Data'!G120),".",IF(LEN(MONTH('Raw Data'!G120))=2,MONTH('Raw Data'!G120),CONCATENATE("0",MONTH('Raw Data'!G120)))),CONCATENATE(MONTH('Raw Data'!G120),".",RIGHT(YEAR('Raw Data'!G120),2))),'Raw Data'!G120))</f>
        <v>10.96</v>
      </c>
      <c r="H120">
        <f>'Raw Data'!H120</f>
        <v>10</v>
      </c>
      <c r="I120" s="6">
        <f t="shared" si="3"/>
        <v>5.4799999999999898</v>
      </c>
      <c r="J120" s="6">
        <f>'Raw Data'!J120</f>
        <v>115.08</v>
      </c>
      <c r="K120" s="1">
        <f>VALUE(IFERROR(VALUE('Raw Data'!K120),CONCATENATE(MID('Raw Data'!K120,3,2),".","0",LEFT('Raw Data'!K120,1),".", RIGHT('Raw Data'!K120,4))))</f>
        <v>43498</v>
      </c>
      <c r="L120" s="2">
        <f>'Raw Data'!L120</f>
        <v>0.8666666666666667</v>
      </c>
      <c r="M120" t="s">
        <v>23</v>
      </c>
      <c r="N120">
        <f>VALUE(IF(AND(ISERR(FIND(".",'Raw Data'!N120)),LEN('Raw Data'!N120)=5), IF(YEAR('Raw Data'!N120)=2026,CONCATENATE(DAY('Raw Data'!N120),".",IF(LEN(MONTH('Raw Data'!N120))=2,MONTH('Raw Data'!N120),CONCATENATE("0",MONTH('Raw Data'!N120)))),CONCATENATE(MONTH('Raw Data'!N120),".",RIGHT(YEAR('Raw Data'!N120),2))),'Raw Data'!N120))</f>
        <v>109.6</v>
      </c>
      <c r="O120" s="6">
        <f t="shared" si="4"/>
        <v>4.7619047619047654</v>
      </c>
      <c r="P120" s="6">
        <f t="shared" si="5"/>
        <v>5.480000000000004</v>
      </c>
      <c r="Q120">
        <f>VALUE(IF(AND(ISERR(FIND(".",'Raw Data'!Q120)),LEN('Raw Data'!Q120)=5), IF(YEAR('Raw Data'!Q120)=2026,CONCATENATE(DAY('Raw Data'!Q120),".",IF(LEN(MONTH('Raw Data'!Q120))=2,MONTH('Raw Data'!Q120),CONCATENATE(MONTH('Raw Data'!Q120)))),CONCATENATE(MONTH('Raw Data'!Q120),".",RIGHT(YEAR('Raw Data'!Q120),2))),'Raw Data'!Q120))</f>
        <v>6</v>
      </c>
    </row>
    <row r="121" spans="1:17">
      <c r="A121" t="s">
        <v>190</v>
      </c>
      <c r="B121" t="s">
        <v>34</v>
      </c>
      <c r="C121" t="s">
        <v>35</v>
      </c>
      <c r="D121" t="s">
        <v>27</v>
      </c>
      <c r="E121" t="s">
        <v>30</v>
      </c>
      <c r="F121" t="s">
        <v>32</v>
      </c>
      <c r="G121">
        <f>VALUE(IF(AND(ISERR(FIND(".",'Raw Data'!G121)),LEN('Raw Data'!G121)=5), IF(YEAR('Raw Data'!G121)=2026,CONCATENATE(DAY('Raw Data'!G121),".",IF(LEN(MONTH('Raw Data'!G121))=2,MONTH('Raw Data'!G121),CONCATENATE("0",MONTH('Raw Data'!G121)))),CONCATENATE(MONTH('Raw Data'!G121),".",RIGHT(YEAR('Raw Data'!G121),2))),'Raw Data'!G121))</f>
        <v>53.44</v>
      </c>
      <c r="H121">
        <f>'Raw Data'!H121</f>
        <v>2</v>
      </c>
      <c r="I121" s="6">
        <f t="shared" si="3"/>
        <v>5.3440000000000083</v>
      </c>
      <c r="J121" s="6">
        <f>'Raw Data'!J121</f>
        <v>112.224</v>
      </c>
      <c r="K121" s="1">
        <f>VALUE(IFERROR(VALUE('Raw Data'!K121),CONCATENATE(MID('Raw Data'!K121,3,2),".","0",LEFT('Raw Data'!K121,1),".", RIGHT('Raw Data'!K121,4))))</f>
        <v>43485</v>
      </c>
      <c r="L121" s="2">
        <f>'Raw Data'!L121</f>
        <v>0.85972222222222217</v>
      </c>
      <c r="M121" t="s">
        <v>23</v>
      </c>
      <c r="N121">
        <f>VALUE(IF(AND(ISERR(FIND(".",'Raw Data'!N121)),LEN('Raw Data'!N121)=5), IF(YEAR('Raw Data'!N121)=2026,CONCATENATE(DAY('Raw Data'!N121),".",IF(LEN(MONTH('Raw Data'!N121))=2,MONTH('Raw Data'!N121),CONCATENATE("0",MONTH('Raw Data'!N121)))),CONCATENATE(MONTH('Raw Data'!N121),".",RIGHT(YEAR('Raw Data'!N121),2))),'Raw Data'!N121))</f>
        <v>106.88</v>
      </c>
      <c r="O121" s="6">
        <f t="shared" si="4"/>
        <v>4.761904761904769</v>
      </c>
      <c r="P121" s="6">
        <f t="shared" si="5"/>
        <v>5.3440000000000083</v>
      </c>
      <c r="Q121">
        <f>VALUE(IF(AND(ISERR(FIND(".",'Raw Data'!Q121)),LEN('Raw Data'!Q121)=5), IF(YEAR('Raw Data'!Q121)=2026,CONCATENATE(DAY('Raw Data'!Q121),".",IF(LEN(MONTH('Raw Data'!Q121))=2,MONTH('Raw Data'!Q121),CONCATENATE(MONTH('Raw Data'!Q121)))),CONCATENATE(MONTH('Raw Data'!Q121),".",RIGHT(YEAR('Raw Data'!Q121),2))),'Raw Data'!Q121))</f>
        <v>4.0999999999999996</v>
      </c>
    </row>
    <row r="122" spans="1:17">
      <c r="A122" t="s">
        <v>191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f>VALUE(IF(AND(ISERR(FIND(".",'Raw Data'!G122)),LEN('Raw Data'!G122)=5), IF(YEAR('Raw Data'!G122)=2026,CONCATENATE(DAY('Raw Data'!G122),".",IF(LEN(MONTH('Raw Data'!G122))=2,MONTH('Raw Data'!G122),CONCATENATE("0",MONTH('Raw Data'!G122)))),CONCATENATE(MONTH('Raw Data'!G122),".",RIGHT(YEAR('Raw Data'!G122),2))),'Raw Data'!G122))</f>
        <v>99.56</v>
      </c>
      <c r="H122">
        <f>'Raw Data'!H122</f>
        <v>8</v>
      </c>
      <c r="I122" s="6">
        <f t="shared" si="3"/>
        <v>39.823999999999955</v>
      </c>
      <c r="J122" s="6">
        <f>'Raw Data'!J122</f>
        <v>836.30399999999997</v>
      </c>
      <c r="K122" s="1">
        <f>VALUE(IFERROR(VALUE('Raw Data'!K122),CONCATENATE(MID('Raw Data'!K122,3,2),".","0",LEFT('Raw Data'!K122,1),".", RIGHT('Raw Data'!K122,4))))</f>
        <v>43510</v>
      </c>
      <c r="L122" s="2">
        <f>'Raw Data'!L122</f>
        <v>0.7104166666666667</v>
      </c>
      <c r="M122" t="s">
        <v>33</v>
      </c>
      <c r="N122">
        <f>VALUE(IF(AND(ISERR(FIND(".",'Raw Data'!N122)),LEN('Raw Data'!N122)=5), IF(YEAR('Raw Data'!N122)=2026,CONCATENATE(DAY('Raw Data'!N122),".",IF(LEN(MONTH('Raw Data'!N122))=2,MONTH('Raw Data'!N122),CONCATENATE("0",MONTH('Raw Data'!N122)))),CONCATENATE(MONTH('Raw Data'!N122),".",RIGHT(YEAR('Raw Data'!N122),2))),'Raw Data'!N122))</f>
        <v>796.48</v>
      </c>
      <c r="O122" s="6">
        <f t="shared" si="4"/>
        <v>4.7619047619047565</v>
      </c>
      <c r="P122" s="6">
        <f t="shared" si="5"/>
        <v>39.823999999999955</v>
      </c>
      <c r="Q122">
        <f>VALUE(IF(AND(ISERR(FIND(".",'Raw Data'!Q122)),LEN('Raw Data'!Q122)=5), IF(YEAR('Raw Data'!Q122)=2026,CONCATENATE(DAY('Raw Data'!Q122),".",IF(LEN(MONTH('Raw Data'!Q122))=2,MONTH('Raw Data'!Q122),CONCATENATE(MONTH('Raw Data'!Q122)))),CONCATENATE(MONTH('Raw Data'!Q122),".",RIGHT(YEAR('Raw Data'!Q122),2))),'Raw Data'!Q122))</f>
        <v>5.2</v>
      </c>
    </row>
    <row r="123" spans="1:17">
      <c r="A123" t="s">
        <v>192</v>
      </c>
      <c r="B123" t="s">
        <v>25</v>
      </c>
      <c r="C123" t="s">
        <v>26</v>
      </c>
      <c r="D123" t="s">
        <v>20</v>
      </c>
      <c r="E123" t="s">
        <v>30</v>
      </c>
      <c r="F123" t="s">
        <v>38</v>
      </c>
      <c r="G123">
        <f>VALUE(IF(AND(ISERR(FIND(".",'Raw Data'!G123)),LEN('Raw Data'!G123)=5), IF(YEAR('Raw Data'!G123)=2026,CONCATENATE(DAY('Raw Data'!G123),".",IF(LEN(MONTH('Raw Data'!G123))=2,MONTH('Raw Data'!G123),CONCATENATE("0",MONTH('Raw Data'!G123)))),CONCATENATE(MONTH('Raw Data'!G123),".",RIGHT(YEAR('Raw Data'!G123),2))),'Raw Data'!G123))</f>
        <v>57.12</v>
      </c>
      <c r="H123">
        <f>'Raw Data'!H123</f>
        <v>7</v>
      </c>
      <c r="I123" s="6">
        <f t="shared" si="3"/>
        <v>19.992000000000019</v>
      </c>
      <c r="J123" s="6">
        <f>'Raw Data'!J123</f>
        <v>419.83199999999999</v>
      </c>
      <c r="K123" s="1">
        <f>VALUE(IFERROR(VALUE('Raw Data'!K123),CONCATENATE(MID('Raw Data'!K123,3,2),".","0",LEFT('Raw Data'!K123,1),".", RIGHT('Raw Data'!K123,4))))</f>
        <v>43800</v>
      </c>
      <c r="L123" s="2">
        <f>'Raw Data'!L123</f>
        <v>0.50138888888888888</v>
      </c>
      <c r="M123" t="s">
        <v>33</v>
      </c>
      <c r="N123">
        <f>VALUE(IF(AND(ISERR(FIND(".",'Raw Data'!N123)),LEN('Raw Data'!N123)=5), IF(YEAR('Raw Data'!N123)=2026,CONCATENATE(DAY('Raw Data'!N123),".",IF(LEN(MONTH('Raw Data'!N123))=2,MONTH('Raw Data'!N123),CONCATENATE("0",MONTH('Raw Data'!N123)))),CONCATENATE(MONTH('Raw Data'!N123),".",RIGHT(YEAR('Raw Data'!N123),2))),'Raw Data'!N123))</f>
        <v>399.84</v>
      </c>
      <c r="O123" s="6">
        <f t="shared" si="4"/>
        <v>4.7619047619047663</v>
      </c>
      <c r="P123" s="6">
        <f t="shared" si="5"/>
        <v>19.992000000000019</v>
      </c>
      <c r="Q123">
        <f>VALUE(IF(AND(ISERR(FIND(".",'Raw Data'!Q123)),LEN('Raw Data'!Q123)=5), IF(YEAR('Raw Data'!Q123)=2026,CONCATENATE(DAY('Raw Data'!Q123),".",IF(LEN(MONTH('Raw Data'!Q123))=2,MONTH('Raw Data'!Q123),CONCATENATE(MONTH('Raw Data'!Q123)))),CONCATENATE(MONTH('Raw Data'!Q123),".",RIGHT(YEAR('Raw Data'!Q123),2))),'Raw Data'!Q123))</f>
        <v>6.5</v>
      </c>
    </row>
    <row r="124" spans="1:17">
      <c r="A124" t="s">
        <v>193</v>
      </c>
      <c r="B124" t="s">
        <v>34</v>
      </c>
      <c r="C124" t="s">
        <v>35</v>
      </c>
      <c r="D124" t="s">
        <v>20</v>
      </c>
      <c r="E124" t="s">
        <v>30</v>
      </c>
      <c r="F124" t="s">
        <v>38</v>
      </c>
      <c r="G124">
        <f>VALUE(IF(AND(ISERR(FIND(".",'Raw Data'!G124)),LEN('Raw Data'!G124)=5), IF(YEAR('Raw Data'!G124)=2026,CONCATENATE(DAY('Raw Data'!G124),".",IF(LEN(MONTH('Raw Data'!G124))=2,MONTH('Raw Data'!G124),CONCATENATE("0",MONTH('Raw Data'!G124)))),CONCATENATE(MONTH('Raw Data'!G124),".",RIGHT(YEAR('Raw Data'!G124),2))),'Raw Data'!G124))</f>
        <v>99.96</v>
      </c>
      <c r="H124">
        <f>'Raw Data'!H124</f>
        <v>9</v>
      </c>
      <c r="I124" s="6">
        <f t="shared" si="3"/>
        <v>44.981999999999971</v>
      </c>
      <c r="J124" s="6">
        <f>'Raw Data'!J124</f>
        <v>944.62199999999996</v>
      </c>
      <c r="K124" s="1">
        <f>VALUE(IFERROR(VALUE('Raw Data'!K124),CONCATENATE(MID('Raw Data'!K124,3,2),".","0",LEFT('Raw Data'!K124,1),".", RIGHT('Raw Data'!K124,4))))</f>
        <v>43711</v>
      </c>
      <c r="L124" s="2">
        <f>'Raw Data'!L124</f>
        <v>0.72638888888888886</v>
      </c>
      <c r="M124" t="s">
        <v>33</v>
      </c>
      <c r="N124">
        <f>VALUE(IF(AND(ISERR(FIND(".",'Raw Data'!N124)),LEN('Raw Data'!N124)=5), IF(YEAR('Raw Data'!N124)=2026,CONCATENATE(DAY('Raw Data'!N124),".",IF(LEN(MONTH('Raw Data'!N124))=2,MONTH('Raw Data'!N124),CONCATENATE("0",MONTH('Raw Data'!N124)))),CONCATENATE(MONTH('Raw Data'!N124),".",RIGHT(YEAR('Raw Data'!N124),2))),'Raw Data'!N124))</f>
        <v>899.64</v>
      </c>
      <c r="O124" s="6">
        <f t="shared" si="4"/>
        <v>4.7619047619047592</v>
      </c>
      <c r="P124" s="6">
        <f t="shared" si="5"/>
        <v>44.981999999999971</v>
      </c>
      <c r="Q124">
        <f>VALUE(IF(AND(ISERR(FIND(".",'Raw Data'!Q124)),LEN('Raw Data'!Q124)=5), IF(YEAR('Raw Data'!Q124)=2026,CONCATENATE(DAY('Raw Data'!Q124),".",IF(LEN(MONTH('Raw Data'!Q124))=2,MONTH('Raw Data'!Q124),CONCATENATE(MONTH('Raw Data'!Q124)))),CONCATENATE(MONTH('Raw Data'!Q124),".",RIGHT(YEAR('Raw Data'!Q124),2))),'Raw Data'!Q124))</f>
        <v>4.2</v>
      </c>
    </row>
    <row r="125" spans="1:17">
      <c r="A125" t="s">
        <v>194</v>
      </c>
      <c r="B125" t="s">
        <v>25</v>
      </c>
      <c r="C125" t="s">
        <v>26</v>
      </c>
      <c r="D125" t="s">
        <v>20</v>
      </c>
      <c r="E125" t="s">
        <v>30</v>
      </c>
      <c r="F125" t="s">
        <v>32</v>
      </c>
      <c r="G125">
        <f>VALUE(IF(AND(ISERR(FIND(".",'Raw Data'!G125)),LEN('Raw Data'!G125)=5), IF(YEAR('Raw Data'!G125)=2026,CONCATENATE(DAY('Raw Data'!G125),".",IF(LEN(MONTH('Raw Data'!G125))=2,MONTH('Raw Data'!G125),CONCATENATE("0",MONTH('Raw Data'!G125)))),CONCATENATE(MONTH('Raw Data'!G125),".",RIGHT(YEAR('Raw Data'!G125),2))),'Raw Data'!G125))</f>
        <v>63.91</v>
      </c>
      <c r="H125">
        <f>'Raw Data'!H125</f>
        <v>8</v>
      </c>
      <c r="I125" s="6">
        <f t="shared" si="3"/>
        <v>25.564000000000078</v>
      </c>
      <c r="J125" s="6">
        <f>'Raw Data'!J125</f>
        <v>536.84400000000005</v>
      </c>
      <c r="K125" s="1">
        <f>VALUE(IFERROR(VALUE('Raw Data'!K125),CONCATENATE(MID('Raw Data'!K125,3,2),".","0",LEFT('Raw Data'!K125,1),".", RIGHT('Raw Data'!K125,4))))</f>
        <v>43537</v>
      </c>
      <c r="L125" s="2">
        <f>'Raw Data'!L125</f>
        <v>0.82777777777777783</v>
      </c>
      <c r="M125" t="s">
        <v>33</v>
      </c>
      <c r="N125">
        <f>VALUE(IF(AND(ISERR(FIND(".",'Raw Data'!N125)),LEN('Raw Data'!N125)=5), IF(YEAR('Raw Data'!N125)=2026,CONCATENATE(DAY('Raw Data'!N125),".",IF(LEN(MONTH('Raw Data'!N125))=2,MONTH('Raw Data'!N125),CONCATENATE("0",MONTH('Raw Data'!N125)))),CONCATENATE(MONTH('Raw Data'!N125),".",RIGHT(YEAR('Raw Data'!N125),2))),'Raw Data'!N125))</f>
        <v>511.28</v>
      </c>
      <c r="O125" s="6">
        <f t="shared" si="4"/>
        <v>4.7619047619047761</v>
      </c>
      <c r="P125" s="6">
        <f t="shared" si="5"/>
        <v>25.564000000000078</v>
      </c>
      <c r="Q125">
        <f>VALUE(IF(AND(ISERR(FIND(".",'Raw Data'!Q125)),LEN('Raw Data'!Q125)=5), IF(YEAR('Raw Data'!Q125)=2026,CONCATENATE(DAY('Raw Data'!Q125),".",IF(LEN(MONTH('Raw Data'!Q125))=2,MONTH('Raw Data'!Q125),CONCATENATE(MONTH('Raw Data'!Q125)))),CONCATENATE(MONTH('Raw Data'!Q125),".",RIGHT(YEAR('Raw Data'!Q125),2))),'Raw Data'!Q125))</f>
        <v>4.5999999999999996</v>
      </c>
    </row>
    <row r="126" spans="1:17">
      <c r="A126" t="s">
        <v>195</v>
      </c>
      <c r="B126" t="s">
        <v>34</v>
      </c>
      <c r="C126" t="s">
        <v>35</v>
      </c>
      <c r="D126" t="s">
        <v>20</v>
      </c>
      <c r="E126" t="s">
        <v>21</v>
      </c>
      <c r="F126" t="s">
        <v>43</v>
      </c>
      <c r="G126">
        <f>VALUE(IF(AND(ISERR(FIND(".",'Raw Data'!G126)),LEN('Raw Data'!G126)=5), IF(YEAR('Raw Data'!G126)=2026,CONCATENATE(DAY('Raw Data'!G126),".",IF(LEN(MONTH('Raw Data'!G126))=2,MONTH('Raw Data'!G126),CONCATENATE("0",MONTH('Raw Data'!G126)))),CONCATENATE(MONTH('Raw Data'!G126),".",RIGHT(YEAR('Raw Data'!G126),2))),'Raw Data'!G126))</f>
        <v>56.47</v>
      </c>
      <c r="H126">
        <f>'Raw Data'!H126</f>
        <v>8</v>
      </c>
      <c r="I126" s="6">
        <f t="shared" si="3"/>
        <v>22.588000000000022</v>
      </c>
      <c r="J126" s="6">
        <f>'Raw Data'!J126</f>
        <v>474.34800000000001</v>
      </c>
      <c r="K126" s="1">
        <f>VALUE(IFERROR(VALUE('Raw Data'!K126),CONCATENATE(MID('Raw Data'!K126,3,2),".","0",LEFT('Raw Data'!K126,1),".", RIGHT('Raw Data'!K126,4))))</f>
        <v>43711</v>
      </c>
      <c r="L126" s="2">
        <f>'Raw Data'!L126</f>
        <v>0.62291666666666667</v>
      </c>
      <c r="M126" t="s">
        <v>23</v>
      </c>
      <c r="N126">
        <f>VALUE(IF(AND(ISERR(FIND(".",'Raw Data'!N126)),LEN('Raw Data'!N126)=5), IF(YEAR('Raw Data'!N126)=2026,CONCATENATE(DAY('Raw Data'!N126),".",IF(LEN(MONTH('Raw Data'!N126))=2,MONTH('Raw Data'!N126),CONCATENATE("0",MONTH('Raw Data'!N126)))),CONCATENATE(MONTH('Raw Data'!N126),".",RIGHT(YEAR('Raw Data'!N126),2))),'Raw Data'!N126))</f>
        <v>451.76</v>
      </c>
      <c r="O126" s="6">
        <f t="shared" si="4"/>
        <v>4.7619047619047663</v>
      </c>
      <c r="P126" s="6">
        <f t="shared" si="5"/>
        <v>22.588000000000022</v>
      </c>
      <c r="Q126">
        <f>VALUE(IF(AND(ISERR(FIND(".",'Raw Data'!Q126)),LEN('Raw Data'!Q126)=5), IF(YEAR('Raw Data'!Q126)=2026,CONCATENATE(DAY('Raw Data'!Q126),".",IF(LEN(MONTH('Raw Data'!Q126))=2,MONTH('Raw Data'!Q126),CONCATENATE(MONTH('Raw Data'!Q126)))),CONCATENATE(MONTH('Raw Data'!Q126),".",RIGHT(YEAR('Raw Data'!Q126),2))),'Raw Data'!Q126))</f>
        <v>7.3</v>
      </c>
    </row>
    <row r="127" spans="1:17">
      <c r="A127" t="s">
        <v>196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f>VALUE(IF(AND(ISERR(FIND(".",'Raw Data'!G127)),LEN('Raw Data'!G127)=5), IF(YEAR('Raw Data'!G127)=2026,CONCATENATE(DAY('Raw Data'!G127),".",IF(LEN(MONTH('Raw Data'!G127))=2,MONTH('Raw Data'!G127),CONCATENATE("0",MONTH('Raw Data'!G127)))),CONCATENATE(MONTH('Raw Data'!G127),".",RIGHT(YEAR('Raw Data'!G127),2))),'Raw Data'!G127))</f>
        <v>93.69</v>
      </c>
      <c r="H127">
        <f>'Raw Data'!H127</f>
        <v>7</v>
      </c>
      <c r="I127" s="6">
        <f t="shared" si="3"/>
        <v>32.791500000000042</v>
      </c>
      <c r="J127" s="6">
        <f>'Raw Data'!J127</f>
        <v>688.62149999999997</v>
      </c>
      <c r="K127" s="1">
        <f>VALUE(IFERROR(VALUE('Raw Data'!K127),CONCATENATE(MID('Raw Data'!K127,3,2),".","0",LEFT('Raw Data'!K127,1),".", RIGHT('Raw Data'!K127,4))))</f>
        <v>43741</v>
      </c>
      <c r="L127" s="2">
        <f>'Raw Data'!L127</f>
        <v>0.78055555555555556</v>
      </c>
      <c r="M127" t="s">
        <v>33</v>
      </c>
      <c r="N127">
        <f>VALUE(IF(AND(ISERR(FIND(".",'Raw Data'!N127)),LEN('Raw Data'!N127)=5), IF(YEAR('Raw Data'!N127)=2026,CONCATENATE(DAY('Raw Data'!N127),".",IF(LEN(MONTH('Raw Data'!N127))=2,MONTH('Raw Data'!N127),CONCATENATE("0",MONTH('Raw Data'!N127)))),CONCATENATE(MONTH('Raw Data'!N127),".",RIGHT(YEAR('Raw Data'!N127),2))),'Raw Data'!N127))</f>
        <v>655.83</v>
      </c>
      <c r="O127" s="6">
        <f t="shared" si="4"/>
        <v>4.7619047619047521</v>
      </c>
      <c r="P127" s="6">
        <f t="shared" si="5"/>
        <v>32.791499999999928</v>
      </c>
      <c r="Q127">
        <f>VALUE(IF(AND(ISERR(FIND(".",'Raw Data'!Q127)),LEN('Raw Data'!Q127)=5), IF(YEAR('Raw Data'!Q127)=2026,CONCATENATE(DAY('Raw Data'!Q127),".",IF(LEN(MONTH('Raw Data'!Q127))=2,MONTH('Raw Data'!Q127),CONCATENATE(MONTH('Raw Data'!Q127)))),CONCATENATE(MONTH('Raw Data'!Q127),".",RIGHT(YEAR('Raw Data'!Q127),2))),'Raw Data'!Q127))</f>
        <v>4.5</v>
      </c>
    </row>
    <row r="128" spans="1:17">
      <c r="A128" t="s">
        <v>197</v>
      </c>
      <c r="B128" t="s">
        <v>18</v>
      </c>
      <c r="C128" t="s">
        <v>19</v>
      </c>
      <c r="D128" t="s">
        <v>27</v>
      </c>
      <c r="E128" t="s">
        <v>21</v>
      </c>
      <c r="F128" t="s">
        <v>38</v>
      </c>
      <c r="G128">
        <f>VALUE(IF(AND(ISERR(FIND(".",'Raw Data'!G128)),LEN('Raw Data'!G128)=5), IF(YEAR('Raw Data'!G128)=2026,CONCATENATE(DAY('Raw Data'!G128),".",IF(LEN(MONTH('Raw Data'!G128))=2,MONTH('Raw Data'!G128),CONCATENATE("0",MONTH('Raw Data'!G128)))),CONCATENATE(MONTH('Raw Data'!G128),".",RIGHT(YEAR('Raw Data'!G128),2))),'Raw Data'!G128))</f>
        <v>32.25</v>
      </c>
      <c r="H128">
        <f>'Raw Data'!H128</f>
        <v>5</v>
      </c>
      <c r="I128" s="6">
        <f t="shared" si="3"/>
        <v>8.0625</v>
      </c>
      <c r="J128" s="6">
        <f>'Raw Data'!J128</f>
        <v>169.3125</v>
      </c>
      <c r="K128" s="1">
        <f>VALUE(IFERROR(VALUE('Raw Data'!K128),CONCATENATE(MID('Raw Data'!K128,3,2),".","0",LEFT('Raw Data'!K128,1),".", RIGHT('Raw Data'!K128,4))))</f>
        <v>43492</v>
      </c>
      <c r="L128" s="2">
        <f>'Raw Data'!L128</f>
        <v>0.55972222222222223</v>
      </c>
      <c r="M128" t="s">
        <v>29</v>
      </c>
      <c r="N128">
        <f>VALUE(IF(AND(ISERR(FIND(".",'Raw Data'!N128)),LEN('Raw Data'!N128)=5), IF(YEAR('Raw Data'!N128)=2026,CONCATENATE(DAY('Raw Data'!N128),".",IF(LEN(MONTH('Raw Data'!N128))=2,MONTH('Raw Data'!N128),CONCATENATE("0",MONTH('Raw Data'!N128)))),CONCATENATE(MONTH('Raw Data'!N128),".",RIGHT(YEAR('Raw Data'!N128),2))),'Raw Data'!N128))</f>
        <v>161.25</v>
      </c>
      <c r="O128" s="6">
        <f t="shared" si="4"/>
        <v>4.7619047619047619</v>
      </c>
      <c r="P128" s="6">
        <f t="shared" si="5"/>
        <v>8.0625</v>
      </c>
      <c r="Q128">
        <f>VALUE(IF(AND(ISERR(FIND(".",'Raw Data'!Q128)),LEN('Raw Data'!Q128)=5), IF(YEAR('Raw Data'!Q128)=2026,CONCATENATE(DAY('Raw Data'!Q128),".",IF(LEN(MONTH('Raw Data'!Q128))=2,MONTH('Raw Data'!Q128),CONCATENATE(MONTH('Raw Data'!Q128)))),CONCATENATE(MONTH('Raw Data'!Q128),".",RIGHT(YEAR('Raw Data'!Q128),2))),'Raw Data'!Q128))</f>
        <v>9</v>
      </c>
    </row>
    <row r="129" spans="1:17">
      <c r="A129" t="s">
        <v>198</v>
      </c>
      <c r="B129" t="s">
        <v>25</v>
      </c>
      <c r="C129" t="s">
        <v>26</v>
      </c>
      <c r="D129" t="s">
        <v>27</v>
      </c>
      <c r="E129" t="s">
        <v>21</v>
      </c>
      <c r="F129" t="s">
        <v>43</v>
      </c>
      <c r="G129">
        <f>VALUE(IF(AND(ISERR(FIND(".",'Raw Data'!G129)),LEN('Raw Data'!G129)=5), IF(YEAR('Raw Data'!G129)=2026,CONCATENATE(DAY('Raw Data'!G129),".",IF(LEN(MONTH('Raw Data'!G129))=2,MONTH('Raw Data'!G129),CONCATENATE("0",MONTH('Raw Data'!G129)))),CONCATENATE(MONTH('Raw Data'!G129),".",RIGHT(YEAR('Raw Data'!G129),2))),'Raw Data'!G129))</f>
        <v>31.73</v>
      </c>
      <c r="H129">
        <f>'Raw Data'!H129</f>
        <v>9</v>
      </c>
      <c r="I129" s="6">
        <f t="shared" si="3"/>
        <v>14.278500000000008</v>
      </c>
      <c r="J129" s="6">
        <f>'Raw Data'!J129</f>
        <v>299.8485</v>
      </c>
      <c r="K129" s="1">
        <f>VALUE(IFERROR(VALUE('Raw Data'!K129),CONCATENATE(MID('Raw Data'!K129,3,2),".","0",LEFT('Raw Data'!K129,1),".", RIGHT('Raw Data'!K129,4))))</f>
        <v>43678</v>
      </c>
      <c r="L129" s="2">
        <f>'Raw Data'!L129</f>
        <v>0.67847222222222225</v>
      </c>
      <c r="M129" t="s">
        <v>33</v>
      </c>
      <c r="N129">
        <f>VALUE(IF(AND(ISERR(FIND(".",'Raw Data'!N129)),LEN('Raw Data'!N129)=5), IF(YEAR('Raw Data'!N129)=2026,CONCATENATE(DAY('Raw Data'!N129),".",IF(LEN(MONTH('Raw Data'!N129))=2,MONTH('Raw Data'!N129),CONCATENATE("0",MONTH('Raw Data'!N129)))),CONCATENATE(MONTH('Raw Data'!N129),".",RIGHT(YEAR('Raw Data'!N129),2))),'Raw Data'!N129))</f>
        <v>285.57</v>
      </c>
      <c r="O129" s="6">
        <f t="shared" si="4"/>
        <v>4.7619047619047645</v>
      </c>
      <c r="P129" s="6">
        <f t="shared" si="5"/>
        <v>14.278500000000008</v>
      </c>
      <c r="Q129">
        <f>VALUE(IF(AND(ISERR(FIND(".",'Raw Data'!Q129)),LEN('Raw Data'!Q129)=5), IF(YEAR('Raw Data'!Q129)=2026,CONCATENATE(DAY('Raw Data'!Q129),".",IF(LEN(MONTH('Raw Data'!Q129))=2,MONTH('Raw Data'!Q129),CONCATENATE(MONTH('Raw Data'!Q129)))),CONCATENATE(MONTH('Raw Data'!Q129),".",RIGHT(YEAR('Raw Data'!Q129),2))),'Raw Data'!Q129))</f>
        <v>5.9</v>
      </c>
    </row>
    <row r="130" spans="1:17">
      <c r="A130" t="s">
        <v>199</v>
      </c>
      <c r="B130" t="s">
        <v>25</v>
      </c>
      <c r="C130" t="s">
        <v>26</v>
      </c>
      <c r="D130" t="s">
        <v>20</v>
      </c>
      <c r="E130" t="s">
        <v>21</v>
      </c>
      <c r="F130" t="s">
        <v>40</v>
      </c>
      <c r="G130">
        <f>VALUE(IF(AND(ISERR(FIND(".",'Raw Data'!G130)),LEN('Raw Data'!G130)=5), IF(YEAR('Raw Data'!G130)=2026,CONCATENATE(DAY('Raw Data'!G130),".",IF(LEN(MONTH('Raw Data'!G130))=2,MONTH('Raw Data'!G130),CONCATENATE("0",MONTH('Raw Data'!G130)))),CONCATENATE(MONTH('Raw Data'!G130),".",RIGHT(YEAR('Raw Data'!G130),2))),'Raw Data'!G130))</f>
        <v>68.540000000000006</v>
      </c>
      <c r="H130">
        <f>'Raw Data'!H130</f>
        <v>8</v>
      </c>
      <c r="I130" s="6">
        <f t="shared" si="3"/>
        <v>27.41599999999994</v>
      </c>
      <c r="J130" s="6">
        <f>'Raw Data'!J130</f>
        <v>575.73599999999999</v>
      </c>
      <c r="K130" s="1">
        <f>VALUE(IFERROR(VALUE('Raw Data'!K130),CONCATENATE(MID('Raw Data'!K130,3,2),".","0",LEFT('Raw Data'!K130,1),".", RIGHT('Raw Data'!K130,4))))</f>
        <v>43678</v>
      </c>
      <c r="L130" s="2">
        <f>'Raw Data'!L130</f>
        <v>0.6645833333333333</v>
      </c>
      <c r="M130" t="s">
        <v>23</v>
      </c>
      <c r="N130">
        <f>VALUE(IF(AND(ISERR(FIND(".",'Raw Data'!N130)),LEN('Raw Data'!N130)=5), IF(YEAR('Raw Data'!N130)=2026,CONCATENATE(DAY('Raw Data'!N130),".",IF(LEN(MONTH('Raw Data'!N130))=2,MONTH('Raw Data'!N130),CONCATENATE("0",MONTH('Raw Data'!N130)))),CONCATENATE(MONTH('Raw Data'!N130),".",RIGHT(YEAR('Raw Data'!N130),2))),'Raw Data'!N130))</f>
        <v>548.32000000000005</v>
      </c>
      <c r="O130" s="6">
        <f t="shared" si="4"/>
        <v>4.7619047619047512</v>
      </c>
      <c r="P130" s="6">
        <f t="shared" si="5"/>
        <v>27.41599999999994</v>
      </c>
      <c r="Q130">
        <f>VALUE(IF(AND(ISERR(FIND(".",'Raw Data'!Q130)),LEN('Raw Data'!Q130)=5), IF(YEAR('Raw Data'!Q130)=2026,CONCATENATE(DAY('Raw Data'!Q130),".",IF(LEN(MONTH('Raw Data'!Q130))=2,MONTH('Raw Data'!Q130),CONCATENATE(MONTH('Raw Data'!Q130)))),CONCATENATE(MONTH('Raw Data'!Q130),".",RIGHT(YEAR('Raw Data'!Q130),2))),'Raw Data'!Q130))</f>
        <v>8.5</v>
      </c>
    </row>
    <row r="131" spans="1:17">
      <c r="A131" t="s">
        <v>200</v>
      </c>
      <c r="B131" t="s">
        <v>34</v>
      </c>
      <c r="C131" t="s">
        <v>35</v>
      </c>
      <c r="D131" t="s">
        <v>27</v>
      </c>
      <c r="E131" t="s">
        <v>21</v>
      </c>
      <c r="F131" t="s">
        <v>38</v>
      </c>
      <c r="G131">
        <f>VALUE(IF(AND(ISERR(FIND(".",'Raw Data'!G131)),LEN('Raw Data'!G131)=5), IF(YEAR('Raw Data'!G131)=2026,CONCATENATE(DAY('Raw Data'!G131),".",IF(LEN(MONTH('Raw Data'!G131))=2,MONTH('Raw Data'!G131),CONCATENATE("0",MONTH('Raw Data'!G131)))),CONCATENATE(MONTH('Raw Data'!G131),".",RIGHT(YEAR('Raw Data'!G131),2))),'Raw Data'!G131))</f>
        <v>90.28</v>
      </c>
      <c r="H131">
        <f>'Raw Data'!H131</f>
        <v>9</v>
      </c>
      <c r="I131" s="6">
        <f t="shared" ref="I131:I194" si="6">J131-G131*H131</f>
        <v>40.625999999999976</v>
      </c>
      <c r="J131" s="6">
        <f>'Raw Data'!J131</f>
        <v>853.14599999999996</v>
      </c>
      <c r="K131" s="1">
        <f>VALUE(IFERROR(VALUE('Raw Data'!K131),CONCATENATE(MID('Raw Data'!K131,3,2),".","0",LEFT('Raw Data'!K131,1),".", RIGHT('Raw Data'!K131,4))))</f>
        <v>43679</v>
      </c>
      <c r="L131" s="2">
        <f>'Raw Data'!L131</f>
        <v>0.46875</v>
      </c>
      <c r="M131" t="s">
        <v>23</v>
      </c>
      <c r="N131">
        <f>VALUE(IF(AND(ISERR(FIND(".",'Raw Data'!N131)),LEN('Raw Data'!N131)=5), IF(YEAR('Raw Data'!N131)=2026,CONCATENATE(DAY('Raw Data'!N131),".",IF(LEN(MONTH('Raw Data'!N131))=2,MONTH('Raw Data'!N131),CONCATENATE("0",MONTH('Raw Data'!N131)))),CONCATENATE(MONTH('Raw Data'!N131),".",RIGHT(YEAR('Raw Data'!N131),2))),'Raw Data'!N131))</f>
        <v>812.52</v>
      </c>
      <c r="O131" s="6">
        <f t="shared" ref="O131:O194" si="7">P131/J131*100</f>
        <v>4.7619047619047592</v>
      </c>
      <c r="P131" s="6">
        <f t="shared" ref="P131:P194" si="8">J131-N131</f>
        <v>40.625999999999976</v>
      </c>
      <c r="Q131">
        <f>VALUE(IF(AND(ISERR(FIND(".",'Raw Data'!Q131)),LEN('Raw Data'!Q131)=5), IF(YEAR('Raw Data'!Q131)=2026,CONCATENATE(DAY('Raw Data'!Q131),".",IF(LEN(MONTH('Raw Data'!Q131))=2,MONTH('Raw Data'!Q131),CONCATENATE(MONTH('Raw Data'!Q131)))),CONCATENATE(MONTH('Raw Data'!Q131),".",RIGHT(YEAR('Raw Data'!Q131),2))),'Raw Data'!Q131))</f>
        <v>7.2</v>
      </c>
    </row>
    <row r="132" spans="1:17">
      <c r="A132" t="s">
        <v>201</v>
      </c>
      <c r="B132" t="s">
        <v>34</v>
      </c>
      <c r="C132" t="s">
        <v>35</v>
      </c>
      <c r="D132" t="s">
        <v>27</v>
      </c>
      <c r="E132" t="s">
        <v>21</v>
      </c>
      <c r="F132" t="s">
        <v>43</v>
      </c>
      <c r="G132">
        <f>VALUE(IF(AND(ISERR(FIND(".",'Raw Data'!G132)),LEN('Raw Data'!G132)=5), IF(YEAR('Raw Data'!G132)=2026,CONCATENATE(DAY('Raw Data'!G132),".",IF(LEN(MONTH('Raw Data'!G132))=2,MONTH('Raw Data'!G132),CONCATENATE("0",MONTH('Raw Data'!G132)))),CONCATENATE(MONTH('Raw Data'!G132),".",RIGHT(YEAR('Raw Data'!G132),2))),'Raw Data'!G132))</f>
        <v>39.619999999999997</v>
      </c>
      <c r="H132">
        <f>'Raw Data'!H132</f>
        <v>7</v>
      </c>
      <c r="I132" s="6">
        <f t="shared" si="6"/>
        <v>13.867000000000019</v>
      </c>
      <c r="J132" s="6">
        <f>'Raw Data'!J132</f>
        <v>291.20699999999999</v>
      </c>
      <c r="K132" s="1">
        <f>VALUE(IFERROR(VALUE('Raw Data'!K132),CONCATENATE(MID('Raw Data'!K132,3,2),".","0",LEFT('Raw Data'!K132,1),".", RIGHT('Raw Data'!K132,4))))</f>
        <v>43490</v>
      </c>
      <c r="L132" s="2">
        <f>'Raw Data'!L132</f>
        <v>0.5541666666666667</v>
      </c>
      <c r="M132" t="s">
        <v>29</v>
      </c>
      <c r="N132">
        <f>VALUE(IF(AND(ISERR(FIND(".",'Raw Data'!N132)),LEN('Raw Data'!N132)=5), IF(YEAR('Raw Data'!N132)=2026,CONCATENATE(DAY('Raw Data'!N132),".",IF(LEN(MONTH('Raw Data'!N132))=2,MONTH('Raw Data'!N132),CONCATENATE("0",MONTH('Raw Data'!N132)))),CONCATENATE(MONTH('Raw Data'!N132),".",RIGHT(YEAR('Raw Data'!N132),2))),'Raw Data'!N132))</f>
        <v>277.33999999999997</v>
      </c>
      <c r="O132" s="6">
        <f t="shared" si="7"/>
        <v>4.761904761904769</v>
      </c>
      <c r="P132" s="6">
        <f t="shared" si="8"/>
        <v>13.867000000000019</v>
      </c>
      <c r="Q132">
        <f>VALUE(IF(AND(ISERR(FIND(".",'Raw Data'!Q132)),LEN('Raw Data'!Q132)=5), IF(YEAR('Raw Data'!Q132)=2026,CONCATENATE(DAY('Raw Data'!Q132),".",IF(LEN(MONTH('Raw Data'!Q132))=2,MONTH('Raw Data'!Q132),CONCATENATE(MONTH('Raw Data'!Q132)))),CONCATENATE(MONTH('Raw Data'!Q132),".",RIGHT(YEAR('Raw Data'!Q132),2))),'Raw Data'!Q132))</f>
        <v>7.5</v>
      </c>
    </row>
    <row r="133" spans="1:17">
      <c r="A133" t="s">
        <v>202</v>
      </c>
      <c r="B133" t="s">
        <v>18</v>
      </c>
      <c r="C133" t="s">
        <v>19</v>
      </c>
      <c r="D133" t="s">
        <v>20</v>
      </c>
      <c r="E133" t="s">
        <v>21</v>
      </c>
      <c r="F133" t="s">
        <v>38</v>
      </c>
      <c r="G133">
        <f>VALUE(IF(AND(ISERR(FIND(".",'Raw Data'!G133)),LEN('Raw Data'!G133)=5), IF(YEAR('Raw Data'!G133)=2026,CONCATENATE(DAY('Raw Data'!G133),".",IF(LEN(MONTH('Raw Data'!G133))=2,MONTH('Raw Data'!G133),CONCATENATE("0",MONTH('Raw Data'!G133)))),CONCATENATE(MONTH('Raw Data'!G133),".",RIGHT(YEAR('Raw Data'!G133),2))),'Raw Data'!G133))</f>
        <v>92.13</v>
      </c>
      <c r="H133">
        <f>'Raw Data'!H133</f>
        <v>6</v>
      </c>
      <c r="I133" s="6">
        <f t="shared" si="6"/>
        <v>27.63900000000001</v>
      </c>
      <c r="J133" s="6">
        <f>'Raw Data'!J133</f>
        <v>580.41899999999998</v>
      </c>
      <c r="K133" s="1">
        <f>VALUE(IFERROR(VALUE('Raw Data'!K133),CONCATENATE(MID('Raw Data'!K133,3,2),".","0",LEFT('Raw Data'!K133,1),".", RIGHT('Raw Data'!K133,4))))</f>
        <v>43619</v>
      </c>
      <c r="L133" s="2">
        <f>'Raw Data'!L133</f>
        <v>0.8569444444444444</v>
      </c>
      <c r="M133" t="s">
        <v>29</v>
      </c>
      <c r="N133">
        <f>VALUE(IF(AND(ISERR(FIND(".",'Raw Data'!N133)),LEN('Raw Data'!N133)=5), IF(YEAR('Raw Data'!N133)=2026,CONCATENATE(DAY('Raw Data'!N133),".",IF(LEN(MONTH('Raw Data'!N133))=2,MONTH('Raw Data'!N133),CONCATENATE("0",MONTH('Raw Data'!N133)))),CONCATENATE(MONTH('Raw Data'!N133),".",RIGHT(YEAR('Raw Data'!N133),2))),'Raw Data'!N133))</f>
        <v>552.78</v>
      </c>
      <c r="O133" s="6">
        <f t="shared" si="7"/>
        <v>4.7619047619047636</v>
      </c>
      <c r="P133" s="6">
        <f t="shared" si="8"/>
        <v>27.63900000000001</v>
      </c>
      <c r="Q133">
        <f>VALUE(IF(AND(ISERR(FIND(".",'Raw Data'!Q133)),LEN('Raw Data'!Q133)=5), IF(YEAR('Raw Data'!Q133)=2026,CONCATENATE(DAY('Raw Data'!Q133),".",IF(LEN(MONTH('Raw Data'!Q133))=2,MONTH('Raw Data'!Q133),CONCATENATE(MONTH('Raw Data'!Q133)))),CONCATENATE(MONTH('Raw Data'!Q133),".",RIGHT(YEAR('Raw Data'!Q133),2))),'Raw Data'!Q133))</f>
        <v>8.3000000000000007</v>
      </c>
    </row>
    <row r="134" spans="1:17">
      <c r="A134" t="s">
        <v>203</v>
      </c>
      <c r="B134" t="s">
        <v>34</v>
      </c>
      <c r="C134" t="s">
        <v>35</v>
      </c>
      <c r="D134" t="s">
        <v>27</v>
      </c>
      <c r="E134" t="s">
        <v>21</v>
      </c>
      <c r="F134" t="s">
        <v>38</v>
      </c>
      <c r="G134">
        <f>VALUE(IF(AND(ISERR(FIND(".",'Raw Data'!G134)),LEN('Raw Data'!G134)=5), IF(YEAR('Raw Data'!G134)=2026,CONCATENATE(DAY('Raw Data'!G134),".",IF(LEN(MONTH('Raw Data'!G134))=2,MONTH('Raw Data'!G134),CONCATENATE("0",MONTH('Raw Data'!G134)))),CONCATENATE(MONTH('Raw Data'!G134),".",RIGHT(YEAR('Raw Data'!G134),2))),'Raw Data'!G134))</f>
        <v>34.840000000000003</v>
      </c>
      <c r="H134">
        <f>'Raw Data'!H134</f>
        <v>4</v>
      </c>
      <c r="I134" s="6">
        <f t="shared" si="6"/>
        <v>6.9679999999999893</v>
      </c>
      <c r="J134" s="6">
        <f>'Raw Data'!J134</f>
        <v>146.328</v>
      </c>
      <c r="K134" s="1">
        <f>VALUE(IFERROR(VALUE('Raw Data'!K134),CONCATENATE(MID('Raw Data'!K134,3,2),".","0",LEFT('Raw Data'!K134,1),".", RIGHT('Raw Data'!K134,4))))</f>
        <v>43740</v>
      </c>
      <c r="L134" s="2">
        <f>'Raw Data'!L134</f>
        <v>0.77500000000000002</v>
      </c>
      <c r="M134" t="s">
        <v>29</v>
      </c>
      <c r="N134">
        <f>VALUE(IF(AND(ISERR(FIND(".",'Raw Data'!N134)),LEN('Raw Data'!N134)=5), IF(YEAR('Raw Data'!N134)=2026,CONCATENATE(DAY('Raw Data'!N134),".",IF(LEN(MONTH('Raw Data'!N134))=2,MONTH('Raw Data'!N134),CONCATENATE("0",MONTH('Raw Data'!N134)))),CONCATENATE(MONTH('Raw Data'!N134),".",RIGHT(YEAR('Raw Data'!N134),2))),'Raw Data'!N134))</f>
        <v>139.36000000000001</v>
      </c>
      <c r="O134" s="6">
        <f t="shared" si="7"/>
        <v>4.7619047619047548</v>
      </c>
      <c r="P134" s="6">
        <f t="shared" si="8"/>
        <v>6.9679999999999893</v>
      </c>
      <c r="Q134">
        <f>VALUE(IF(AND(ISERR(FIND(".",'Raw Data'!Q134)),LEN('Raw Data'!Q134)=5), IF(YEAR('Raw Data'!Q134)=2026,CONCATENATE(DAY('Raw Data'!Q134),".",IF(LEN(MONTH('Raw Data'!Q134))=2,MONTH('Raw Data'!Q134),CONCATENATE(MONTH('Raw Data'!Q134)))),CONCATENATE(MONTH('Raw Data'!Q134),".",RIGHT(YEAR('Raw Data'!Q134),2))),'Raw Data'!Q134))</f>
        <v>7.4</v>
      </c>
    </row>
    <row r="135" spans="1:17">
      <c r="A135" t="s">
        <v>204</v>
      </c>
      <c r="B135" t="s">
        <v>34</v>
      </c>
      <c r="C135" t="s">
        <v>35</v>
      </c>
      <c r="D135" t="s">
        <v>20</v>
      </c>
      <c r="E135" t="s">
        <v>30</v>
      </c>
      <c r="F135" t="s">
        <v>28</v>
      </c>
      <c r="G135">
        <f>VALUE(IF(AND(ISERR(FIND(".",'Raw Data'!G135)),LEN('Raw Data'!G135)=5), IF(YEAR('Raw Data'!G135)=2026,CONCATENATE(DAY('Raw Data'!G135),".",IF(LEN(MONTH('Raw Data'!G135))=2,MONTH('Raw Data'!G135),CONCATENATE("0",MONTH('Raw Data'!G135)))),CONCATENATE(MONTH('Raw Data'!G135),".",RIGHT(YEAR('Raw Data'!G135),2))),'Raw Data'!G135))</f>
        <v>87.45</v>
      </c>
      <c r="H135">
        <f>'Raw Data'!H135</f>
        <v>6</v>
      </c>
      <c r="I135" s="6">
        <f t="shared" si="6"/>
        <v>26.2349999999999</v>
      </c>
      <c r="J135" s="6">
        <f>'Raw Data'!J135</f>
        <v>550.93499999999995</v>
      </c>
      <c r="K135" s="1">
        <f>VALUE(IFERROR(VALUE('Raw Data'!K135),CONCATENATE(MID('Raw Data'!K135,3,2),".","0",LEFT('Raw Data'!K135,1),".", RIGHT('Raw Data'!K135,4))))</f>
        <v>43513</v>
      </c>
      <c r="L135" s="2">
        <f>'Raw Data'!L135</f>
        <v>0.61111111111111105</v>
      </c>
      <c r="M135" t="s">
        <v>33</v>
      </c>
      <c r="N135">
        <f>VALUE(IF(AND(ISERR(FIND(".",'Raw Data'!N135)),LEN('Raw Data'!N135)=5), IF(YEAR('Raw Data'!N135)=2026,CONCATENATE(DAY('Raw Data'!N135),".",IF(LEN(MONTH('Raw Data'!N135))=2,MONTH('Raw Data'!N135),CONCATENATE("0",MONTH('Raw Data'!N135)))),CONCATENATE(MONTH('Raw Data'!N135),".",RIGHT(YEAR('Raw Data'!N135),2))),'Raw Data'!N135))</f>
        <v>524.70000000000005</v>
      </c>
      <c r="O135" s="6">
        <f t="shared" si="7"/>
        <v>4.7619047619047441</v>
      </c>
      <c r="P135" s="6">
        <f t="shared" si="8"/>
        <v>26.2349999999999</v>
      </c>
      <c r="Q135">
        <f>VALUE(IF(AND(ISERR(FIND(".",'Raw Data'!Q135)),LEN('Raw Data'!Q135)=5), IF(YEAR('Raw Data'!Q135)=2026,CONCATENATE(DAY('Raw Data'!Q135),".",IF(LEN(MONTH('Raw Data'!Q135))=2,MONTH('Raw Data'!Q135),CONCATENATE(MONTH('Raw Data'!Q135)))),CONCATENATE(MONTH('Raw Data'!Q135),".",RIGHT(YEAR('Raw Data'!Q135),2))),'Raw Data'!Q135))</f>
        <v>8.8000000000000007</v>
      </c>
    </row>
    <row r="136" spans="1:17">
      <c r="A136" t="s">
        <v>205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f>VALUE(IF(AND(ISERR(FIND(".",'Raw Data'!G136)),LEN('Raw Data'!G136)=5), IF(YEAR('Raw Data'!G136)=2026,CONCATENATE(DAY('Raw Data'!G136),".",IF(LEN(MONTH('Raw Data'!G136))=2,MONTH('Raw Data'!G136),CONCATENATE("0",MONTH('Raw Data'!G136)))),CONCATENATE(MONTH('Raw Data'!G136),".",RIGHT(YEAR('Raw Data'!G136),2))),'Raw Data'!G136))</f>
        <v>81.3</v>
      </c>
      <c r="H136">
        <f>'Raw Data'!H136</f>
        <v>6</v>
      </c>
      <c r="I136" s="6">
        <f t="shared" si="6"/>
        <v>24.3900000000001</v>
      </c>
      <c r="J136" s="6">
        <f>'Raw Data'!J136</f>
        <v>512.19000000000005</v>
      </c>
      <c r="K136" s="1">
        <f>VALUE(IFERROR(VALUE('Raw Data'!K136),CONCATENATE(MID('Raw Data'!K136,3,2),".","0",LEFT('Raw Data'!K136,1),".", RIGHT('Raw Data'!K136,4))))</f>
        <v>43680</v>
      </c>
      <c r="L136" s="2">
        <f>'Raw Data'!L136</f>
        <v>0.69652777777777775</v>
      </c>
      <c r="M136" t="s">
        <v>23</v>
      </c>
      <c r="N136">
        <f>VALUE(IF(AND(ISERR(FIND(".",'Raw Data'!N136)),LEN('Raw Data'!N136)=5), IF(YEAR('Raw Data'!N136)=2026,CONCATENATE(DAY('Raw Data'!N136),".",IF(LEN(MONTH('Raw Data'!N136))=2,MONTH('Raw Data'!N136),CONCATENATE("0",MONTH('Raw Data'!N136)))),CONCATENATE(MONTH('Raw Data'!N136),".",RIGHT(YEAR('Raw Data'!N136),2))),'Raw Data'!N136))</f>
        <v>487.8</v>
      </c>
      <c r="O136" s="6">
        <f t="shared" si="7"/>
        <v>4.7619047619047699</v>
      </c>
      <c r="P136" s="6">
        <f t="shared" si="8"/>
        <v>24.390000000000043</v>
      </c>
      <c r="Q136">
        <f>VALUE(IF(AND(ISERR(FIND(".",'Raw Data'!Q136)),LEN('Raw Data'!Q136)=5), IF(YEAR('Raw Data'!Q136)=2026,CONCATENATE(DAY('Raw Data'!Q136),".",IF(LEN(MONTH('Raw Data'!Q136))=2,MONTH('Raw Data'!Q136),CONCATENATE(MONTH('Raw Data'!Q136)))),CONCATENATE(MONTH('Raw Data'!Q136),".",RIGHT(YEAR('Raw Data'!Q136),2))),'Raw Data'!Q136))</f>
        <v>5.3</v>
      </c>
    </row>
    <row r="137" spans="1:17">
      <c r="A137" t="s">
        <v>206</v>
      </c>
      <c r="B137" t="s">
        <v>25</v>
      </c>
      <c r="C137" t="s">
        <v>26</v>
      </c>
      <c r="D137" t="s">
        <v>27</v>
      </c>
      <c r="E137" t="s">
        <v>30</v>
      </c>
      <c r="F137" t="s">
        <v>43</v>
      </c>
      <c r="G137">
        <f>VALUE(IF(AND(ISERR(FIND(".",'Raw Data'!G137)),LEN('Raw Data'!G137)=5), IF(YEAR('Raw Data'!G137)=2026,CONCATENATE(DAY('Raw Data'!G137),".",IF(LEN(MONTH('Raw Data'!G137))=2,MONTH('Raw Data'!G137),CONCATENATE("0",MONTH('Raw Data'!G137)))),CONCATENATE(MONTH('Raw Data'!G137),".",RIGHT(YEAR('Raw Data'!G137),2))),'Raw Data'!G137))</f>
        <v>90.22</v>
      </c>
      <c r="H137">
        <f>'Raw Data'!H137</f>
        <v>3</v>
      </c>
      <c r="I137" s="6">
        <f t="shared" si="6"/>
        <v>13.533000000000015</v>
      </c>
      <c r="J137" s="6">
        <f>'Raw Data'!J137</f>
        <v>284.19299999999998</v>
      </c>
      <c r="K137" s="1">
        <f>VALUE(IFERROR(VALUE('Raw Data'!K137),CONCATENATE(MID('Raw Data'!K137,3,2),".","0",LEFT('Raw Data'!K137,1),".", RIGHT('Raw Data'!K137,4))))</f>
        <v>43514</v>
      </c>
      <c r="L137" s="2">
        <f>'Raw Data'!L137</f>
        <v>0.81874999999999998</v>
      </c>
      <c r="M137" t="s">
        <v>29</v>
      </c>
      <c r="N137">
        <f>VALUE(IF(AND(ISERR(FIND(".",'Raw Data'!N137)),LEN('Raw Data'!N137)=5), IF(YEAR('Raw Data'!N137)=2026,CONCATENATE(DAY('Raw Data'!N137),".",IF(LEN(MONTH('Raw Data'!N137))=2,MONTH('Raw Data'!N137),CONCATENATE("0",MONTH('Raw Data'!N137)))),CONCATENATE(MONTH('Raw Data'!N137),".",RIGHT(YEAR('Raw Data'!N137),2))),'Raw Data'!N137))</f>
        <v>270.66000000000003</v>
      </c>
      <c r="O137" s="6">
        <f t="shared" si="7"/>
        <v>4.7619047619047477</v>
      </c>
      <c r="P137" s="6">
        <f t="shared" si="8"/>
        <v>13.532999999999959</v>
      </c>
      <c r="Q137">
        <f>VALUE(IF(AND(ISERR(FIND(".",'Raw Data'!Q137)),LEN('Raw Data'!Q137)=5), IF(YEAR('Raw Data'!Q137)=2026,CONCATENATE(DAY('Raw Data'!Q137),".",IF(LEN(MONTH('Raw Data'!Q137))=2,MONTH('Raw Data'!Q137),CONCATENATE(MONTH('Raw Data'!Q137)))),CONCATENATE(MONTH('Raw Data'!Q137),".",RIGHT(YEAR('Raw Data'!Q137),2))),'Raw Data'!Q137))</f>
        <v>6.2</v>
      </c>
    </row>
    <row r="138" spans="1:17">
      <c r="A138" t="s">
        <v>208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f>VALUE(IF(AND(ISERR(FIND(".",'Raw Data'!G138)),LEN('Raw Data'!G138)=5), IF(YEAR('Raw Data'!G138)=2026,CONCATENATE(DAY('Raw Data'!G138),".",IF(LEN(MONTH('Raw Data'!G138))=2,MONTH('Raw Data'!G138),CONCATENATE("0",MONTH('Raw Data'!G138)))),CONCATENATE(MONTH('Raw Data'!G138),".",RIGHT(YEAR('Raw Data'!G138),2))),'Raw Data'!G138))</f>
        <v>26.31</v>
      </c>
      <c r="H138">
        <f>'Raw Data'!H138</f>
        <v>5</v>
      </c>
      <c r="I138" s="6">
        <f t="shared" si="6"/>
        <v>6.5775000000000148</v>
      </c>
      <c r="J138" s="6">
        <f>'Raw Data'!J138</f>
        <v>138.1275</v>
      </c>
      <c r="K138" s="1">
        <f>VALUE(IFERROR(VALUE('Raw Data'!K138),CONCATENATE(MID('Raw Data'!K138,3,2),".","0",LEFT('Raw Data'!K138,1),".", RIGHT('Raw Data'!K138,4))))</f>
        <v>43483</v>
      </c>
      <c r="L138" s="2">
        <f>'Raw Data'!L138</f>
        <v>0.87430555555555556</v>
      </c>
      <c r="M138" t="s">
        <v>33</v>
      </c>
      <c r="N138">
        <f>VALUE(IF(AND(ISERR(FIND(".",'Raw Data'!N138)),LEN('Raw Data'!N138)=5), IF(YEAR('Raw Data'!N138)=2026,CONCATENATE(DAY('Raw Data'!N138),".",IF(LEN(MONTH('Raw Data'!N138))=2,MONTH('Raw Data'!N138),CONCATENATE("0",MONTH('Raw Data'!N138)))),CONCATENATE(MONTH('Raw Data'!N138),".",RIGHT(YEAR('Raw Data'!N138),2))),'Raw Data'!N138))</f>
        <v>131.55000000000001</v>
      </c>
      <c r="O138" s="6">
        <f t="shared" si="7"/>
        <v>4.7619047619047521</v>
      </c>
      <c r="P138" s="6">
        <f t="shared" si="8"/>
        <v>6.5774999999999864</v>
      </c>
      <c r="Q138">
        <f>VALUE(IF(AND(ISERR(FIND(".",'Raw Data'!Q138)),LEN('Raw Data'!Q138)=5), IF(YEAR('Raw Data'!Q138)=2026,CONCATENATE(DAY('Raw Data'!Q138),".",IF(LEN(MONTH('Raw Data'!Q138))=2,MONTH('Raw Data'!Q138),CONCATENATE(MONTH('Raw Data'!Q138)))),CONCATENATE(MONTH('Raw Data'!Q138),".",RIGHT(YEAR('Raw Data'!Q138),2))),'Raw Data'!Q138))</f>
        <v>8.8000000000000007</v>
      </c>
    </row>
    <row r="139" spans="1:17">
      <c r="A139" t="s">
        <v>210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f>VALUE(IF(AND(ISERR(FIND(".",'Raw Data'!G139)),LEN('Raw Data'!G139)=5), IF(YEAR('Raw Data'!G139)=2026,CONCATENATE(DAY('Raw Data'!G139),".",IF(LEN(MONTH('Raw Data'!G139))=2,MONTH('Raw Data'!G139),CONCATENATE("0",MONTH('Raw Data'!G139)))),CONCATENATE(MONTH('Raw Data'!G139),".",RIGHT(YEAR('Raw Data'!G139),2))),'Raw Data'!G139))</f>
        <v>34.42</v>
      </c>
      <c r="H139">
        <f>'Raw Data'!H139</f>
        <v>6</v>
      </c>
      <c r="I139" s="6">
        <f t="shared" si="6"/>
        <v>10.325999999999993</v>
      </c>
      <c r="J139" s="6">
        <f>'Raw Data'!J139</f>
        <v>216.846</v>
      </c>
      <c r="K139" s="1">
        <f>VALUE(IFERROR(VALUE('Raw Data'!K139),CONCATENATE(MID('Raw Data'!K139,3,2),".","0",LEFT('Raw Data'!K139,1),".", RIGHT('Raw Data'!K139,4))))</f>
        <v>43514</v>
      </c>
      <c r="L139" s="2">
        <f>'Raw Data'!L139</f>
        <v>0.65208333333333335</v>
      </c>
      <c r="M139" t="s">
        <v>29</v>
      </c>
      <c r="N139">
        <f>VALUE(IF(AND(ISERR(FIND(".",'Raw Data'!N139)),LEN('Raw Data'!N139)=5), IF(YEAR('Raw Data'!N139)=2026,CONCATENATE(DAY('Raw Data'!N139),".",IF(LEN(MONTH('Raw Data'!N139))=2,MONTH('Raw Data'!N139),CONCATENATE("0",MONTH('Raw Data'!N139)))),CONCATENATE(MONTH('Raw Data'!N139),".",RIGHT(YEAR('Raw Data'!N139),2))),'Raw Data'!N139))</f>
        <v>206.52</v>
      </c>
      <c r="O139" s="6">
        <f t="shared" si="7"/>
        <v>4.7619047619047592</v>
      </c>
      <c r="P139" s="6">
        <f t="shared" si="8"/>
        <v>10.325999999999993</v>
      </c>
      <c r="Q139">
        <f>VALUE(IF(AND(ISERR(FIND(".",'Raw Data'!Q139)),LEN('Raw Data'!Q139)=5), IF(YEAR('Raw Data'!Q139)=2026,CONCATENATE(DAY('Raw Data'!Q139),".",IF(LEN(MONTH('Raw Data'!Q139))=2,MONTH('Raw Data'!Q139),CONCATENATE(MONTH('Raw Data'!Q139)))),CONCATENATE(MONTH('Raw Data'!Q139),".",RIGHT(YEAR('Raw Data'!Q139),2))),'Raw Data'!Q139))</f>
        <v>9.8000000000000007</v>
      </c>
    </row>
    <row r="140" spans="1:17">
      <c r="A140" t="s">
        <v>211</v>
      </c>
      <c r="B140" t="s">
        <v>34</v>
      </c>
      <c r="C140" t="s">
        <v>35</v>
      </c>
      <c r="D140" t="s">
        <v>27</v>
      </c>
      <c r="E140" t="s">
        <v>30</v>
      </c>
      <c r="F140" t="s">
        <v>38</v>
      </c>
      <c r="G140">
        <f>VALUE(IF(AND(ISERR(FIND(".",'Raw Data'!G140)),LEN('Raw Data'!G140)=5), IF(YEAR('Raw Data'!G140)=2026,CONCATENATE(DAY('Raw Data'!G140),".",IF(LEN(MONTH('Raw Data'!G140))=2,MONTH('Raw Data'!G140),CONCATENATE("0",MONTH('Raw Data'!G140)))),CONCATENATE(MONTH('Raw Data'!G140),".",RIGHT(YEAR('Raw Data'!G140),2))),'Raw Data'!G140))</f>
        <v>51.91</v>
      </c>
      <c r="H140">
        <f>'Raw Data'!H140</f>
        <v>10</v>
      </c>
      <c r="I140" s="6">
        <f t="shared" si="6"/>
        <v>25.955000000000041</v>
      </c>
      <c r="J140" s="6">
        <f>'Raw Data'!J140</f>
        <v>545.05499999999995</v>
      </c>
      <c r="K140" s="1">
        <f>VALUE(IFERROR(VALUE('Raw Data'!K140),CONCATENATE(MID('Raw Data'!K140,3,2),".","0",LEFT('Raw Data'!K140,1),".", RIGHT('Raw Data'!K140,4))))</f>
        <v>43512</v>
      </c>
      <c r="L140" s="2">
        <f>'Raw Data'!L140</f>
        <v>0.51458333333333328</v>
      </c>
      <c r="M140" t="s">
        <v>29</v>
      </c>
      <c r="N140">
        <f>VALUE(IF(AND(ISERR(FIND(".",'Raw Data'!N140)),LEN('Raw Data'!N140)=5), IF(YEAR('Raw Data'!N140)=2026,CONCATENATE(DAY('Raw Data'!N140),".",IF(LEN(MONTH('Raw Data'!N140))=2,MONTH('Raw Data'!N140),CONCATENATE("0",MONTH('Raw Data'!N140)))),CONCATENATE(MONTH('Raw Data'!N140),".",RIGHT(YEAR('Raw Data'!N140),2))),'Raw Data'!N140))</f>
        <v>519.1</v>
      </c>
      <c r="O140" s="6">
        <f t="shared" si="7"/>
        <v>4.7619047619047494</v>
      </c>
      <c r="P140" s="6">
        <f t="shared" si="8"/>
        <v>25.954999999999927</v>
      </c>
      <c r="Q140">
        <f>VALUE(IF(AND(ISERR(FIND(".",'Raw Data'!Q140)),LEN('Raw Data'!Q140)=5), IF(YEAR('Raw Data'!Q140)=2026,CONCATENATE(DAY('Raw Data'!Q140),".",IF(LEN(MONTH('Raw Data'!Q140))=2,MONTH('Raw Data'!Q140),CONCATENATE(MONTH('Raw Data'!Q140)))),CONCATENATE(MONTH('Raw Data'!Q140),".",RIGHT(YEAR('Raw Data'!Q140),2))),'Raw Data'!Q140))</f>
        <v>8.1999999999999993</v>
      </c>
    </row>
    <row r="141" spans="1:17">
      <c r="A141" t="s">
        <v>213</v>
      </c>
      <c r="B141" t="s">
        <v>18</v>
      </c>
      <c r="C141" t="s">
        <v>19</v>
      </c>
      <c r="D141" t="s">
        <v>27</v>
      </c>
      <c r="E141" t="s">
        <v>30</v>
      </c>
      <c r="F141" t="s">
        <v>38</v>
      </c>
      <c r="G141">
        <f>VALUE(IF(AND(ISERR(FIND(".",'Raw Data'!G141)),LEN('Raw Data'!G141)=5), IF(YEAR('Raw Data'!G141)=2026,CONCATENATE(DAY('Raw Data'!G141),".",IF(LEN(MONTH('Raw Data'!G141))=2,MONTH('Raw Data'!G141),CONCATENATE("0",MONTH('Raw Data'!G141)))),CONCATENATE(MONTH('Raw Data'!G141),".",RIGHT(YEAR('Raw Data'!G141),2))),'Raw Data'!G141))</f>
        <v>72.5</v>
      </c>
      <c r="H141">
        <f>'Raw Data'!H141</f>
        <v>8</v>
      </c>
      <c r="I141" s="6">
        <f t="shared" si="6"/>
        <v>29</v>
      </c>
      <c r="J141" s="6">
        <f>'Raw Data'!J141</f>
        <v>609</v>
      </c>
      <c r="K141" s="1">
        <f>VALUE(IFERROR(VALUE('Raw Data'!K141),CONCATENATE(MID('Raw Data'!K141,3,2),".","0",LEFT('Raw Data'!K141,1),".", RIGHT('Raw Data'!K141,4))))</f>
        <v>43540</v>
      </c>
      <c r="L141" s="2">
        <f>'Raw Data'!L141</f>
        <v>0.80902777777777779</v>
      </c>
      <c r="M141" t="s">
        <v>23</v>
      </c>
      <c r="N141">
        <f>VALUE(IF(AND(ISERR(FIND(".",'Raw Data'!N141)),LEN('Raw Data'!N141)=5), IF(YEAR('Raw Data'!N141)=2026,CONCATENATE(DAY('Raw Data'!N141),".",IF(LEN(MONTH('Raw Data'!N141))=2,MONTH('Raw Data'!N141),CONCATENATE("0",MONTH('Raw Data'!N141)))),CONCATENATE(MONTH('Raw Data'!N141),".",RIGHT(YEAR('Raw Data'!N141),2))),'Raw Data'!N141))</f>
        <v>580</v>
      </c>
      <c r="O141" s="6">
        <f t="shared" si="7"/>
        <v>4.7619047619047619</v>
      </c>
      <c r="P141" s="6">
        <f t="shared" si="8"/>
        <v>29</v>
      </c>
      <c r="Q141">
        <f>VALUE(IF(AND(ISERR(FIND(".",'Raw Data'!Q141)),LEN('Raw Data'!Q141)=5), IF(YEAR('Raw Data'!Q141)=2026,CONCATENATE(DAY('Raw Data'!Q141),".",IF(LEN(MONTH('Raw Data'!Q141))=2,MONTH('Raw Data'!Q141),CONCATENATE(MONTH('Raw Data'!Q141)))),CONCATENATE(MONTH('Raw Data'!Q141),".",RIGHT(YEAR('Raw Data'!Q141),2))),'Raw Data'!Q141))</f>
        <v>9.1999999999999993</v>
      </c>
    </row>
    <row r="142" spans="1:17">
      <c r="A142" t="s">
        <v>214</v>
      </c>
      <c r="B142" t="s">
        <v>25</v>
      </c>
      <c r="C142" t="s">
        <v>26</v>
      </c>
      <c r="D142" t="s">
        <v>20</v>
      </c>
      <c r="E142" t="s">
        <v>21</v>
      </c>
      <c r="F142" t="s">
        <v>38</v>
      </c>
      <c r="G142">
        <f>VALUE(IF(AND(ISERR(FIND(".",'Raw Data'!G142)),LEN('Raw Data'!G142)=5), IF(YEAR('Raw Data'!G142)=2026,CONCATENATE(DAY('Raw Data'!G142),".",IF(LEN(MONTH('Raw Data'!G142))=2,MONTH('Raw Data'!G142),CONCATENATE("0",MONTH('Raw Data'!G142)))),CONCATENATE(MONTH('Raw Data'!G142),".",RIGHT(YEAR('Raw Data'!G142),2))),'Raw Data'!G142))</f>
        <v>89.8</v>
      </c>
      <c r="H142">
        <f>'Raw Data'!H142</f>
        <v>10</v>
      </c>
      <c r="I142" s="6">
        <f t="shared" si="6"/>
        <v>44.899999999999977</v>
      </c>
      <c r="J142" s="6">
        <f>'Raw Data'!J142</f>
        <v>942.9</v>
      </c>
      <c r="K142" s="1">
        <f>VALUE(IFERROR(VALUE('Raw Data'!K142),CONCATENATE(MID('Raw Data'!K142,3,2),".","0",LEFT('Raw Data'!K142,1),".", RIGHT('Raw Data'!K142,4))))</f>
        <v>43488</v>
      </c>
      <c r="L142" s="2">
        <f>'Raw Data'!L142</f>
        <v>0.54166666666666663</v>
      </c>
      <c r="M142" t="s">
        <v>33</v>
      </c>
      <c r="N142">
        <f>VALUE(IF(AND(ISERR(FIND(".",'Raw Data'!N142)),LEN('Raw Data'!N142)=5), IF(YEAR('Raw Data'!N142)=2026,CONCATENATE(DAY('Raw Data'!N142),".",IF(LEN(MONTH('Raw Data'!N142))=2,MONTH('Raw Data'!N142),CONCATENATE("0",MONTH('Raw Data'!N142)))),CONCATENATE(MONTH('Raw Data'!N142),".",RIGHT(YEAR('Raw Data'!N142),2))),'Raw Data'!N142))</f>
        <v>898</v>
      </c>
      <c r="O142" s="6">
        <f t="shared" si="7"/>
        <v>4.7619047619047592</v>
      </c>
      <c r="P142" s="6">
        <f t="shared" si="8"/>
        <v>44.899999999999977</v>
      </c>
      <c r="Q142">
        <f>VALUE(IF(AND(ISERR(FIND(".",'Raw Data'!Q142)),LEN('Raw Data'!Q142)=5), IF(YEAR('Raw Data'!Q142)=2026,CONCATENATE(DAY('Raw Data'!Q142),".",IF(LEN(MONTH('Raw Data'!Q142))=2,MONTH('Raw Data'!Q142),CONCATENATE(MONTH('Raw Data'!Q142)))),CONCATENATE(MONTH('Raw Data'!Q142),".",RIGHT(YEAR('Raw Data'!Q142),2))),'Raw Data'!Q142))</f>
        <v>5.4</v>
      </c>
    </row>
    <row r="143" spans="1:17">
      <c r="A143" t="s">
        <v>215</v>
      </c>
      <c r="B143" t="s">
        <v>25</v>
      </c>
      <c r="C143" t="s">
        <v>26</v>
      </c>
      <c r="D143" t="s">
        <v>20</v>
      </c>
      <c r="E143" t="s">
        <v>30</v>
      </c>
      <c r="F143" t="s">
        <v>22</v>
      </c>
      <c r="G143">
        <f>VALUE(IF(AND(ISERR(FIND(".",'Raw Data'!G143)),LEN('Raw Data'!G143)=5), IF(YEAR('Raw Data'!G143)=2026,CONCATENATE(DAY('Raw Data'!G143),".",IF(LEN(MONTH('Raw Data'!G143))=2,MONTH('Raw Data'!G143),CONCATENATE("0",MONTH('Raw Data'!G143)))),CONCATENATE(MONTH('Raw Data'!G143),".",RIGHT(YEAR('Raw Data'!G143),2))),'Raw Data'!G143))</f>
        <v>90.5</v>
      </c>
      <c r="H143">
        <f>'Raw Data'!H143</f>
        <v>10</v>
      </c>
      <c r="I143" s="6">
        <f t="shared" si="6"/>
        <v>45.25</v>
      </c>
      <c r="J143" s="6">
        <f>'Raw Data'!J143</f>
        <v>950.25</v>
      </c>
      <c r="K143" s="1">
        <f>VALUE(IFERROR(VALUE('Raw Data'!K143),CONCATENATE(MID('Raw Data'!K143,3,2),".","0",LEFT('Raw Data'!K143,1),".", RIGHT('Raw Data'!K143,4))))</f>
        <v>43490</v>
      </c>
      <c r="L143" s="2">
        <f>'Raw Data'!L143</f>
        <v>0.57500000000000007</v>
      </c>
      <c r="M143" t="s">
        <v>29</v>
      </c>
      <c r="N143">
        <f>VALUE(IF(AND(ISERR(FIND(".",'Raw Data'!N143)),LEN('Raw Data'!N143)=5), IF(YEAR('Raw Data'!N143)=2026,CONCATENATE(DAY('Raw Data'!N143),".",IF(LEN(MONTH('Raw Data'!N143))=2,MONTH('Raw Data'!N143),CONCATENATE("0",MONTH('Raw Data'!N143)))),CONCATENATE(MONTH('Raw Data'!N143),".",RIGHT(YEAR('Raw Data'!N143),2))),'Raw Data'!N143))</f>
        <v>905</v>
      </c>
      <c r="O143" s="6">
        <f t="shared" si="7"/>
        <v>4.7619047619047619</v>
      </c>
      <c r="P143" s="6">
        <f t="shared" si="8"/>
        <v>45.25</v>
      </c>
      <c r="Q143">
        <f>VALUE(IF(AND(ISERR(FIND(".",'Raw Data'!Q143)),LEN('Raw Data'!Q143)=5), IF(YEAR('Raw Data'!Q143)=2026,CONCATENATE(DAY('Raw Data'!Q143),".",IF(LEN(MONTH('Raw Data'!Q143))=2,MONTH('Raw Data'!Q143),CONCATENATE(MONTH('Raw Data'!Q143)))),CONCATENATE(MONTH('Raw Data'!Q143),".",RIGHT(YEAR('Raw Data'!Q143),2))),'Raw Data'!Q143))</f>
        <v>8.1</v>
      </c>
    </row>
    <row r="144" spans="1:17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f>VALUE(IF(AND(ISERR(FIND(".",'Raw Data'!G144)),LEN('Raw Data'!G144)=5), IF(YEAR('Raw Data'!G144)=2026,CONCATENATE(DAY('Raw Data'!G144),".",IF(LEN(MONTH('Raw Data'!G144))=2,MONTH('Raw Data'!G144),CONCATENATE("0",MONTH('Raw Data'!G144)))),CONCATENATE(MONTH('Raw Data'!G144),".",RIGHT(YEAR('Raw Data'!G144),2))),'Raw Data'!G144))</f>
        <v>68.599999999999994</v>
      </c>
      <c r="H144">
        <f>'Raw Data'!H144</f>
        <v>10</v>
      </c>
      <c r="I144" s="6">
        <f t="shared" si="6"/>
        <v>34.299999999999955</v>
      </c>
      <c r="J144" s="6">
        <f>'Raw Data'!J144</f>
        <v>720.3</v>
      </c>
      <c r="K144" s="1">
        <f>VALUE(IFERROR(VALUE('Raw Data'!K144),CONCATENATE(MID('Raw Data'!K144,3,2),".","0",LEFT('Raw Data'!K144,1),".", RIGHT('Raw Data'!K144,4))))</f>
        <v>43587</v>
      </c>
      <c r="L144" s="2">
        <f>'Raw Data'!L144</f>
        <v>0.83124999999999993</v>
      </c>
      <c r="M144" t="s">
        <v>29</v>
      </c>
      <c r="N144">
        <f>VALUE(IF(AND(ISERR(FIND(".",'Raw Data'!N144)),LEN('Raw Data'!N144)=5), IF(YEAR('Raw Data'!N144)=2026,CONCATENATE(DAY('Raw Data'!N144),".",IF(LEN(MONTH('Raw Data'!N144))=2,MONTH('Raw Data'!N144),CONCATENATE("0",MONTH('Raw Data'!N144)))),CONCATENATE(MONTH('Raw Data'!N144),".",RIGHT(YEAR('Raw Data'!N144),2))),'Raw Data'!N144))</f>
        <v>686</v>
      </c>
      <c r="O144" s="6">
        <f t="shared" si="7"/>
        <v>4.7619047619047556</v>
      </c>
      <c r="P144" s="6">
        <f t="shared" si="8"/>
        <v>34.299999999999955</v>
      </c>
      <c r="Q144">
        <f>VALUE(IF(AND(ISERR(FIND(".",'Raw Data'!Q144)),LEN('Raw Data'!Q144)=5), IF(YEAR('Raw Data'!Q144)=2026,CONCATENATE(DAY('Raw Data'!Q144),".",IF(LEN(MONTH('Raw Data'!Q144))=2,MONTH('Raw Data'!Q144),CONCATENATE(MONTH('Raw Data'!Q144)))),CONCATENATE(MONTH('Raw Data'!Q144),".",RIGHT(YEAR('Raw Data'!Q144),2))),'Raw Data'!Q144))</f>
        <v>9.1</v>
      </c>
    </row>
    <row r="145" spans="1:17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40</v>
      </c>
      <c r="G145">
        <f>VALUE(IF(AND(ISERR(FIND(".",'Raw Data'!G145)),LEN('Raw Data'!G145)=5), IF(YEAR('Raw Data'!G145)=2026,CONCATENATE(DAY('Raw Data'!G145),".",IF(LEN(MONTH('Raw Data'!G145))=2,MONTH('Raw Data'!G145),CONCATENATE("0",MONTH('Raw Data'!G145)))),CONCATENATE(MONTH('Raw Data'!G145),".",RIGHT(YEAR('Raw Data'!G145),2))),'Raw Data'!G145))</f>
        <v>30.41</v>
      </c>
      <c r="H145">
        <f>'Raw Data'!H145</f>
        <v>1</v>
      </c>
      <c r="I145" s="6">
        <f t="shared" si="6"/>
        <v>1.5204999999999984</v>
      </c>
      <c r="J145" s="6">
        <f>'Raw Data'!J145</f>
        <v>31.930499999999999</v>
      </c>
      <c r="K145" s="1">
        <f>VALUE(IFERROR(VALUE('Raw Data'!K145),CONCATENATE(MID('Raw Data'!K145,3,2),".","0",LEFT('Raw Data'!K145,1),".", RIGHT('Raw Data'!K145,4))))</f>
        <v>43518</v>
      </c>
      <c r="L145" s="2">
        <f>'Raw Data'!L145</f>
        <v>0.44166666666666665</v>
      </c>
      <c r="M145" t="s">
        <v>33</v>
      </c>
      <c r="N145">
        <f>VALUE(IF(AND(ISERR(FIND(".",'Raw Data'!N145)),LEN('Raw Data'!N145)=5), IF(YEAR('Raw Data'!N145)=2026,CONCATENATE(DAY('Raw Data'!N145),".",IF(LEN(MONTH('Raw Data'!N145))=2,MONTH('Raw Data'!N145),CONCATENATE("0",MONTH('Raw Data'!N145)))),CONCATENATE(MONTH('Raw Data'!N145),".",RIGHT(YEAR('Raw Data'!N145),2))),'Raw Data'!N145))</f>
        <v>30.41</v>
      </c>
      <c r="O145" s="6">
        <f t="shared" si="7"/>
        <v>4.7619047619047574</v>
      </c>
      <c r="P145" s="6">
        <f t="shared" si="8"/>
        <v>1.5204999999999984</v>
      </c>
      <c r="Q145">
        <f>VALUE(IF(AND(ISERR(FIND(".",'Raw Data'!Q145)),LEN('Raw Data'!Q145)=5), IF(YEAR('Raw Data'!Q145)=2026,CONCATENATE(DAY('Raw Data'!Q145),".",IF(LEN(MONTH('Raw Data'!Q145))=2,MONTH('Raw Data'!Q145),CONCATENATE(MONTH('Raw Data'!Q145)))),CONCATENATE(MONTH('Raw Data'!Q145),".",RIGHT(YEAR('Raw Data'!Q145),2))),'Raw Data'!Q145))</f>
        <v>8.4</v>
      </c>
    </row>
    <row r="146" spans="1:17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f>VALUE(IF(AND(ISERR(FIND(".",'Raw Data'!G146)),LEN('Raw Data'!G146)=5), IF(YEAR('Raw Data'!G146)=2026,CONCATENATE(DAY('Raw Data'!G146),".",IF(LEN(MONTH('Raw Data'!G146))=2,MONTH('Raw Data'!G146),CONCATENATE("0",MONTH('Raw Data'!G146)))),CONCATENATE(MONTH('Raw Data'!G146),".",RIGHT(YEAR('Raw Data'!G146),2))),'Raw Data'!G146))</f>
        <v>77.95</v>
      </c>
      <c r="H146">
        <f>'Raw Data'!H146</f>
        <v>6</v>
      </c>
      <c r="I146" s="6">
        <f t="shared" si="6"/>
        <v>23.384999999999934</v>
      </c>
      <c r="J146" s="6">
        <f>'Raw Data'!J146</f>
        <v>491.08499999999998</v>
      </c>
      <c r="K146" s="1">
        <f>VALUE(IFERROR(VALUE('Raw Data'!K146),CONCATENATE(MID('Raw Data'!K146,3,2),".","0",LEFT('Raw Data'!K146,1),".", RIGHT('Raw Data'!K146,4))))</f>
        <v>43486</v>
      </c>
      <c r="L146" s="2">
        <f>'Raw Data'!L146</f>
        <v>0.69236111111111109</v>
      </c>
      <c r="M146" t="s">
        <v>23</v>
      </c>
      <c r="N146">
        <f>VALUE(IF(AND(ISERR(FIND(".",'Raw Data'!N146)),LEN('Raw Data'!N146)=5), IF(YEAR('Raw Data'!N146)=2026,CONCATENATE(DAY('Raw Data'!N146),".",IF(LEN(MONTH('Raw Data'!N146))=2,MONTH('Raw Data'!N146),CONCATENATE("0",MONTH('Raw Data'!N146)))),CONCATENATE(MONTH('Raw Data'!N146),".",RIGHT(YEAR('Raw Data'!N146),2))),'Raw Data'!N146))</f>
        <v>467.7</v>
      </c>
      <c r="O146" s="6">
        <f t="shared" si="7"/>
        <v>4.7619047619047601</v>
      </c>
      <c r="P146" s="6">
        <f t="shared" si="8"/>
        <v>23.384999999999991</v>
      </c>
      <c r="Q146">
        <f>VALUE(IF(AND(ISERR(FIND(".",'Raw Data'!Q146)),LEN('Raw Data'!Q146)=5), IF(YEAR('Raw Data'!Q146)=2026,CONCATENATE(DAY('Raw Data'!Q146),".",IF(LEN(MONTH('Raw Data'!Q146))=2,MONTH('Raw Data'!Q146),CONCATENATE(MONTH('Raw Data'!Q146)))),CONCATENATE(MONTH('Raw Data'!Q146),".",RIGHT(YEAR('Raw Data'!Q146),2))),'Raw Data'!Q146))</f>
        <v>8</v>
      </c>
    </row>
    <row r="147" spans="1:17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f>VALUE(IF(AND(ISERR(FIND(".",'Raw Data'!G147)),LEN('Raw Data'!G147)=5), IF(YEAR('Raw Data'!G147)=2026,CONCATENATE(DAY('Raw Data'!G147),".",IF(LEN(MONTH('Raw Data'!G147))=2,MONTH('Raw Data'!G147),CONCATENATE("0",MONTH('Raw Data'!G147)))),CONCATENATE(MONTH('Raw Data'!G147),".",RIGHT(YEAR('Raw Data'!G147),2))),'Raw Data'!G147))</f>
        <v>46.26</v>
      </c>
      <c r="H147">
        <f>'Raw Data'!H147</f>
        <v>6</v>
      </c>
      <c r="I147" s="6">
        <f t="shared" si="6"/>
        <v>13.877999999999986</v>
      </c>
      <c r="J147" s="6">
        <f>'Raw Data'!J147</f>
        <v>291.43799999999999</v>
      </c>
      <c r="K147" s="1">
        <f>VALUE(IFERROR(VALUE('Raw Data'!K147),CONCATENATE(MID('Raw Data'!K147,3,2),".","0",LEFT('Raw Data'!K147,1),".", RIGHT('Raw Data'!K147,4))))</f>
        <v>43680</v>
      </c>
      <c r="L147" s="2">
        <f>'Raw Data'!L147</f>
        <v>0.71597222222222223</v>
      </c>
      <c r="M147" t="s">
        <v>33</v>
      </c>
      <c r="N147">
        <f>VALUE(IF(AND(ISERR(FIND(".",'Raw Data'!N147)),LEN('Raw Data'!N147)=5), IF(YEAR('Raw Data'!N147)=2026,CONCATENATE(DAY('Raw Data'!N147),".",IF(LEN(MONTH('Raw Data'!N147))=2,MONTH('Raw Data'!N147),CONCATENATE("0",MONTH('Raw Data'!N147)))),CONCATENATE(MONTH('Raw Data'!N147),".",RIGHT(YEAR('Raw Data'!N147),2))),'Raw Data'!N147))</f>
        <v>277.56</v>
      </c>
      <c r="O147" s="6">
        <f t="shared" si="7"/>
        <v>4.7619047619047574</v>
      </c>
      <c r="P147" s="6">
        <f t="shared" si="8"/>
        <v>13.877999999999986</v>
      </c>
      <c r="Q147">
        <f>VALUE(IF(AND(ISERR(FIND(".",'Raw Data'!Q147)),LEN('Raw Data'!Q147)=5), IF(YEAR('Raw Data'!Q147)=2026,CONCATENATE(DAY('Raw Data'!Q147),".",IF(LEN(MONTH('Raw Data'!Q147))=2,MONTH('Raw Data'!Q147),CONCATENATE(MONTH('Raw Data'!Q147)))),CONCATENATE(MONTH('Raw Data'!Q147),".",RIGHT(YEAR('Raw Data'!Q147),2))),'Raw Data'!Q147))</f>
        <v>9.5</v>
      </c>
    </row>
    <row r="148" spans="1:17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43</v>
      </c>
      <c r="G148">
        <f>VALUE(IF(AND(ISERR(FIND(".",'Raw Data'!G148)),LEN('Raw Data'!G148)=5), IF(YEAR('Raw Data'!G148)=2026,CONCATENATE(DAY('Raw Data'!G148),".",IF(LEN(MONTH('Raw Data'!G148))=2,MONTH('Raw Data'!G148),CONCATENATE("0",MONTH('Raw Data'!G148)))),CONCATENATE(MONTH('Raw Data'!G148),".",RIGHT(YEAR('Raw Data'!G148),2))),'Raw Data'!G148))</f>
        <v>30.14</v>
      </c>
      <c r="H148">
        <f>'Raw Data'!H148</f>
        <v>10</v>
      </c>
      <c r="I148" s="6">
        <f t="shared" si="6"/>
        <v>15.07000000000005</v>
      </c>
      <c r="J148" s="6">
        <f>'Raw Data'!J148</f>
        <v>316.47000000000003</v>
      </c>
      <c r="K148" s="1">
        <f>VALUE(IFERROR(VALUE('Raw Data'!K148),CONCATENATE(MID('Raw Data'!K148,3,2),".","0",LEFT('Raw Data'!K148,1),".", RIGHT('Raw Data'!K148,4))))</f>
        <v>43740</v>
      </c>
      <c r="L148" s="2">
        <f>'Raw Data'!L148</f>
        <v>0.51944444444444449</v>
      </c>
      <c r="M148" t="s">
        <v>23</v>
      </c>
      <c r="N148">
        <f>VALUE(IF(AND(ISERR(FIND(".",'Raw Data'!N148)),LEN('Raw Data'!N148)=5), IF(YEAR('Raw Data'!N148)=2026,CONCATENATE(DAY('Raw Data'!N148),".",IF(LEN(MONTH('Raw Data'!N148))=2,MONTH('Raw Data'!N148),CONCATENATE("0",MONTH('Raw Data'!N148)))),CONCATENATE(MONTH('Raw Data'!N148),".",RIGHT(YEAR('Raw Data'!N148),2))),'Raw Data'!N148))</f>
        <v>301.39999999999998</v>
      </c>
      <c r="O148" s="6">
        <f t="shared" si="7"/>
        <v>4.7619047619047778</v>
      </c>
      <c r="P148" s="6">
        <f t="shared" si="8"/>
        <v>15.07000000000005</v>
      </c>
      <c r="Q148">
        <f>VALUE(IF(AND(ISERR(FIND(".",'Raw Data'!Q148)),LEN('Raw Data'!Q148)=5), IF(YEAR('Raw Data'!Q148)=2026,CONCATENATE(DAY('Raw Data'!Q148),".",IF(LEN(MONTH('Raw Data'!Q148))=2,MONTH('Raw Data'!Q148),CONCATENATE(MONTH('Raw Data'!Q148)))),CONCATENATE(MONTH('Raw Data'!Q148),".",RIGHT(YEAR('Raw Data'!Q148),2))),'Raw Data'!Q148))</f>
        <v>9.1999999999999993</v>
      </c>
    </row>
    <row r="149" spans="1:17">
      <c r="A149" t="s">
        <v>222</v>
      </c>
      <c r="B149" t="s">
        <v>25</v>
      </c>
      <c r="C149" t="s">
        <v>26</v>
      </c>
      <c r="D149" t="s">
        <v>27</v>
      </c>
      <c r="E149" t="s">
        <v>30</v>
      </c>
      <c r="F149" t="s">
        <v>22</v>
      </c>
      <c r="G149">
        <f>VALUE(IF(AND(ISERR(FIND(".",'Raw Data'!G149)),LEN('Raw Data'!G149)=5), IF(YEAR('Raw Data'!G149)=2026,CONCATENATE(DAY('Raw Data'!G149),".",IF(LEN(MONTH('Raw Data'!G149))=2,MONTH('Raw Data'!G149),CONCATENATE("0",MONTH('Raw Data'!G149)))),CONCATENATE(MONTH('Raw Data'!G149),".",RIGHT(YEAR('Raw Data'!G149),2))),'Raw Data'!G149))</f>
        <v>66.14</v>
      </c>
      <c r="H149">
        <f>'Raw Data'!H149</f>
        <v>4</v>
      </c>
      <c r="I149" s="6">
        <f t="shared" si="6"/>
        <v>13.228000000000009</v>
      </c>
      <c r="J149" s="6">
        <f>'Raw Data'!J149</f>
        <v>277.78800000000001</v>
      </c>
      <c r="K149" s="1">
        <f>VALUE(IFERROR(VALUE('Raw Data'!K149),CONCATENATE(MID('Raw Data'!K149,3,2),".","0",LEFT('Raw Data'!K149,1),".", RIGHT('Raw Data'!K149,4))))</f>
        <v>43543</v>
      </c>
      <c r="L149" s="2">
        <f>'Raw Data'!L149</f>
        <v>0.53194444444444444</v>
      </c>
      <c r="M149" t="s">
        <v>33</v>
      </c>
      <c r="N149">
        <f>VALUE(IF(AND(ISERR(FIND(".",'Raw Data'!N149)),LEN('Raw Data'!N149)=5), IF(YEAR('Raw Data'!N149)=2026,CONCATENATE(DAY('Raw Data'!N149),".",IF(LEN(MONTH('Raw Data'!N149))=2,MONTH('Raw Data'!N149),CONCATENATE("0",MONTH('Raw Data'!N149)))),CONCATENATE(MONTH('Raw Data'!N149),".",RIGHT(YEAR('Raw Data'!N149),2))),'Raw Data'!N149))</f>
        <v>264.56</v>
      </c>
      <c r="O149" s="6">
        <f t="shared" si="7"/>
        <v>4.7619047619047654</v>
      </c>
      <c r="P149" s="6">
        <f t="shared" si="8"/>
        <v>13.228000000000009</v>
      </c>
      <c r="Q149">
        <f>VALUE(IF(AND(ISERR(FIND(".",'Raw Data'!Q149)),LEN('Raw Data'!Q149)=5), IF(YEAR('Raw Data'!Q149)=2026,CONCATENATE(DAY('Raw Data'!Q149),".",IF(LEN(MONTH('Raw Data'!Q149))=2,MONTH('Raw Data'!Q149),CONCATENATE(MONTH('Raw Data'!Q149)))),CONCATENATE(MONTH('Raw Data'!Q149),".",RIGHT(YEAR('Raw Data'!Q149),2))),'Raw Data'!Q149))</f>
        <v>5.6</v>
      </c>
    </row>
    <row r="150" spans="1:17">
      <c r="A150" t="s">
        <v>223</v>
      </c>
      <c r="B150" t="s">
        <v>34</v>
      </c>
      <c r="C150" t="s">
        <v>35</v>
      </c>
      <c r="D150" t="s">
        <v>20</v>
      </c>
      <c r="E150" t="s">
        <v>30</v>
      </c>
      <c r="F150" t="s">
        <v>32</v>
      </c>
      <c r="G150">
        <f>VALUE(IF(AND(ISERR(FIND(".",'Raw Data'!G150)),LEN('Raw Data'!G150)=5), IF(YEAR('Raw Data'!G150)=2026,CONCATENATE(DAY('Raw Data'!G150),".",IF(LEN(MONTH('Raw Data'!G150))=2,MONTH('Raw Data'!G150),CONCATENATE("0",MONTH('Raw Data'!G150)))),CONCATENATE(MONTH('Raw Data'!G150),".",RIGHT(YEAR('Raw Data'!G150),2))),'Raw Data'!G150))</f>
        <v>71.86</v>
      </c>
      <c r="H150">
        <f>'Raw Data'!H150</f>
        <v>8</v>
      </c>
      <c r="I150" s="6">
        <f t="shared" si="6"/>
        <v>28.744000000000028</v>
      </c>
      <c r="J150" s="6">
        <f>'Raw Data'!J150</f>
        <v>603.62400000000002</v>
      </c>
      <c r="K150" s="1">
        <f>VALUE(IFERROR(VALUE('Raw Data'!K150),CONCATENATE(MID('Raw Data'!K150,3,2),".","0",LEFT('Raw Data'!K150,1),".", RIGHT('Raw Data'!K150,4))))</f>
        <v>43619</v>
      </c>
      <c r="L150" s="2">
        <f>'Raw Data'!L150</f>
        <v>0.62986111111111109</v>
      </c>
      <c r="M150" t="s">
        <v>33</v>
      </c>
      <c r="N150">
        <f>VALUE(IF(AND(ISERR(FIND(".",'Raw Data'!N150)),LEN('Raw Data'!N150)=5), IF(YEAR('Raw Data'!N150)=2026,CONCATENATE(DAY('Raw Data'!N150),".",IF(LEN(MONTH('Raw Data'!N150))=2,MONTH('Raw Data'!N150),CONCATENATE("0",MONTH('Raw Data'!N150)))),CONCATENATE(MONTH('Raw Data'!N150),".",RIGHT(YEAR('Raw Data'!N150),2))),'Raw Data'!N150))</f>
        <v>574.88</v>
      </c>
      <c r="O150" s="6">
        <f t="shared" si="7"/>
        <v>4.7619047619047663</v>
      </c>
      <c r="P150" s="6">
        <f t="shared" si="8"/>
        <v>28.744000000000028</v>
      </c>
      <c r="Q150">
        <f>VALUE(IF(AND(ISERR(FIND(".",'Raw Data'!Q150)),LEN('Raw Data'!Q150)=5), IF(YEAR('Raw Data'!Q150)=2026,CONCATENATE(DAY('Raw Data'!Q150),".",IF(LEN(MONTH('Raw Data'!Q150))=2,MONTH('Raw Data'!Q150),CONCATENATE(MONTH('Raw Data'!Q150)))),CONCATENATE(MONTH('Raw Data'!Q150),".",RIGHT(YEAR('Raw Data'!Q150),2))),'Raw Data'!Q150))</f>
        <v>6.2</v>
      </c>
    </row>
    <row r="151" spans="1:17">
      <c r="A151" t="s">
        <v>224</v>
      </c>
      <c r="B151" t="s">
        <v>18</v>
      </c>
      <c r="C151" t="s">
        <v>19</v>
      </c>
      <c r="D151" t="s">
        <v>27</v>
      </c>
      <c r="E151" t="s">
        <v>30</v>
      </c>
      <c r="F151" t="s">
        <v>22</v>
      </c>
      <c r="G151">
        <f>VALUE(IF(AND(ISERR(FIND(".",'Raw Data'!G151)),LEN('Raw Data'!G151)=5), IF(YEAR('Raw Data'!G151)=2026,CONCATENATE(DAY('Raw Data'!G151),".",IF(LEN(MONTH('Raw Data'!G151))=2,MONTH('Raw Data'!G151),CONCATENATE("0",MONTH('Raw Data'!G151)))),CONCATENATE(MONTH('Raw Data'!G151),".",RIGHT(YEAR('Raw Data'!G151),2))),'Raw Data'!G151))</f>
        <v>32.46</v>
      </c>
      <c r="H151">
        <f>'Raw Data'!H151</f>
        <v>8</v>
      </c>
      <c r="I151" s="6">
        <f t="shared" si="6"/>
        <v>12.98399999999998</v>
      </c>
      <c r="J151" s="6">
        <f>'Raw Data'!J151</f>
        <v>272.66399999999999</v>
      </c>
      <c r="K151" s="1">
        <f>VALUE(IFERROR(VALUE('Raw Data'!K151),CONCATENATE(MID('Raw Data'!K151,3,2),".","0",LEFT('Raw Data'!K151,1),".", RIGHT('Raw Data'!K151,4))))</f>
        <v>43551</v>
      </c>
      <c r="L151" s="2">
        <f>'Raw Data'!L151</f>
        <v>0.57500000000000007</v>
      </c>
      <c r="M151" t="s">
        <v>33</v>
      </c>
      <c r="N151">
        <f>VALUE(IF(AND(ISERR(FIND(".",'Raw Data'!N151)),LEN('Raw Data'!N151)=5), IF(YEAR('Raw Data'!N151)=2026,CONCATENATE(DAY('Raw Data'!N151),".",IF(LEN(MONTH('Raw Data'!N151))=2,MONTH('Raw Data'!N151),CONCATENATE("0",MONTH('Raw Data'!N151)))),CONCATENATE(MONTH('Raw Data'!N151),".",RIGHT(YEAR('Raw Data'!N151),2))),'Raw Data'!N151))</f>
        <v>259.68</v>
      </c>
      <c r="O151" s="6">
        <f t="shared" si="7"/>
        <v>4.7619047619047548</v>
      </c>
      <c r="P151" s="6">
        <f t="shared" si="8"/>
        <v>12.98399999999998</v>
      </c>
      <c r="Q151">
        <f>VALUE(IF(AND(ISERR(FIND(".",'Raw Data'!Q151)),LEN('Raw Data'!Q151)=5), IF(YEAR('Raw Data'!Q151)=2026,CONCATENATE(DAY('Raw Data'!Q151),".",IF(LEN(MONTH('Raw Data'!Q151))=2,MONTH('Raw Data'!Q151),CONCATENATE(MONTH('Raw Data'!Q151)))),CONCATENATE(MONTH('Raw Data'!Q151),".",RIGHT(YEAR('Raw Data'!Q151),2))),'Raw Data'!Q151))</f>
        <v>4.9000000000000004</v>
      </c>
    </row>
    <row r="152" spans="1:17">
      <c r="A152" t="s">
        <v>225</v>
      </c>
      <c r="B152" t="s">
        <v>34</v>
      </c>
      <c r="C152" t="s">
        <v>35</v>
      </c>
      <c r="D152" t="s">
        <v>20</v>
      </c>
      <c r="E152" t="s">
        <v>21</v>
      </c>
      <c r="F152" t="s">
        <v>43</v>
      </c>
      <c r="G152">
        <f>VALUE(IF(AND(ISERR(FIND(".",'Raw Data'!G152)),LEN('Raw Data'!G152)=5), IF(YEAR('Raw Data'!G152)=2026,CONCATENATE(DAY('Raw Data'!G152),".",IF(LEN(MONTH('Raw Data'!G152))=2,MONTH('Raw Data'!G152),CONCATENATE("0",MONTH('Raw Data'!G152)))),CONCATENATE(MONTH('Raw Data'!G152),".",RIGHT(YEAR('Raw Data'!G152),2))),'Raw Data'!G152))</f>
        <v>91.54</v>
      </c>
      <c r="H152">
        <f>'Raw Data'!H152</f>
        <v>4</v>
      </c>
      <c r="I152" s="6">
        <f t="shared" si="6"/>
        <v>18.307999999999993</v>
      </c>
      <c r="J152" s="6">
        <f>'Raw Data'!J152</f>
        <v>384.46800000000002</v>
      </c>
      <c r="K152" s="1">
        <f>VALUE(IFERROR(VALUE('Raw Data'!K152),CONCATENATE(MID('Raw Data'!K152,3,2),".","0",LEFT('Raw Data'!K152,1),".", RIGHT('Raw Data'!K152,4))))</f>
        <v>43547</v>
      </c>
      <c r="L152" s="2">
        <f>'Raw Data'!L152</f>
        <v>0.80555555555555547</v>
      </c>
      <c r="M152" t="s">
        <v>33</v>
      </c>
      <c r="N152">
        <f>VALUE(IF(AND(ISERR(FIND(".",'Raw Data'!N152)),LEN('Raw Data'!N152)=5), IF(YEAR('Raw Data'!N152)=2026,CONCATENATE(DAY('Raw Data'!N152),".",IF(LEN(MONTH('Raw Data'!N152))=2,MONTH('Raw Data'!N152),CONCATENATE("0",MONTH('Raw Data'!N152)))),CONCATENATE(MONTH('Raw Data'!N152),".",RIGHT(YEAR('Raw Data'!N152),2))),'Raw Data'!N152))</f>
        <v>366.16</v>
      </c>
      <c r="O152" s="6">
        <f t="shared" si="7"/>
        <v>4.7619047619047592</v>
      </c>
      <c r="P152" s="6">
        <f t="shared" si="8"/>
        <v>18.307999999999993</v>
      </c>
      <c r="Q152">
        <f>VALUE(IF(AND(ISERR(FIND(".",'Raw Data'!Q152)),LEN('Raw Data'!Q152)=5), IF(YEAR('Raw Data'!Q152)=2026,CONCATENATE(DAY('Raw Data'!Q152),".",IF(LEN(MONTH('Raw Data'!Q152))=2,MONTH('Raw Data'!Q152),CONCATENATE(MONTH('Raw Data'!Q152)))),CONCATENATE(MONTH('Raw Data'!Q152),".",RIGHT(YEAR('Raw Data'!Q152),2))),'Raw Data'!Q152))</f>
        <v>4.8</v>
      </c>
    </row>
    <row r="153" spans="1:17">
      <c r="A153" t="s">
        <v>226</v>
      </c>
      <c r="B153" t="s">
        <v>25</v>
      </c>
      <c r="C153" t="s">
        <v>26</v>
      </c>
      <c r="D153" t="s">
        <v>20</v>
      </c>
      <c r="E153" t="s">
        <v>30</v>
      </c>
      <c r="F153" t="s">
        <v>38</v>
      </c>
      <c r="G153">
        <f>VALUE(IF(AND(ISERR(FIND(".",'Raw Data'!G153)),LEN('Raw Data'!G153)=5), IF(YEAR('Raw Data'!G153)=2026,CONCATENATE(DAY('Raw Data'!G153),".",IF(LEN(MONTH('Raw Data'!G153))=2,MONTH('Raw Data'!G153),CONCATENATE("0",MONTH('Raw Data'!G153)))),CONCATENATE(MONTH('Raw Data'!G153),".",RIGHT(YEAR('Raw Data'!G153),2))),'Raw Data'!G153))</f>
        <v>34.56</v>
      </c>
      <c r="H153">
        <f>'Raw Data'!H153</f>
        <v>7</v>
      </c>
      <c r="I153" s="6">
        <f t="shared" si="6"/>
        <v>12.095999999999975</v>
      </c>
      <c r="J153" s="6">
        <f>'Raw Data'!J153</f>
        <v>254.01599999999999</v>
      </c>
      <c r="K153" s="1">
        <f>VALUE(IFERROR(VALUE('Raw Data'!K153),CONCATENATE(MID('Raw Data'!K153,3,2),".","0",LEFT('Raw Data'!K153,1),".", RIGHT('Raw Data'!K153,4))))</f>
        <v>43772</v>
      </c>
      <c r="L153" s="2">
        <f>'Raw Data'!L153</f>
        <v>0.67152777777777783</v>
      </c>
      <c r="M153" t="s">
        <v>33</v>
      </c>
      <c r="N153">
        <f>VALUE(IF(AND(ISERR(FIND(".",'Raw Data'!N153)),LEN('Raw Data'!N153)=5), IF(YEAR('Raw Data'!N153)=2026,CONCATENATE(DAY('Raw Data'!N153),".",IF(LEN(MONTH('Raw Data'!N153))=2,MONTH('Raw Data'!N153),CONCATENATE("0",MONTH('Raw Data'!N153)))),CONCATENATE(MONTH('Raw Data'!N153),".",RIGHT(YEAR('Raw Data'!N153),2))),'Raw Data'!N153))</f>
        <v>241.92</v>
      </c>
      <c r="O153" s="6">
        <f t="shared" si="7"/>
        <v>4.7619047619047636</v>
      </c>
      <c r="P153" s="6">
        <f t="shared" si="8"/>
        <v>12.096000000000004</v>
      </c>
      <c r="Q153">
        <f>VALUE(IF(AND(ISERR(FIND(".",'Raw Data'!Q153)),LEN('Raw Data'!Q153)=5), IF(YEAR('Raw Data'!Q153)=2026,CONCATENATE(DAY('Raw Data'!Q153),".",IF(LEN(MONTH('Raw Data'!Q153))=2,MONTH('Raw Data'!Q153),CONCATENATE(MONTH('Raw Data'!Q153)))),CONCATENATE(MONTH('Raw Data'!Q153),".",RIGHT(YEAR('Raw Data'!Q153),2))),'Raw Data'!Q153))</f>
        <v>7.3</v>
      </c>
    </row>
    <row r="154" spans="1:17">
      <c r="A154" t="s">
        <v>227</v>
      </c>
      <c r="B154" t="s">
        <v>18</v>
      </c>
      <c r="C154" t="s">
        <v>19</v>
      </c>
      <c r="D154" t="s">
        <v>27</v>
      </c>
      <c r="E154" t="s">
        <v>30</v>
      </c>
      <c r="F154" t="s">
        <v>43</v>
      </c>
      <c r="G154">
        <f>VALUE(IF(AND(ISERR(FIND(".",'Raw Data'!G154)),LEN('Raw Data'!G154)=5), IF(YEAR('Raw Data'!G154)=2026,CONCATENATE(DAY('Raw Data'!G154),".",IF(LEN(MONTH('Raw Data'!G154))=2,MONTH('Raw Data'!G154),CONCATENATE("0",MONTH('Raw Data'!G154)))),CONCATENATE(MONTH('Raw Data'!G154),".",RIGHT(YEAR('Raw Data'!G154),2))),'Raw Data'!G154))</f>
        <v>83.24</v>
      </c>
      <c r="H154">
        <f>'Raw Data'!H154</f>
        <v>9</v>
      </c>
      <c r="I154" s="6">
        <f t="shared" si="6"/>
        <v>37.458000000000084</v>
      </c>
      <c r="J154" s="6">
        <f>'Raw Data'!J154</f>
        <v>786.61800000000005</v>
      </c>
      <c r="K154" s="1">
        <f>VALUE(IFERROR(VALUE('Raw Data'!K154),CONCATENATE(MID('Raw Data'!K154,3,2),".","0",LEFT('Raw Data'!K154,1),".", RIGHT('Raw Data'!K154,4))))</f>
        <v>43494</v>
      </c>
      <c r="L154" s="2">
        <f>'Raw Data'!L154</f>
        <v>0.49722222222222223</v>
      </c>
      <c r="M154" t="s">
        <v>33</v>
      </c>
      <c r="N154">
        <f>VALUE(IF(AND(ISERR(FIND(".",'Raw Data'!N154)),LEN('Raw Data'!N154)=5), IF(YEAR('Raw Data'!N154)=2026,CONCATENATE(DAY('Raw Data'!N154),".",IF(LEN(MONTH('Raw Data'!N154))=2,MONTH('Raw Data'!N154),CONCATENATE("0",MONTH('Raw Data'!N154)))),CONCATENATE(MONTH('Raw Data'!N154),".",RIGHT(YEAR('Raw Data'!N154),2))),'Raw Data'!N154))</f>
        <v>749.16</v>
      </c>
      <c r="O154" s="6">
        <f t="shared" si="7"/>
        <v>4.7619047619047716</v>
      </c>
      <c r="P154" s="6">
        <f t="shared" si="8"/>
        <v>37.458000000000084</v>
      </c>
      <c r="Q154">
        <f>VALUE(IF(AND(ISERR(FIND(".",'Raw Data'!Q154)),LEN('Raw Data'!Q154)=5), IF(YEAR('Raw Data'!Q154)=2026,CONCATENATE(DAY('Raw Data'!Q154),".",IF(LEN(MONTH('Raw Data'!Q154))=2,MONTH('Raw Data'!Q154),CONCATENATE(MONTH('Raw Data'!Q154)))),CONCATENATE(MONTH('Raw Data'!Q154),".",RIGHT(YEAR('Raw Data'!Q154),2))),'Raw Data'!Q154))</f>
        <v>7.4</v>
      </c>
    </row>
    <row r="155" spans="1:17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40</v>
      </c>
      <c r="G155">
        <f>VALUE(IF(AND(ISERR(FIND(".",'Raw Data'!G155)),LEN('Raw Data'!G155)=5), IF(YEAR('Raw Data'!G155)=2026,CONCATENATE(DAY('Raw Data'!G155),".",IF(LEN(MONTH('Raw Data'!G155))=2,MONTH('Raw Data'!G155),CONCATENATE("0",MONTH('Raw Data'!G155)))),CONCATENATE(MONTH('Raw Data'!G155),".",RIGHT(YEAR('Raw Data'!G155),2))),'Raw Data'!G155))</f>
        <v>16.48</v>
      </c>
      <c r="H155">
        <f>'Raw Data'!H155</f>
        <v>6</v>
      </c>
      <c r="I155" s="6">
        <f t="shared" si="6"/>
        <v>4.9440000000000026</v>
      </c>
      <c r="J155" s="6">
        <f>'Raw Data'!J155</f>
        <v>103.824</v>
      </c>
      <c r="K155" s="1">
        <f>VALUE(IFERROR(VALUE('Raw Data'!K155),CONCATENATE(MID('Raw Data'!K155,3,2),".","0",LEFT('Raw Data'!K155,1),".", RIGHT('Raw Data'!K155,4))))</f>
        <v>43648</v>
      </c>
      <c r="L155" s="2">
        <f>'Raw Data'!L155</f>
        <v>0.76597222222222217</v>
      </c>
      <c r="M155" t="s">
        <v>23</v>
      </c>
      <c r="N155">
        <f>VALUE(IF(AND(ISERR(FIND(".",'Raw Data'!N155)),LEN('Raw Data'!N155)=5), IF(YEAR('Raw Data'!N155)=2026,CONCATENATE(DAY('Raw Data'!N155),".",IF(LEN(MONTH('Raw Data'!N155))=2,MONTH('Raw Data'!N155),CONCATENATE("0",MONTH('Raw Data'!N155)))),CONCATENATE(MONTH('Raw Data'!N155),".",RIGHT(YEAR('Raw Data'!N155),2))),'Raw Data'!N155))</f>
        <v>98.88</v>
      </c>
      <c r="O155" s="6">
        <f t="shared" si="7"/>
        <v>4.7619047619047645</v>
      </c>
      <c r="P155" s="6">
        <f t="shared" si="8"/>
        <v>4.9440000000000026</v>
      </c>
      <c r="Q155">
        <f>VALUE(IF(AND(ISERR(FIND(".",'Raw Data'!Q155)),LEN('Raw Data'!Q155)=5), IF(YEAR('Raw Data'!Q155)=2026,CONCATENATE(DAY('Raw Data'!Q155),".",IF(LEN(MONTH('Raw Data'!Q155))=2,MONTH('Raw Data'!Q155),CONCATENATE(MONTH('Raw Data'!Q155)))),CONCATENATE(MONTH('Raw Data'!Q155),".",RIGHT(YEAR('Raw Data'!Q155),2))),'Raw Data'!Q155))</f>
        <v>9.9</v>
      </c>
    </row>
    <row r="156" spans="1:17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38</v>
      </c>
      <c r="G156">
        <f>VALUE(IF(AND(ISERR(FIND(".",'Raw Data'!G156)),LEN('Raw Data'!G156)=5), IF(YEAR('Raw Data'!G156)=2026,CONCATENATE(DAY('Raw Data'!G156),".",IF(LEN(MONTH('Raw Data'!G156))=2,MONTH('Raw Data'!G156),CONCATENATE("0",MONTH('Raw Data'!G156)))),CONCATENATE(MONTH('Raw Data'!G156),".",RIGHT(YEAR('Raw Data'!G156),2))),'Raw Data'!G156))</f>
        <v>80.97</v>
      </c>
      <c r="H156">
        <f>'Raw Data'!H156</f>
        <v>8</v>
      </c>
      <c r="I156" s="6">
        <f t="shared" si="6"/>
        <v>32.388000000000034</v>
      </c>
      <c r="J156" s="6">
        <f>'Raw Data'!J156</f>
        <v>680.14800000000002</v>
      </c>
      <c r="K156" s="1">
        <f>VALUE(IFERROR(VALUE('Raw Data'!K156),CONCATENATE(MID('Raw Data'!K156,3,2),".","0",LEFT('Raw Data'!K156,1),".", RIGHT('Raw Data'!K156,4))))</f>
        <v>43493</v>
      </c>
      <c r="L156" s="2">
        <f>'Raw Data'!L156</f>
        <v>0.54513888888888895</v>
      </c>
      <c r="M156" t="s">
        <v>29</v>
      </c>
      <c r="N156">
        <f>VALUE(IF(AND(ISERR(FIND(".",'Raw Data'!N156)),LEN('Raw Data'!N156)=5), IF(YEAR('Raw Data'!N156)=2026,CONCATENATE(DAY('Raw Data'!N156),".",IF(LEN(MONTH('Raw Data'!N156))=2,MONTH('Raw Data'!N156),CONCATENATE("0",MONTH('Raw Data'!N156)))),CONCATENATE(MONTH('Raw Data'!N156),".",RIGHT(YEAR('Raw Data'!N156),2))),'Raw Data'!N156))</f>
        <v>647.76</v>
      </c>
      <c r="O156" s="6">
        <f t="shared" si="7"/>
        <v>4.7619047619047663</v>
      </c>
      <c r="P156" s="6">
        <f t="shared" si="8"/>
        <v>32.388000000000034</v>
      </c>
      <c r="Q156">
        <f>VALUE(IF(AND(ISERR(FIND(".",'Raw Data'!Q156)),LEN('Raw Data'!Q156)=5), IF(YEAR('Raw Data'!Q156)=2026,CONCATENATE(DAY('Raw Data'!Q156),".",IF(LEN(MONTH('Raw Data'!Q156))=2,MONTH('Raw Data'!Q156),CONCATENATE(MONTH('Raw Data'!Q156)))),CONCATENATE(MONTH('Raw Data'!Q156),".",RIGHT(YEAR('Raw Data'!Q156),2))),'Raw Data'!Q156))</f>
        <v>9.3000000000000007</v>
      </c>
    </row>
    <row r="157" spans="1:17">
      <c r="A157" t="s">
        <v>231</v>
      </c>
      <c r="B157" t="s">
        <v>18</v>
      </c>
      <c r="C157" t="s">
        <v>19</v>
      </c>
      <c r="D157" t="s">
        <v>20</v>
      </c>
      <c r="E157" t="s">
        <v>30</v>
      </c>
      <c r="F157" t="s">
        <v>40</v>
      </c>
      <c r="G157">
        <f>VALUE(IF(AND(ISERR(FIND(".",'Raw Data'!G157)),LEN('Raw Data'!G157)=5), IF(YEAR('Raw Data'!G157)=2026,CONCATENATE(DAY('Raw Data'!G157),".",IF(LEN(MONTH('Raw Data'!G157))=2,MONTH('Raw Data'!G157),CONCATENATE("0",MONTH('Raw Data'!G157)))),CONCATENATE(MONTH('Raw Data'!G157),".",RIGHT(YEAR('Raw Data'!G157),2))),'Raw Data'!G157))</f>
        <v>92.29</v>
      </c>
      <c r="H157">
        <f>'Raw Data'!H157</f>
        <v>5</v>
      </c>
      <c r="I157" s="6">
        <f t="shared" si="6"/>
        <v>23.072499999999934</v>
      </c>
      <c r="J157" s="6">
        <f>'Raw Data'!J157</f>
        <v>484.52249999999998</v>
      </c>
      <c r="K157" s="1">
        <f>VALUE(IFERROR(VALUE('Raw Data'!K157),CONCATENATE(MID('Raw Data'!K157,3,2),".","0",LEFT('Raw Data'!K157,1),".", RIGHT('Raw Data'!K157,4))))</f>
        <v>43516</v>
      </c>
      <c r="L157" s="2">
        <f>'Raw Data'!L157</f>
        <v>0.66319444444444442</v>
      </c>
      <c r="M157" t="s">
        <v>33</v>
      </c>
      <c r="N157">
        <f>VALUE(IF(AND(ISERR(FIND(".",'Raw Data'!N157)),LEN('Raw Data'!N157)=5), IF(YEAR('Raw Data'!N157)=2026,CONCATENATE(DAY('Raw Data'!N157),".",IF(LEN(MONTH('Raw Data'!N157))=2,MONTH('Raw Data'!N157),CONCATENATE("0",MONTH('Raw Data'!N157)))),CONCATENATE(MONTH('Raw Data'!N157),".",RIGHT(YEAR('Raw Data'!N157),2))),'Raw Data'!N157))</f>
        <v>461.45</v>
      </c>
      <c r="O157" s="6">
        <f t="shared" si="7"/>
        <v>4.7619047619047601</v>
      </c>
      <c r="P157" s="6">
        <f t="shared" si="8"/>
        <v>23.072499999999991</v>
      </c>
      <c r="Q157">
        <f>VALUE(IF(AND(ISERR(FIND(".",'Raw Data'!Q157)),LEN('Raw Data'!Q157)=5), IF(YEAR('Raw Data'!Q157)=2026,CONCATENATE(DAY('Raw Data'!Q157),".",IF(LEN(MONTH('Raw Data'!Q157))=2,MONTH('Raw Data'!Q157),CONCATENATE(MONTH('Raw Data'!Q157)))),CONCATENATE(MONTH('Raw Data'!Q157),".",RIGHT(YEAR('Raw Data'!Q157),2))),'Raw Data'!Q157))</f>
        <v>9</v>
      </c>
    </row>
    <row r="158" spans="1:17">
      <c r="A158" t="s">
        <v>232</v>
      </c>
      <c r="B158" t="s">
        <v>34</v>
      </c>
      <c r="C158" t="s">
        <v>35</v>
      </c>
      <c r="D158" t="s">
        <v>20</v>
      </c>
      <c r="E158" t="s">
        <v>30</v>
      </c>
      <c r="F158" t="s">
        <v>28</v>
      </c>
      <c r="G158">
        <f>VALUE(IF(AND(ISERR(FIND(".",'Raw Data'!G158)),LEN('Raw Data'!G158)=5), IF(YEAR('Raw Data'!G158)=2026,CONCATENATE(DAY('Raw Data'!G158),".",IF(LEN(MONTH('Raw Data'!G158))=2,MONTH('Raw Data'!G158),CONCATENATE("0",MONTH('Raw Data'!G158)))),CONCATENATE(MONTH('Raw Data'!G158),".",RIGHT(YEAR('Raw Data'!G158),2))),'Raw Data'!G158))</f>
        <v>72.17</v>
      </c>
      <c r="H158">
        <f>'Raw Data'!H158</f>
        <v>1</v>
      </c>
      <c r="I158" s="6">
        <f t="shared" si="6"/>
        <v>3.6084999999999923</v>
      </c>
      <c r="J158" s="6">
        <f>'Raw Data'!J158</f>
        <v>75.778499999999994</v>
      </c>
      <c r="K158" s="1">
        <f>VALUE(IFERROR(VALUE('Raw Data'!K158),CONCATENATE(MID('Raw Data'!K158,3,2),".","0",LEFT('Raw Data'!K158,1),".", RIGHT('Raw Data'!K158,4))))</f>
        <v>43556</v>
      </c>
      <c r="L158" s="2">
        <f>'Raw Data'!L158</f>
        <v>0.81944444444444453</v>
      </c>
      <c r="M158" t="s">
        <v>29</v>
      </c>
      <c r="N158">
        <f>VALUE(IF(AND(ISERR(FIND(".",'Raw Data'!N158)),LEN('Raw Data'!N158)=5), IF(YEAR('Raw Data'!N158)=2026,CONCATENATE(DAY('Raw Data'!N158),".",IF(LEN(MONTH('Raw Data'!N158))=2,MONTH('Raw Data'!N158),CONCATENATE("0",MONTH('Raw Data'!N158)))),CONCATENATE(MONTH('Raw Data'!N158),".",RIGHT(YEAR('Raw Data'!N158),2))),'Raw Data'!N158))</f>
        <v>72.17</v>
      </c>
      <c r="O158" s="6">
        <f t="shared" si="7"/>
        <v>4.7619047619047521</v>
      </c>
      <c r="P158" s="6">
        <f t="shared" si="8"/>
        <v>3.6084999999999923</v>
      </c>
      <c r="Q158">
        <f>VALUE(IF(AND(ISERR(FIND(".",'Raw Data'!Q158)),LEN('Raw Data'!Q158)=5), IF(YEAR('Raw Data'!Q158)=2026,CONCATENATE(DAY('Raw Data'!Q158),".",IF(LEN(MONTH('Raw Data'!Q158))=2,MONTH('Raw Data'!Q158),CONCATENATE(MONTH('Raw Data'!Q158)))),CONCATENATE(MONTH('Raw Data'!Q158),".",RIGHT(YEAR('Raw Data'!Q158),2))),'Raw Data'!Q158))</f>
        <v>6.1</v>
      </c>
    </row>
    <row r="159" spans="1:17">
      <c r="A159" t="s">
        <v>233</v>
      </c>
      <c r="B159" t="s">
        <v>34</v>
      </c>
      <c r="C159" t="s">
        <v>35</v>
      </c>
      <c r="D159" t="s">
        <v>27</v>
      </c>
      <c r="E159" t="s">
        <v>30</v>
      </c>
      <c r="F159" t="s">
        <v>32</v>
      </c>
      <c r="G159">
        <f>VALUE(IF(AND(ISERR(FIND(".",'Raw Data'!G159)),LEN('Raw Data'!G159)=5), IF(YEAR('Raw Data'!G159)=2026,CONCATENATE(DAY('Raw Data'!G159),".",IF(LEN(MONTH('Raw Data'!G159))=2,MONTH('Raw Data'!G159),CONCATENATE("0",MONTH('Raw Data'!G159)))),CONCATENATE(MONTH('Raw Data'!G159),".",RIGHT(YEAR('Raw Data'!G159),2))),'Raw Data'!G159))</f>
        <v>50.28</v>
      </c>
      <c r="H159">
        <f>'Raw Data'!H159</f>
        <v>5</v>
      </c>
      <c r="I159" s="6">
        <f t="shared" si="6"/>
        <v>12.570000000000022</v>
      </c>
      <c r="J159" s="6">
        <f>'Raw Data'!J159</f>
        <v>263.97000000000003</v>
      </c>
      <c r="K159" s="1">
        <f>VALUE(IFERROR(VALUE('Raw Data'!K159),CONCATENATE(MID('Raw Data'!K159,3,2),".","0",LEFT('Raw Data'!K159,1),".", RIGHT('Raw Data'!K159,4))))</f>
        <v>43649</v>
      </c>
      <c r="L159" s="2">
        <f>'Raw Data'!L159</f>
        <v>0.58194444444444449</v>
      </c>
      <c r="M159" t="s">
        <v>23</v>
      </c>
      <c r="N159">
        <f>VALUE(IF(AND(ISERR(FIND(".",'Raw Data'!N159)),LEN('Raw Data'!N159)=5), IF(YEAR('Raw Data'!N159)=2026,CONCATENATE(DAY('Raw Data'!N159),".",IF(LEN(MONTH('Raw Data'!N159))=2,MONTH('Raw Data'!N159),CONCATENATE("0",MONTH('Raw Data'!N159)))),CONCATENATE(MONTH('Raw Data'!N159),".",RIGHT(YEAR('Raw Data'!N159),2))),'Raw Data'!N159))</f>
        <v>251.4</v>
      </c>
      <c r="O159" s="6">
        <f t="shared" si="7"/>
        <v>4.761904761904769</v>
      </c>
      <c r="P159" s="6">
        <f t="shared" si="8"/>
        <v>12.570000000000022</v>
      </c>
      <c r="Q159">
        <f>VALUE(IF(AND(ISERR(FIND(".",'Raw Data'!Q159)),LEN('Raw Data'!Q159)=5), IF(YEAR('Raw Data'!Q159)=2026,CONCATENATE(DAY('Raw Data'!Q159),".",IF(LEN(MONTH('Raw Data'!Q159))=2,MONTH('Raw Data'!Q159),CONCATENATE(MONTH('Raw Data'!Q159)))),CONCATENATE(MONTH('Raw Data'!Q159),".",RIGHT(YEAR('Raw Data'!Q159),2))),'Raw Data'!Q159))</f>
        <v>9.6999999999999993</v>
      </c>
    </row>
    <row r="160" spans="1:17">
      <c r="A160" t="s">
        <v>234</v>
      </c>
      <c r="B160" t="s">
        <v>34</v>
      </c>
      <c r="C160" t="s">
        <v>35</v>
      </c>
      <c r="D160" t="s">
        <v>20</v>
      </c>
      <c r="E160" t="s">
        <v>30</v>
      </c>
      <c r="F160" t="s">
        <v>22</v>
      </c>
      <c r="G160">
        <f>VALUE(IF(AND(ISERR(FIND(".",'Raw Data'!G160)),LEN('Raw Data'!G160)=5), IF(YEAR('Raw Data'!G160)=2026,CONCATENATE(DAY('Raw Data'!G160),".",IF(LEN(MONTH('Raw Data'!G160))=2,MONTH('Raw Data'!G160),CONCATENATE("0",MONTH('Raw Data'!G160)))),CONCATENATE(MONTH('Raw Data'!G160),".",RIGHT(YEAR('Raw Data'!G160),2))),'Raw Data'!G160))</f>
        <v>97.22</v>
      </c>
      <c r="H160">
        <f>'Raw Data'!H160</f>
        <v>9</v>
      </c>
      <c r="I160" s="6">
        <f t="shared" si="6"/>
        <v>43.749000000000024</v>
      </c>
      <c r="J160" s="6">
        <f>'Raw Data'!J160</f>
        <v>918.72900000000004</v>
      </c>
      <c r="K160" s="1">
        <f>VALUE(IFERROR(VALUE('Raw Data'!K160),CONCATENATE(MID('Raw Data'!K160,3,2),".","0",LEFT('Raw Data'!K160,1),".", RIGHT('Raw Data'!K160,4))))</f>
        <v>43554</v>
      </c>
      <c r="L160" s="2">
        <f>'Raw Data'!L160</f>
        <v>0.61319444444444449</v>
      </c>
      <c r="M160" t="s">
        <v>23</v>
      </c>
      <c r="N160">
        <f>VALUE(IF(AND(ISERR(FIND(".",'Raw Data'!N160)),LEN('Raw Data'!N160)=5), IF(YEAR('Raw Data'!N160)=2026,CONCATENATE(DAY('Raw Data'!N160),".",IF(LEN(MONTH('Raw Data'!N160))=2,MONTH('Raw Data'!N160),CONCATENATE("0",MONTH('Raw Data'!N160)))),CONCATENATE(MONTH('Raw Data'!N160),".",RIGHT(YEAR('Raw Data'!N160),2))),'Raw Data'!N160))</f>
        <v>874.98</v>
      </c>
      <c r="O160" s="6">
        <f t="shared" si="7"/>
        <v>4.7619047619047645</v>
      </c>
      <c r="P160" s="6">
        <f t="shared" si="8"/>
        <v>43.749000000000024</v>
      </c>
      <c r="Q160">
        <f>VALUE(IF(AND(ISERR(FIND(".",'Raw Data'!Q160)),LEN('Raw Data'!Q160)=5), IF(YEAR('Raw Data'!Q160)=2026,CONCATENATE(DAY('Raw Data'!Q160),".",IF(LEN(MONTH('Raw Data'!Q160))=2,MONTH('Raw Data'!Q160),CONCATENATE(MONTH('Raw Data'!Q160)))),CONCATENATE(MONTH('Raw Data'!Q160),".",RIGHT(YEAR('Raw Data'!Q160),2))),'Raw Data'!Q160))</f>
        <v>6</v>
      </c>
    </row>
    <row r="161" spans="1:17">
      <c r="A161" t="s">
        <v>236</v>
      </c>
      <c r="B161" t="s">
        <v>34</v>
      </c>
      <c r="C161" t="s">
        <v>35</v>
      </c>
      <c r="D161" t="s">
        <v>27</v>
      </c>
      <c r="E161" t="s">
        <v>30</v>
      </c>
      <c r="F161" t="s">
        <v>38</v>
      </c>
      <c r="G161">
        <f>VALUE(IF(AND(ISERR(FIND(".",'Raw Data'!G161)),LEN('Raw Data'!G161)=5), IF(YEAR('Raw Data'!G161)=2026,CONCATENATE(DAY('Raw Data'!G161),".",IF(LEN(MONTH('Raw Data'!G161))=2,MONTH('Raw Data'!G161),CONCATENATE("0",MONTH('Raw Data'!G161)))),CONCATENATE(MONTH('Raw Data'!G161),".",RIGHT(YEAR('Raw Data'!G161),2))),'Raw Data'!G161))</f>
        <v>93.39</v>
      </c>
      <c r="H161">
        <f>'Raw Data'!H161</f>
        <v>6</v>
      </c>
      <c r="I161" s="6">
        <f t="shared" si="6"/>
        <v>28.016999999999939</v>
      </c>
      <c r="J161" s="6">
        <f>'Raw Data'!J161</f>
        <v>588.35699999999997</v>
      </c>
      <c r="K161" s="1">
        <f>VALUE(IFERROR(VALUE('Raw Data'!K161),CONCATENATE(MID('Raw Data'!K161,3,2),".","0",LEFT('Raw Data'!K161,1),".", RIGHT('Raw Data'!K161,4))))</f>
        <v>43551</v>
      </c>
      <c r="L161" s="2">
        <f>'Raw Data'!L161</f>
        <v>0.8041666666666667</v>
      </c>
      <c r="M161" t="s">
        <v>23</v>
      </c>
      <c r="N161">
        <f>VALUE(IF(AND(ISERR(FIND(".",'Raw Data'!N161)),LEN('Raw Data'!N161)=5), IF(YEAR('Raw Data'!N161)=2026,CONCATENATE(DAY('Raw Data'!N161),".",IF(LEN(MONTH('Raw Data'!N161))=2,MONTH('Raw Data'!N161),CONCATENATE("0",MONTH('Raw Data'!N161)))),CONCATENATE(MONTH('Raw Data'!N161),".",RIGHT(YEAR('Raw Data'!N161),2))),'Raw Data'!N161))</f>
        <v>560.34</v>
      </c>
      <c r="O161" s="6">
        <f t="shared" si="7"/>
        <v>4.7619047619047521</v>
      </c>
      <c r="P161" s="6">
        <f t="shared" si="8"/>
        <v>28.016999999999939</v>
      </c>
      <c r="Q161">
        <f>VALUE(IF(AND(ISERR(FIND(".",'Raw Data'!Q161)),LEN('Raw Data'!Q161)=5), IF(YEAR('Raw Data'!Q161)=2026,CONCATENATE(DAY('Raw Data'!Q161),".",IF(LEN(MONTH('Raw Data'!Q161))=2,MONTH('Raw Data'!Q161),CONCATENATE(MONTH('Raw Data'!Q161)))),CONCATENATE(MONTH('Raw Data'!Q161),".",RIGHT(YEAR('Raw Data'!Q161),2))),'Raw Data'!Q161))</f>
        <v>10</v>
      </c>
    </row>
    <row r="162" spans="1:17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40</v>
      </c>
      <c r="G162">
        <f>VALUE(IF(AND(ISERR(FIND(".",'Raw Data'!G162)),LEN('Raw Data'!G162)=5), IF(YEAR('Raw Data'!G162)=2026,CONCATENATE(DAY('Raw Data'!G162),".",IF(LEN(MONTH('Raw Data'!G162))=2,MONTH('Raw Data'!G162),CONCATENATE("0",MONTH('Raw Data'!G162)))),CONCATENATE(MONTH('Raw Data'!G162),".",RIGHT(YEAR('Raw Data'!G162),2))),'Raw Data'!G162))</f>
        <v>43.18</v>
      </c>
      <c r="H162">
        <f>'Raw Data'!H162</f>
        <v>8</v>
      </c>
      <c r="I162" s="6">
        <f t="shared" si="6"/>
        <v>17.271999999999991</v>
      </c>
      <c r="J162" s="6">
        <f>'Raw Data'!J162</f>
        <v>362.71199999999999</v>
      </c>
      <c r="K162" s="1">
        <f>VALUE(IFERROR(VALUE('Raw Data'!K162),CONCATENATE(MID('Raw Data'!K162,3,2),".","0",LEFT('Raw Data'!K162,1),".", RIGHT('Raw Data'!K162,4))))</f>
        <v>43484</v>
      </c>
      <c r="L162" s="2">
        <f>'Raw Data'!L162</f>
        <v>0.81874999999999998</v>
      </c>
      <c r="M162" t="s">
        <v>33</v>
      </c>
      <c r="N162">
        <f>VALUE(IF(AND(ISERR(FIND(".",'Raw Data'!N162)),LEN('Raw Data'!N162)=5), IF(YEAR('Raw Data'!N162)=2026,CONCATENATE(DAY('Raw Data'!N162),".",IF(LEN(MONTH('Raw Data'!N162))=2,MONTH('Raw Data'!N162),CONCATENATE("0",MONTH('Raw Data'!N162)))),CONCATENATE(MONTH('Raw Data'!N162),".",RIGHT(YEAR('Raw Data'!N162),2))),'Raw Data'!N162))</f>
        <v>345.44</v>
      </c>
      <c r="O162" s="6">
        <f t="shared" si="7"/>
        <v>4.7619047619047592</v>
      </c>
      <c r="P162" s="6">
        <f t="shared" si="8"/>
        <v>17.271999999999991</v>
      </c>
      <c r="Q162">
        <f>VALUE(IF(AND(ISERR(FIND(".",'Raw Data'!Q162)),LEN('Raw Data'!Q162)=5), IF(YEAR('Raw Data'!Q162)=2026,CONCATENATE(DAY('Raw Data'!Q162),".",IF(LEN(MONTH('Raw Data'!Q162))=2,MONTH('Raw Data'!Q162),CONCATENATE(MONTH('Raw Data'!Q162)))),CONCATENATE(MONTH('Raw Data'!Q162),".",RIGHT(YEAR('Raw Data'!Q162),2))),'Raw Data'!Q162))</f>
        <v>8.3000000000000007</v>
      </c>
    </row>
    <row r="163" spans="1:17">
      <c r="A163" t="s">
        <v>238</v>
      </c>
      <c r="B163" t="s">
        <v>18</v>
      </c>
      <c r="C163" t="s">
        <v>19</v>
      </c>
      <c r="D163" t="s">
        <v>27</v>
      </c>
      <c r="E163" t="s">
        <v>30</v>
      </c>
      <c r="F163" t="s">
        <v>38</v>
      </c>
      <c r="G163">
        <f>VALUE(IF(AND(ISERR(FIND(".",'Raw Data'!G163)),LEN('Raw Data'!G163)=5), IF(YEAR('Raw Data'!G163)=2026,CONCATENATE(DAY('Raw Data'!G163),".",IF(LEN(MONTH('Raw Data'!G163))=2,MONTH('Raw Data'!G163),CONCATENATE("0",MONTH('Raw Data'!G163)))),CONCATENATE(MONTH('Raw Data'!G163),".",RIGHT(YEAR('Raw Data'!G163),2))),'Raw Data'!G163))</f>
        <v>63.69</v>
      </c>
      <c r="H163">
        <f>'Raw Data'!H163</f>
        <v>1</v>
      </c>
      <c r="I163" s="6">
        <f t="shared" si="6"/>
        <v>3.1844999999999999</v>
      </c>
      <c r="J163" s="6">
        <f>'Raw Data'!J163</f>
        <v>66.874499999999998</v>
      </c>
      <c r="K163" s="1">
        <f>VALUE(IFERROR(VALUE('Raw Data'!K163),CONCATENATE(MID('Raw Data'!K163,3,2),".","0",LEFT('Raw Data'!K163,1),".", RIGHT('Raw Data'!K163,4))))</f>
        <v>43521</v>
      </c>
      <c r="L163" s="2">
        <f>'Raw Data'!L163</f>
        <v>0.68125000000000002</v>
      </c>
      <c r="M163" t="s">
        <v>29</v>
      </c>
      <c r="N163">
        <f>VALUE(IF(AND(ISERR(FIND(".",'Raw Data'!N163)),LEN('Raw Data'!N163)=5), IF(YEAR('Raw Data'!N163)=2026,CONCATENATE(DAY('Raw Data'!N163),".",IF(LEN(MONTH('Raw Data'!N163))=2,MONTH('Raw Data'!N163),CONCATENATE("0",MONTH('Raw Data'!N163)))),CONCATENATE(MONTH('Raw Data'!N163),".",RIGHT(YEAR('Raw Data'!N163),2))),'Raw Data'!N163))</f>
        <v>63.69</v>
      </c>
      <c r="O163" s="6">
        <f t="shared" si="7"/>
        <v>4.7619047619047619</v>
      </c>
      <c r="P163" s="6">
        <f t="shared" si="8"/>
        <v>3.1844999999999999</v>
      </c>
      <c r="Q163">
        <f>VALUE(IF(AND(ISERR(FIND(".",'Raw Data'!Q163)),LEN('Raw Data'!Q163)=5), IF(YEAR('Raw Data'!Q163)=2026,CONCATENATE(DAY('Raw Data'!Q163),".",IF(LEN(MONTH('Raw Data'!Q163))=2,MONTH('Raw Data'!Q163),CONCATENATE(MONTH('Raw Data'!Q163)))),CONCATENATE(MONTH('Raw Data'!Q163),".",RIGHT(YEAR('Raw Data'!Q163),2))),'Raw Data'!Q163))</f>
        <v>6</v>
      </c>
    </row>
    <row r="164" spans="1:17">
      <c r="A164" t="s">
        <v>239</v>
      </c>
      <c r="B164" t="s">
        <v>18</v>
      </c>
      <c r="C164" t="s">
        <v>19</v>
      </c>
      <c r="D164" t="s">
        <v>27</v>
      </c>
      <c r="E164" t="s">
        <v>30</v>
      </c>
      <c r="F164" t="s">
        <v>40</v>
      </c>
      <c r="G164">
        <f>VALUE(IF(AND(ISERR(FIND(".",'Raw Data'!G164)),LEN('Raw Data'!G164)=5), IF(YEAR('Raw Data'!G164)=2026,CONCATENATE(DAY('Raw Data'!G164),".",IF(LEN(MONTH('Raw Data'!G164))=2,MONTH('Raw Data'!G164),CONCATENATE("0",MONTH('Raw Data'!G164)))),CONCATENATE(MONTH('Raw Data'!G164),".",RIGHT(YEAR('Raw Data'!G164),2))),'Raw Data'!G164))</f>
        <v>45.79</v>
      </c>
      <c r="H164">
        <f>'Raw Data'!H164</f>
        <v>7</v>
      </c>
      <c r="I164" s="6">
        <f t="shared" si="6"/>
        <v>16.026500000000055</v>
      </c>
      <c r="J164" s="6">
        <f>'Raw Data'!J164</f>
        <v>336.55650000000003</v>
      </c>
      <c r="K164" s="1">
        <f>VALUE(IFERROR(VALUE('Raw Data'!K164),CONCATENATE(MID('Raw Data'!K164,3,2),".","0",LEFT('Raw Data'!K164,1),".", RIGHT('Raw Data'!K164,4))))</f>
        <v>43537</v>
      </c>
      <c r="L164" s="2">
        <f>'Raw Data'!L164</f>
        <v>0.8222222222222223</v>
      </c>
      <c r="M164" t="s">
        <v>33</v>
      </c>
      <c r="N164">
        <f>VALUE(IF(AND(ISERR(FIND(".",'Raw Data'!N164)),LEN('Raw Data'!N164)=5), IF(YEAR('Raw Data'!N164)=2026,CONCATENATE(DAY('Raw Data'!N164),".",IF(LEN(MONTH('Raw Data'!N164))=2,MONTH('Raw Data'!N164),CONCATENATE("0",MONTH('Raw Data'!N164)))),CONCATENATE(MONTH('Raw Data'!N164),".",RIGHT(YEAR('Raw Data'!N164),2))),'Raw Data'!N164))</f>
        <v>320.52999999999997</v>
      </c>
      <c r="O164" s="6">
        <f t="shared" si="7"/>
        <v>4.7619047619047787</v>
      </c>
      <c r="P164" s="6">
        <f t="shared" si="8"/>
        <v>16.026500000000055</v>
      </c>
      <c r="Q164">
        <f>VALUE(IF(AND(ISERR(FIND(".",'Raw Data'!Q164)),LEN('Raw Data'!Q164)=5), IF(YEAR('Raw Data'!Q164)=2026,CONCATENATE(DAY('Raw Data'!Q164),".",IF(LEN(MONTH('Raw Data'!Q164))=2,MONTH('Raw Data'!Q164),CONCATENATE(MONTH('Raw Data'!Q164)))),CONCATENATE(MONTH('Raw Data'!Q164),".",RIGHT(YEAR('Raw Data'!Q164),2))),'Raw Data'!Q164))</f>
        <v>7</v>
      </c>
    </row>
    <row r="165" spans="1:17">
      <c r="A165" t="s">
        <v>240</v>
      </c>
      <c r="B165" t="s">
        <v>25</v>
      </c>
      <c r="C165" t="s">
        <v>26</v>
      </c>
      <c r="D165" t="s">
        <v>27</v>
      </c>
      <c r="E165" t="s">
        <v>30</v>
      </c>
      <c r="F165" t="s">
        <v>38</v>
      </c>
      <c r="G165">
        <f>VALUE(IF(AND(ISERR(FIND(".",'Raw Data'!G165)),LEN('Raw Data'!G165)=5), IF(YEAR('Raw Data'!G165)=2026,CONCATENATE(DAY('Raw Data'!G165),".",IF(LEN(MONTH('Raw Data'!G165))=2,MONTH('Raw Data'!G165),CONCATENATE("0",MONTH('Raw Data'!G165)))),CONCATENATE(MONTH('Raw Data'!G165),".",RIGHT(YEAR('Raw Data'!G165),2))),'Raw Data'!G165))</f>
        <v>76.400000000000006</v>
      </c>
      <c r="H165">
        <f>'Raw Data'!H165</f>
        <v>2</v>
      </c>
      <c r="I165" s="6">
        <f t="shared" si="6"/>
        <v>7.6399999999999864</v>
      </c>
      <c r="J165" s="6">
        <f>'Raw Data'!J165</f>
        <v>160.44</v>
      </c>
      <c r="K165" s="1">
        <f>VALUE(IFERROR(VALUE('Raw Data'!K165),CONCATENATE(MID('Raw Data'!K165,3,2),".","0",LEFT('Raw Data'!K165,1),".", RIGHT('Raw Data'!K165,4))))</f>
        <v>43495</v>
      </c>
      <c r="L165" s="2">
        <f>'Raw Data'!L165</f>
        <v>0.8208333333333333</v>
      </c>
      <c r="M165" t="s">
        <v>23</v>
      </c>
      <c r="N165">
        <f>VALUE(IF(AND(ISERR(FIND(".",'Raw Data'!N165)),LEN('Raw Data'!N165)=5), IF(YEAR('Raw Data'!N165)=2026,CONCATENATE(DAY('Raw Data'!N165),".",IF(LEN(MONTH('Raw Data'!N165))=2,MONTH('Raw Data'!N165),CONCATENATE("0",MONTH('Raw Data'!N165)))),CONCATENATE(MONTH('Raw Data'!N165),".",RIGHT(YEAR('Raw Data'!N165),2))),'Raw Data'!N165))</f>
        <v>152.80000000000001</v>
      </c>
      <c r="O165" s="6">
        <f t="shared" si="7"/>
        <v>4.761904761904753</v>
      </c>
      <c r="P165" s="6">
        <f t="shared" si="8"/>
        <v>7.6399999999999864</v>
      </c>
      <c r="Q165">
        <f>VALUE(IF(AND(ISERR(FIND(".",'Raw Data'!Q165)),LEN('Raw Data'!Q165)=5), IF(YEAR('Raw Data'!Q165)=2026,CONCATENATE(DAY('Raw Data'!Q165),".",IF(LEN(MONTH('Raw Data'!Q165))=2,MONTH('Raw Data'!Q165),CONCATENATE(MONTH('Raw Data'!Q165)))),CONCATENATE(MONTH('Raw Data'!Q165),".",RIGHT(YEAR('Raw Data'!Q165),2))),'Raw Data'!Q165))</f>
        <v>6.5</v>
      </c>
    </row>
    <row r="166" spans="1:17">
      <c r="A166" t="s">
        <v>242</v>
      </c>
      <c r="B166" t="s">
        <v>34</v>
      </c>
      <c r="C166" t="s">
        <v>35</v>
      </c>
      <c r="D166" t="s">
        <v>27</v>
      </c>
      <c r="E166" t="s">
        <v>30</v>
      </c>
      <c r="F166" t="s">
        <v>40</v>
      </c>
      <c r="G166">
        <f>VALUE(IF(AND(ISERR(FIND(".",'Raw Data'!G166)),LEN('Raw Data'!G166)=5), IF(YEAR('Raw Data'!G166)=2026,CONCATENATE(DAY('Raw Data'!G166),".",IF(LEN(MONTH('Raw Data'!G166))=2,MONTH('Raw Data'!G166),CONCATENATE("0",MONTH('Raw Data'!G166)))),CONCATENATE(MONTH('Raw Data'!G166),".",RIGHT(YEAR('Raw Data'!G166),2))),'Raw Data'!G166))</f>
        <v>39.9</v>
      </c>
      <c r="H166">
        <f>'Raw Data'!H166</f>
        <v>10</v>
      </c>
      <c r="I166" s="6">
        <f t="shared" si="6"/>
        <v>19.949999999999989</v>
      </c>
      <c r="J166" s="6">
        <f>'Raw Data'!J166</f>
        <v>418.95</v>
      </c>
      <c r="K166" s="1">
        <f>VALUE(IFERROR(VALUE('Raw Data'!K166),CONCATENATE(MID('Raw Data'!K166,3,2),".","0",LEFT('Raw Data'!K166,1),".", RIGHT('Raw Data'!K166,4))))</f>
        <v>43516</v>
      </c>
      <c r="L166" s="2">
        <f>'Raw Data'!L166</f>
        <v>0.64166666666666672</v>
      </c>
      <c r="M166" t="s">
        <v>33</v>
      </c>
      <c r="N166">
        <f>VALUE(IF(AND(ISERR(FIND(".",'Raw Data'!N166)),LEN('Raw Data'!N166)=5), IF(YEAR('Raw Data'!N166)=2026,CONCATENATE(DAY('Raw Data'!N166),".",IF(LEN(MONTH('Raw Data'!N166))=2,MONTH('Raw Data'!N166),CONCATENATE("0",MONTH('Raw Data'!N166)))),CONCATENATE(MONTH('Raw Data'!N166),".",RIGHT(YEAR('Raw Data'!N166),2))),'Raw Data'!N166))</f>
        <v>399</v>
      </c>
      <c r="O166" s="6">
        <f t="shared" si="7"/>
        <v>4.7619047619047592</v>
      </c>
      <c r="P166" s="6">
        <f t="shared" si="8"/>
        <v>19.949999999999989</v>
      </c>
      <c r="Q166">
        <f>VALUE(IF(AND(ISERR(FIND(".",'Raw Data'!Q166)),LEN('Raw Data'!Q166)=5), IF(YEAR('Raw Data'!Q166)=2026,CONCATENATE(DAY('Raw Data'!Q166),".",IF(LEN(MONTH('Raw Data'!Q166))=2,MONTH('Raw Data'!Q166),CONCATENATE(MONTH('Raw Data'!Q166)))),CONCATENATE(MONTH('Raw Data'!Q166),".",RIGHT(YEAR('Raw Data'!Q166),2))),'Raw Data'!Q166))</f>
        <v>5.9</v>
      </c>
    </row>
    <row r="167" spans="1:17">
      <c r="A167" t="s">
        <v>243</v>
      </c>
      <c r="B167" t="s">
        <v>34</v>
      </c>
      <c r="C167" t="s">
        <v>35</v>
      </c>
      <c r="D167" t="s">
        <v>20</v>
      </c>
      <c r="E167" t="s">
        <v>30</v>
      </c>
      <c r="F167" t="s">
        <v>22</v>
      </c>
      <c r="G167">
        <f>VALUE(IF(AND(ISERR(FIND(".",'Raw Data'!G167)),LEN('Raw Data'!G167)=5), IF(YEAR('Raw Data'!G167)=2026,CONCATENATE(DAY('Raw Data'!G167),".",IF(LEN(MONTH('Raw Data'!G167))=2,MONTH('Raw Data'!G167),CONCATENATE("0",MONTH('Raw Data'!G167)))),CONCATENATE(MONTH('Raw Data'!G167),".",RIGHT(YEAR('Raw Data'!G167),2))),'Raw Data'!G167))</f>
        <v>42.57</v>
      </c>
      <c r="H167">
        <f>'Raw Data'!H167</f>
        <v>8</v>
      </c>
      <c r="I167" s="6">
        <f t="shared" si="6"/>
        <v>17.02800000000002</v>
      </c>
      <c r="J167" s="6">
        <f>'Raw Data'!J167</f>
        <v>357.58800000000002</v>
      </c>
      <c r="K167" s="1">
        <f>VALUE(IFERROR(VALUE('Raw Data'!K167),CONCATENATE(MID('Raw Data'!K167,3,2),".","0",LEFT('Raw Data'!K167,1),".", RIGHT('Raw Data'!K167,4))))</f>
        <v>43521</v>
      </c>
      <c r="L167" s="2">
        <f>'Raw Data'!L167</f>
        <v>0.59166666666666667</v>
      </c>
      <c r="M167" t="s">
        <v>23</v>
      </c>
      <c r="N167">
        <f>VALUE(IF(AND(ISERR(FIND(".",'Raw Data'!N167)),LEN('Raw Data'!N167)=5), IF(YEAR('Raw Data'!N167)=2026,CONCATENATE(DAY('Raw Data'!N167),".",IF(LEN(MONTH('Raw Data'!N167))=2,MONTH('Raw Data'!N167),CONCATENATE("0",MONTH('Raw Data'!N167)))),CONCATENATE(MONTH('Raw Data'!N167),".",RIGHT(YEAR('Raw Data'!N167),2))),'Raw Data'!N167))</f>
        <v>340.56</v>
      </c>
      <c r="O167" s="6">
        <f t="shared" si="7"/>
        <v>4.7619047619047672</v>
      </c>
      <c r="P167" s="6">
        <f t="shared" si="8"/>
        <v>17.02800000000002</v>
      </c>
      <c r="Q167">
        <f>VALUE(IF(AND(ISERR(FIND(".",'Raw Data'!Q167)),LEN('Raw Data'!Q167)=5), IF(YEAR('Raw Data'!Q167)=2026,CONCATENATE(DAY('Raw Data'!Q167),".",IF(LEN(MONTH('Raw Data'!Q167))=2,MONTH('Raw Data'!Q167),CONCATENATE(MONTH('Raw Data'!Q167)))),CONCATENATE(MONTH('Raw Data'!Q167),".",RIGHT(YEAR('Raw Data'!Q167),2))),'Raw Data'!Q167))</f>
        <v>5.6</v>
      </c>
    </row>
    <row r="168" spans="1:17">
      <c r="A168" t="s">
        <v>244</v>
      </c>
      <c r="B168" t="s">
        <v>25</v>
      </c>
      <c r="C168" t="s">
        <v>26</v>
      </c>
      <c r="D168" t="s">
        <v>27</v>
      </c>
      <c r="E168" t="s">
        <v>30</v>
      </c>
      <c r="F168" t="s">
        <v>32</v>
      </c>
      <c r="G168">
        <f>VALUE(IF(AND(ISERR(FIND(".",'Raw Data'!G168)),LEN('Raw Data'!G168)=5), IF(YEAR('Raw Data'!G168)=2026,CONCATENATE(DAY('Raw Data'!G168),".",IF(LEN(MONTH('Raw Data'!G168))=2,MONTH('Raw Data'!G168),CONCATENATE("0",MONTH('Raw Data'!G168)))),CONCATENATE(MONTH('Raw Data'!G168),".",RIGHT(YEAR('Raw Data'!G168),2))),'Raw Data'!G168))</f>
        <v>95.58</v>
      </c>
      <c r="H168">
        <f>'Raw Data'!H168</f>
        <v>10</v>
      </c>
      <c r="I168" s="6">
        <f t="shared" si="6"/>
        <v>47.790000000000077</v>
      </c>
      <c r="J168" s="6">
        <f>'Raw Data'!J168</f>
        <v>1003.59</v>
      </c>
      <c r="K168" s="1">
        <f>VALUE(IFERROR(VALUE('Raw Data'!K168),CONCATENATE(MID('Raw Data'!K168,3,2),".","0",LEFT('Raw Data'!K168,1),".", RIGHT('Raw Data'!K168,4))))</f>
        <v>43481</v>
      </c>
      <c r="L168" s="2">
        <f>'Raw Data'!L168</f>
        <v>0.56388888888888888</v>
      </c>
      <c r="M168" t="s">
        <v>29</v>
      </c>
      <c r="N168">
        <f>VALUE(IF(AND(ISERR(FIND(".",'Raw Data'!N168)),LEN('Raw Data'!N168)=5), IF(YEAR('Raw Data'!N168)=2026,CONCATENATE(DAY('Raw Data'!N168),".",IF(LEN(MONTH('Raw Data'!N168))=2,MONTH('Raw Data'!N168),CONCATENATE("0",MONTH('Raw Data'!N168)))),CONCATENATE(MONTH('Raw Data'!N168),".",RIGHT(YEAR('Raw Data'!N168),2))),'Raw Data'!N168))</f>
        <v>955.8</v>
      </c>
      <c r="O168" s="6">
        <f t="shared" si="7"/>
        <v>4.761904761904769</v>
      </c>
      <c r="P168" s="6">
        <f t="shared" si="8"/>
        <v>47.790000000000077</v>
      </c>
      <c r="Q168">
        <f>VALUE(IF(AND(ISERR(FIND(".",'Raw Data'!Q168)),LEN('Raw Data'!Q168)=5), IF(YEAR('Raw Data'!Q168)=2026,CONCATENATE(DAY('Raw Data'!Q168),".",IF(LEN(MONTH('Raw Data'!Q168))=2,MONTH('Raw Data'!Q168),CONCATENATE(MONTH('Raw Data'!Q168)))),CONCATENATE(MONTH('Raw Data'!Q168),".",RIGHT(YEAR('Raw Data'!Q168),2))),'Raw Data'!Q168))</f>
        <v>4.8</v>
      </c>
    </row>
    <row r="169" spans="1:17">
      <c r="A169" t="s">
        <v>245</v>
      </c>
      <c r="B169" t="s">
        <v>18</v>
      </c>
      <c r="C169" t="s">
        <v>19</v>
      </c>
      <c r="D169" t="s">
        <v>27</v>
      </c>
      <c r="E169" t="s">
        <v>30</v>
      </c>
      <c r="F169" t="s">
        <v>43</v>
      </c>
      <c r="G169">
        <f>VALUE(IF(AND(ISERR(FIND(".",'Raw Data'!G169)),LEN('Raw Data'!G169)=5), IF(YEAR('Raw Data'!G169)=2026,CONCATENATE(DAY('Raw Data'!G169),".",IF(LEN(MONTH('Raw Data'!G169))=2,MONTH('Raw Data'!G169),CONCATENATE("0",MONTH('Raw Data'!G169)))),CONCATENATE(MONTH('Raw Data'!G169),".",RIGHT(YEAR('Raw Data'!G169),2))),'Raw Data'!G169))</f>
        <v>98.98</v>
      </c>
      <c r="H169">
        <f>'Raw Data'!H169</f>
        <v>10</v>
      </c>
      <c r="I169" s="6">
        <f t="shared" si="6"/>
        <v>49.489999999999895</v>
      </c>
      <c r="J169" s="6">
        <f>'Raw Data'!J169</f>
        <v>1039.29</v>
      </c>
      <c r="K169" s="1">
        <f>VALUE(IFERROR(VALUE('Raw Data'!K169),CONCATENATE(MID('Raw Data'!K169,3,2),".","0",LEFT('Raw Data'!K169,1),".", RIGHT('Raw Data'!K169,4))))</f>
        <v>43679</v>
      </c>
      <c r="L169" s="2">
        <f>'Raw Data'!L169</f>
        <v>0.68055555555555547</v>
      </c>
      <c r="M169" t="s">
        <v>33</v>
      </c>
      <c r="N169">
        <f>VALUE(IF(AND(ISERR(FIND(".",'Raw Data'!N169)),LEN('Raw Data'!N169)=5), IF(YEAR('Raw Data'!N169)=2026,CONCATENATE(DAY('Raw Data'!N169),".",IF(LEN(MONTH('Raw Data'!N169))=2,MONTH('Raw Data'!N169),CONCATENATE("0",MONTH('Raw Data'!N169)))),CONCATENATE(MONTH('Raw Data'!N169),".",RIGHT(YEAR('Raw Data'!N169),2))),'Raw Data'!N169))</f>
        <v>989.8</v>
      </c>
      <c r="O169" s="6">
        <f t="shared" si="7"/>
        <v>4.7619047619047628</v>
      </c>
      <c r="P169" s="6">
        <f t="shared" si="8"/>
        <v>49.490000000000009</v>
      </c>
      <c r="Q169">
        <f>VALUE(IF(AND(ISERR(FIND(".",'Raw Data'!Q169)),LEN('Raw Data'!Q169)=5), IF(YEAR('Raw Data'!Q169)=2026,CONCATENATE(DAY('Raw Data'!Q169),".",IF(LEN(MONTH('Raw Data'!Q169))=2,MONTH('Raw Data'!Q169),CONCATENATE(MONTH('Raw Data'!Q169)))),CONCATENATE(MONTH('Raw Data'!Q169),".",RIGHT(YEAR('Raw Data'!Q169),2))),'Raw Data'!Q169))</f>
        <v>8.6999999999999993</v>
      </c>
    </row>
    <row r="170" spans="1:17">
      <c r="A170" t="s">
        <v>246</v>
      </c>
      <c r="B170" t="s">
        <v>18</v>
      </c>
      <c r="C170" t="s">
        <v>19</v>
      </c>
      <c r="D170" t="s">
        <v>27</v>
      </c>
      <c r="E170" t="s">
        <v>30</v>
      </c>
      <c r="F170" t="s">
        <v>40</v>
      </c>
      <c r="G170">
        <f>VALUE(IF(AND(ISERR(FIND(".",'Raw Data'!G170)),LEN('Raw Data'!G170)=5), IF(YEAR('Raw Data'!G170)=2026,CONCATENATE(DAY('Raw Data'!G170),".",IF(LEN(MONTH('Raw Data'!G170))=2,MONTH('Raw Data'!G170),CONCATENATE("0",MONTH('Raw Data'!G170)))),CONCATENATE(MONTH('Raw Data'!G170),".",RIGHT(YEAR('Raw Data'!G170),2))),'Raw Data'!G170))</f>
        <v>51.28</v>
      </c>
      <c r="H170">
        <f>'Raw Data'!H170</f>
        <v>6</v>
      </c>
      <c r="I170" s="6">
        <f t="shared" si="6"/>
        <v>15.384000000000015</v>
      </c>
      <c r="J170" s="6">
        <f>'Raw Data'!J170</f>
        <v>323.06400000000002</v>
      </c>
      <c r="K170" s="1">
        <f>VALUE(IFERROR(VALUE('Raw Data'!K170),CONCATENATE(MID('Raw Data'!K170,3,2),".","0",LEFT('Raw Data'!K170,1),".", RIGHT('Raw Data'!K170,4))))</f>
        <v>43484</v>
      </c>
      <c r="L170" s="2">
        <f>'Raw Data'!L170</f>
        <v>0.68819444444444444</v>
      </c>
      <c r="M170" t="s">
        <v>29</v>
      </c>
      <c r="N170">
        <f>VALUE(IF(AND(ISERR(FIND(".",'Raw Data'!N170)),LEN('Raw Data'!N170)=5), IF(YEAR('Raw Data'!N170)=2026,CONCATENATE(DAY('Raw Data'!N170),".",IF(LEN(MONTH('Raw Data'!N170))=2,MONTH('Raw Data'!N170),CONCATENATE("0",MONTH('Raw Data'!N170)))),CONCATENATE(MONTH('Raw Data'!N170),".",RIGHT(YEAR('Raw Data'!N170),2))),'Raw Data'!N170))</f>
        <v>307.68</v>
      </c>
      <c r="O170" s="6">
        <f t="shared" si="7"/>
        <v>4.7619047619047654</v>
      </c>
      <c r="P170" s="6">
        <f t="shared" si="8"/>
        <v>15.384000000000015</v>
      </c>
      <c r="Q170">
        <f>VALUE(IF(AND(ISERR(FIND(".",'Raw Data'!Q170)),LEN('Raw Data'!Q170)=5), IF(YEAR('Raw Data'!Q170)=2026,CONCATENATE(DAY('Raw Data'!Q170),".",IF(LEN(MONTH('Raw Data'!Q170))=2,MONTH('Raw Data'!Q170),CONCATENATE(MONTH('Raw Data'!Q170)))),CONCATENATE(MONTH('Raw Data'!Q170),".",RIGHT(YEAR('Raw Data'!Q170),2))),'Raw Data'!Q170))</f>
        <v>6.5</v>
      </c>
    </row>
    <row r="171" spans="1:17">
      <c r="A171" t="s">
        <v>247</v>
      </c>
      <c r="B171" t="s">
        <v>18</v>
      </c>
      <c r="C171" t="s">
        <v>19</v>
      </c>
      <c r="D171" t="s">
        <v>20</v>
      </c>
      <c r="E171" t="s">
        <v>30</v>
      </c>
      <c r="F171" t="s">
        <v>38</v>
      </c>
      <c r="G171">
        <f>VALUE(IF(AND(ISERR(FIND(".",'Raw Data'!G171)),LEN('Raw Data'!G171)=5), IF(YEAR('Raw Data'!G171)=2026,CONCATENATE(DAY('Raw Data'!G171),".",IF(LEN(MONTH('Raw Data'!G171))=2,MONTH('Raw Data'!G171),CONCATENATE("0",MONTH('Raw Data'!G171)))),CONCATENATE(MONTH('Raw Data'!G171),".",RIGHT(YEAR('Raw Data'!G171),2))),'Raw Data'!G171))</f>
        <v>69.52</v>
      </c>
      <c r="H171">
        <f>'Raw Data'!H171</f>
        <v>7</v>
      </c>
      <c r="I171" s="6">
        <f t="shared" si="6"/>
        <v>24.331999999999994</v>
      </c>
      <c r="J171" s="6">
        <f>'Raw Data'!J171</f>
        <v>510.97199999999998</v>
      </c>
      <c r="K171" s="1">
        <f>VALUE(IFERROR(VALUE('Raw Data'!K171),CONCATENATE(MID('Raw Data'!K171,3,2),".","0",LEFT('Raw Data'!K171,1),".", RIGHT('Raw Data'!K171,4))))</f>
        <v>43467</v>
      </c>
      <c r="L171" s="2">
        <f>'Raw Data'!L171</f>
        <v>0.63194444444444442</v>
      </c>
      <c r="M171" t="s">
        <v>33</v>
      </c>
      <c r="N171">
        <f>VALUE(IF(AND(ISERR(FIND(".",'Raw Data'!N171)),LEN('Raw Data'!N171)=5), IF(YEAR('Raw Data'!N171)=2026,CONCATENATE(DAY('Raw Data'!N171),".",IF(LEN(MONTH('Raw Data'!N171))=2,MONTH('Raw Data'!N171),CONCATENATE("0",MONTH('Raw Data'!N171)))),CONCATENATE(MONTH('Raw Data'!N171),".",RIGHT(YEAR('Raw Data'!N171),2))),'Raw Data'!N171))</f>
        <v>486.64</v>
      </c>
      <c r="O171" s="6">
        <f t="shared" si="7"/>
        <v>4.761904761904761</v>
      </c>
      <c r="P171" s="6">
        <f t="shared" si="8"/>
        <v>24.331999999999994</v>
      </c>
      <c r="Q171">
        <f>VALUE(IF(AND(ISERR(FIND(".",'Raw Data'!Q171)),LEN('Raw Data'!Q171)=5), IF(YEAR('Raw Data'!Q171)=2026,CONCATENATE(DAY('Raw Data'!Q171),".",IF(LEN(MONTH('Raw Data'!Q171))=2,MONTH('Raw Data'!Q171),CONCATENATE(MONTH('Raw Data'!Q171)))),CONCATENATE(MONTH('Raw Data'!Q171),".",RIGHT(YEAR('Raw Data'!Q171),2))),'Raw Data'!Q171))</f>
        <v>8.5</v>
      </c>
    </row>
    <row r="172" spans="1:17">
      <c r="A172" t="s">
        <v>248</v>
      </c>
      <c r="B172" t="s">
        <v>18</v>
      </c>
      <c r="C172" t="s">
        <v>19</v>
      </c>
      <c r="D172" t="s">
        <v>27</v>
      </c>
      <c r="E172" t="s">
        <v>30</v>
      </c>
      <c r="F172" t="s">
        <v>22</v>
      </c>
      <c r="G172">
        <f>VALUE(IF(AND(ISERR(FIND(".",'Raw Data'!G172)),LEN('Raw Data'!G172)=5), IF(YEAR('Raw Data'!G172)=2026,CONCATENATE(DAY('Raw Data'!G172),".",IF(LEN(MONTH('Raw Data'!G172))=2,MONTH('Raw Data'!G172),CONCATENATE("0",MONTH('Raw Data'!G172)))),CONCATENATE(MONTH('Raw Data'!G172),".",RIGHT(YEAR('Raw Data'!G172),2))),'Raw Data'!G172))</f>
        <v>70.010000000000005</v>
      </c>
      <c r="H172">
        <f>'Raw Data'!H172</f>
        <v>5</v>
      </c>
      <c r="I172" s="6">
        <f t="shared" si="6"/>
        <v>17.502499999999998</v>
      </c>
      <c r="J172" s="6">
        <f>'Raw Data'!J172</f>
        <v>367.55250000000001</v>
      </c>
      <c r="K172" s="1">
        <f>VALUE(IFERROR(VALUE('Raw Data'!K172),CONCATENATE(MID('Raw Data'!K172,3,2),".","0",LEFT('Raw Data'!K172,1),".", RIGHT('Raw Data'!K172,4))))</f>
        <v>43525</v>
      </c>
      <c r="L172" s="2">
        <f>'Raw Data'!L172</f>
        <v>0.48333333333333334</v>
      </c>
      <c r="M172" t="s">
        <v>23</v>
      </c>
      <c r="N172">
        <f>VALUE(IF(AND(ISERR(FIND(".",'Raw Data'!N172)),LEN('Raw Data'!N172)=5), IF(YEAR('Raw Data'!N172)=2026,CONCATENATE(DAY('Raw Data'!N172),".",IF(LEN(MONTH('Raw Data'!N172))=2,MONTH('Raw Data'!N172),CONCATENATE("0",MONTH('Raw Data'!N172)))),CONCATENATE(MONTH('Raw Data'!N172),".",RIGHT(YEAR('Raw Data'!N172),2))),'Raw Data'!N172))</f>
        <v>350.05</v>
      </c>
      <c r="O172" s="6">
        <f t="shared" si="7"/>
        <v>4.761904761904761</v>
      </c>
      <c r="P172" s="6">
        <f t="shared" si="8"/>
        <v>17.502499999999998</v>
      </c>
      <c r="Q172">
        <f>VALUE(IF(AND(ISERR(FIND(".",'Raw Data'!Q172)),LEN('Raw Data'!Q172)=5), IF(YEAR('Raw Data'!Q172)=2026,CONCATENATE(DAY('Raw Data'!Q172),".",IF(LEN(MONTH('Raw Data'!Q172))=2,MONTH('Raw Data'!Q172),CONCATENATE(MONTH('Raw Data'!Q172)))),CONCATENATE(MONTH('Raw Data'!Q172),".",RIGHT(YEAR('Raw Data'!Q172),2))),'Raw Data'!Q172))</f>
        <v>5.5</v>
      </c>
    </row>
    <row r="173" spans="1:17">
      <c r="A173" t="s">
        <v>249</v>
      </c>
      <c r="B173" t="s">
        <v>34</v>
      </c>
      <c r="C173" t="s">
        <v>35</v>
      </c>
      <c r="D173" t="s">
        <v>20</v>
      </c>
      <c r="E173" t="s">
        <v>30</v>
      </c>
      <c r="F173" t="s">
        <v>40</v>
      </c>
      <c r="G173">
        <f>VALUE(IF(AND(ISERR(FIND(".",'Raw Data'!G173)),LEN('Raw Data'!G173)=5), IF(YEAR('Raw Data'!G173)=2026,CONCATENATE(DAY('Raw Data'!G173),".",IF(LEN(MONTH('Raw Data'!G173))=2,MONTH('Raw Data'!G173),CONCATENATE("0",MONTH('Raw Data'!G173)))),CONCATENATE(MONTH('Raw Data'!G173),".",RIGHT(YEAR('Raw Data'!G173),2))),'Raw Data'!G173))</f>
        <v>80.05</v>
      </c>
      <c r="H173">
        <f>'Raw Data'!H173</f>
        <v>5</v>
      </c>
      <c r="I173" s="6">
        <f t="shared" si="6"/>
        <v>20.012499999999989</v>
      </c>
      <c r="J173" s="6">
        <f>'Raw Data'!J173</f>
        <v>420.26249999999999</v>
      </c>
      <c r="K173" s="1">
        <f>VALUE(IFERROR(VALUE('Raw Data'!K173),CONCATENATE(MID('Raw Data'!K173,3,2),".","0",LEFT('Raw Data'!K173,1),".", RIGHT('Raw Data'!K173,4))))</f>
        <v>43491</v>
      </c>
      <c r="L173" s="2">
        <f>'Raw Data'!L173</f>
        <v>0.53125</v>
      </c>
      <c r="M173" t="s">
        <v>33</v>
      </c>
      <c r="N173">
        <f>VALUE(IF(AND(ISERR(FIND(".",'Raw Data'!N173)),LEN('Raw Data'!N173)=5), IF(YEAR('Raw Data'!N173)=2026,CONCATENATE(DAY('Raw Data'!N173),".",IF(LEN(MONTH('Raw Data'!N173))=2,MONTH('Raw Data'!N173),CONCATENATE("0",MONTH('Raw Data'!N173)))),CONCATENATE(MONTH('Raw Data'!N173),".",RIGHT(YEAR('Raw Data'!N173),2))),'Raw Data'!N173))</f>
        <v>400.25</v>
      </c>
      <c r="O173" s="6">
        <f t="shared" si="7"/>
        <v>4.7619047619047592</v>
      </c>
      <c r="P173" s="6">
        <f t="shared" si="8"/>
        <v>20.012499999999989</v>
      </c>
      <c r="Q173">
        <f>VALUE(IF(AND(ISERR(FIND(".",'Raw Data'!Q173)),LEN('Raw Data'!Q173)=5), IF(YEAR('Raw Data'!Q173)=2026,CONCATENATE(DAY('Raw Data'!Q173),".",IF(LEN(MONTH('Raw Data'!Q173))=2,MONTH('Raw Data'!Q173),CONCATENATE(MONTH('Raw Data'!Q173)))),CONCATENATE(MONTH('Raw Data'!Q173),".",RIGHT(YEAR('Raw Data'!Q173),2))),'Raw Data'!Q173))</f>
        <v>9.4</v>
      </c>
    </row>
    <row r="174" spans="1:17">
      <c r="A174" t="s">
        <v>250</v>
      </c>
      <c r="B174" t="s">
        <v>25</v>
      </c>
      <c r="C174" t="s">
        <v>26</v>
      </c>
      <c r="D174" t="s">
        <v>27</v>
      </c>
      <c r="E174" t="s">
        <v>30</v>
      </c>
      <c r="F174" t="s">
        <v>28</v>
      </c>
      <c r="G174">
        <f>VALUE(IF(AND(ISERR(FIND(".",'Raw Data'!G174)),LEN('Raw Data'!G174)=5), IF(YEAR('Raw Data'!G174)=2026,CONCATENATE(DAY('Raw Data'!G174),".",IF(LEN(MONTH('Raw Data'!G174))=2,MONTH('Raw Data'!G174),CONCATENATE("0",MONTH('Raw Data'!G174)))),CONCATENATE(MONTH('Raw Data'!G174),".",RIGHT(YEAR('Raw Data'!G174),2))),'Raw Data'!G174))</f>
        <v>20.85</v>
      </c>
      <c r="H174">
        <f>'Raw Data'!H174</f>
        <v>8</v>
      </c>
      <c r="I174" s="6">
        <f t="shared" si="6"/>
        <v>8.339999999999975</v>
      </c>
      <c r="J174" s="6">
        <f>'Raw Data'!J174</f>
        <v>175.14</v>
      </c>
      <c r="K174" s="1">
        <f>VALUE(IFERROR(VALUE('Raw Data'!K174),CONCATENATE(MID('Raw Data'!K174,3,2),".","0",LEFT('Raw Data'!K174,1),".", RIGHT('Raw Data'!K174,4))))</f>
        <v>43527</v>
      </c>
      <c r="L174" s="2">
        <f>'Raw Data'!L174</f>
        <v>0.80347222222222225</v>
      </c>
      <c r="M174" t="s">
        <v>29</v>
      </c>
      <c r="N174">
        <f>VALUE(IF(AND(ISERR(FIND(".",'Raw Data'!N174)),LEN('Raw Data'!N174)=5), IF(YEAR('Raw Data'!N174)=2026,CONCATENATE(DAY('Raw Data'!N174),".",IF(LEN(MONTH('Raw Data'!N174))=2,MONTH('Raw Data'!N174),CONCATENATE("0",MONTH('Raw Data'!N174)))),CONCATENATE(MONTH('Raw Data'!N174),".",RIGHT(YEAR('Raw Data'!N174),2))),'Raw Data'!N174))</f>
        <v>166.8</v>
      </c>
      <c r="O174" s="6">
        <f t="shared" si="7"/>
        <v>4.7619047619047477</v>
      </c>
      <c r="P174" s="6">
        <f t="shared" si="8"/>
        <v>8.339999999999975</v>
      </c>
      <c r="Q174">
        <f>VALUE(IF(AND(ISERR(FIND(".",'Raw Data'!Q174)),LEN('Raw Data'!Q174)=5), IF(YEAR('Raw Data'!Q174)=2026,CONCATENATE(DAY('Raw Data'!Q174),".",IF(LEN(MONTH('Raw Data'!Q174))=2,MONTH('Raw Data'!Q174),CONCATENATE(MONTH('Raw Data'!Q174)))),CONCATENATE(MONTH('Raw Data'!Q174),".",RIGHT(YEAR('Raw Data'!Q174),2))),'Raw Data'!Q174))</f>
        <v>6.3</v>
      </c>
    </row>
    <row r="175" spans="1:17">
      <c r="A175" t="s">
        <v>251</v>
      </c>
      <c r="B175" t="s">
        <v>34</v>
      </c>
      <c r="C175" t="s">
        <v>35</v>
      </c>
      <c r="D175" t="s">
        <v>20</v>
      </c>
      <c r="E175" t="s">
        <v>30</v>
      </c>
      <c r="F175" t="s">
        <v>28</v>
      </c>
      <c r="G175">
        <f>VALUE(IF(AND(ISERR(FIND(".",'Raw Data'!G175)),LEN('Raw Data'!G175)=5), IF(YEAR('Raw Data'!G175)=2026,CONCATENATE(DAY('Raw Data'!G175),".",IF(LEN(MONTH('Raw Data'!G175))=2,MONTH('Raw Data'!G175),CONCATENATE("0",MONTH('Raw Data'!G175)))),CONCATENATE(MONTH('Raw Data'!G175),".",RIGHT(YEAR('Raw Data'!G175),2))),'Raw Data'!G175))</f>
        <v>52.89</v>
      </c>
      <c r="H175">
        <f>'Raw Data'!H175</f>
        <v>6</v>
      </c>
      <c r="I175" s="6">
        <f t="shared" si="6"/>
        <v>15.866999999999962</v>
      </c>
      <c r="J175" s="6">
        <f>'Raw Data'!J175</f>
        <v>333.20699999999999</v>
      </c>
      <c r="K175" s="1">
        <f>VALUE(IFERROR(VALUE('Raw Data'!K175),CONCATENATE(MID('Raw Data'!K175,3,2),".","0",LEFT('Raw Data'!K175,1),".", RIGHT('Raw Data'!K175,4))))</f>
        <v>43484</v>
      </c>
      <c r="L175" s="2">
        <f>'Raw Data'!L175</f>
        <v>0.7319444444444444</v>
      </c>
      <c r="M175" t="s">
        <v>33</v>
      </c>
      <c r="N175">
        <f>VALUE(IF(AND(ISERR(FIND(".",'Raw Data'!N175)),LEN('Raw Data'!N175)=5), IF(YEAR('Raw Data'!N175)=2026,CONCATENATE(DAY('Raw Data'!N175),".",IF(LEN(MONTH('Raw Data'!N175))=2,MONTH('Raw Data'!N175),CONCATENATE("0",MONTH('Raw Data'!N175)))),CONCATENATE(MONTH('Raw Data'!N175),".",RIGHT(YEAR('Raw Data'!N175),2))),'Raw Data'!N175))</f>
        <v>317.33999999999997</v>
      </c>
      <c r="O175" s="6">
        <f t="shared" si="7"/>
        <v>4.7619047619047681</v>
      </c>
      <c r="P175" s="6">
        <f t="shared" si="8"/>
        <v>15.867000000000019</v>
      </c>
      <c r="Q175">
        <f>VALUE(IF(AND(ISERR(FIND(".",'Raw Data'!Q175)),LEN('Raw Data'!Q175)=5), IF(YEAR('Raw Data'!Q175)=2026,CONCATENATE(DAY('Raw Data'!Q175),".",IF(LEN(MONTH('Raw Data'!Q175))=2,MONTH('Raw Data'!Q175),CONCATENATE(MONTH('Raw Data'!Q175)))),CONCATENATE(MONTH('Raw Data'!Q175),".",RIGHT(YEAR('Raw Data'!Q175),2))),'Raw Data'!Q175))</f>
        <v>9.8000000000000007</v>
      </c>
    </row>
    <row r="176" spans="1:17">
      <c r="A176" t="s">
        <v>252</v>
      </c>
      <c r="B176" t="s">
        <v>34</v>
      </c>
      <c r="C176" t="s">
        <v>35</v>
      </c>
      <c r="D176" t="s">
        <v>27</v>
      </c>
      <c r="E176" t="s">
        <v>30</v>
      </c>
      <c r="F176" t="s">
        <v>40</v>
      </c>
      <c r="G176">
        <f>VALUE(IF(AND(ISERR(FIND(".",'Raw Data'!G176)),LEN('Raw Data'!G176)=5), IF(YEAR('Raw Data'!G176)=2026,CONCATENATE(DAY('Raw Data'!G176),".",IF(LEN(MONTH('Raw Data'!G176))=2,MONTH('Raw Data'!G176),CONCATENATE("0",MONTH('Raw Data'!G176)))),CONCATENATE(MONTH('Raw Data'!G176),".",RIGHT(YEAR('Raw Data'!G176),2))),'Raw Data'!G176))</f>
        <v>19.79</v>
      </c>
      <c r="H176">
        <f>'Raw Data'!H176</f>
        <v>8</v>
      </c>
      <c r="I176" s="6">
        <f t="shared" si="6"/>
        <v>7.9159999999999968</v>
      </c>
      <c r="J176" s="6">
        <f>'Raw Data'!J176</f>
        <v>166.23599999999999</v>
      </c>
      <c r="K176" s="1">
        <f>VALUE(IFERROR(VALUE('Raw Data'!K176),CONCATENATE(MID('Raw Data'!K176,3,2),".","0",LEFT('Raw Data'!K176,1),".", RIGHT('Raw Data'!K176,4))))</f>
        <v>43483</v>
      </c>
      <c r="L176" s="2">
        <f>'Raw Data'!L176</f>
        <v>0.50277777777777777</v>
      </c>
      <c r="M176" t="s">
        <v>23</v>
      </c>
      <c r="N176">
        <f>VALUE(IF(AND(ISERR(FIND(".",'Raw Data'!N176)),LEN('Raw Data'!N176)=5), IF(YEAR('Raw Data'!N176)=2026,CONCATENATE(DAY('Raw Data'!N176),".",IF(LEN(MONTH('Raw Data'!N176))=2,MONTH('Raw Data'!N176),CONCATENATE("0",MONTH('Raw Data'!N176)))),CONCATENATE(MONTH('Raw Data'!N176),".",RIGHT(YEAR('Raw Data'!N176),2))),'Raw Data'!N176))</f>
        <v>158.32</v>
      </c>
      <c r="O176" s="6">
        <f t="shared" si="7"/>
        <v>4.7619047619047601</v>
      </c>
      <c r="P176" s="6">
        <f t="shared" si="8"/>
        <v>7.9159999999999968</v>
      </c>
      <c r="Q176">
        <f>VALUE(IF(AND(ISERR(FIND(".",'Raw Data'!Q176)),LEN('Raw Data'!Q176)=5), IF(YEAR('Raw Data'!Q176)=2026,CONCATENATE(DAY('Raw Data'!Q176),".",IF(LEN(MONTH('Raw Data'!Q176))=2,MONTH('Raw Data'!Q176),CONCATENATE(MONTH('Raw Data'!Q176)))),CONCATENATE(MONTH('Raw Data'!Q176),".",RIGHT(YEAR('Raw Data'!Q176),2))),'Raw Data'!Q176))</f>
        <v>8.6999999999999993</v>
      </c>
    </row>
    <row r="177" spans="1:17">
      <c r="A177" t="s">
        <v>253</v>
      </c>
      <c r="B177" t="s">
        <v>18</v>
      </c>
      <c r="C177" t="s">
        <v>19</v>
      </c>
      <c r="D177" t="s">
        <v>20</v>
      </c>
      <c r="E177" t="s">
        <v>30</v>
      </c>
      <c r="F177" t="s">
        <v>32</v>
      </c>
      <c r="G177">
        <f>VALUE(IF(AND(ISERR(FIND(".",'Raw Data'!G177)),LEN('Raw Data'!G177)=5), IF(YEAR('Raw Data'!G177)=2026,CONCATENATE(DAY('Raw Data'!G177),".",IF(LEN(MONTH('Raw Data'!G177))=2,MONTH('Raw Data'!G177),CONCATENATE("0",MONTH('Raw Data'!G177)))),CONCATENATE(MONTH('Raw Data'!G177),".",RIGHT(YEAR('Raw Data'!G177),2))),'Raw Data'!G177))</f>
        <v>33.840000000000003</v>
      </c>
      <c r="H177">
        <f>'Raw Data'!H177</f>
        <v>9</v>
      </c>
      <c r="I177" s="6">
        <f t="shared" si="6"/>
        <v>15.227999999999952</v>
      </c>
      <c r="J177" s="6">
        <f>'Raw Data'!J177</f>
        <v>319.78800000000001</v>
      </c>
      <c r="K177" s="1">
        <f>VALUE(IFERROR(VALUE('Raw Data'!K177),CONCATENATE(MID('Raw Data'!K177,3,2),".","0",LEFT('Raw Data'!K177,1),".", RIGHT('Raw Data'!K177,4))))</f>
        <v>43545</v>
      </c>
      <c r="L177" s="2">
        <f>'Raw Data'!L177</f>
        <v>0.68125000000000002</v>
      </c>
      <c r="M177" t="s">
        <v>23</v>
      </c>
      <c r="N177">
        <f>VALUE(IF(AND(ISERR(FIND(".",'Raw Data'!N177)),LEN('Raw Data'!N177)=5), IF(YEAR('Raw Data'!N177)=2026,CONCATENATE(DAY('Raw Data'!N177),".",IF(LEN(MONTH('Raw Data'!N177))=2,MONTH('Raw Data'!N177),CONCATENATE("0",MONTH('Raw Data'!N177)))),CONCATENATE(MONTH('Raw Data'!N177),".",RIGHT(YEAR('Raw Data'!N177),2))),'Raw Data'!N177))</f>
        <v>304.56</v>
      </c>
      <c r="O177" s="6">
        <f t="shared" si="7"/>
        <v>4.7619047619047645</v>
      </c>
      <c r="P177" s="6">
        <f t="shared" si="8"/>
        <v>15.228000000000009</v>
      </c>
      <c r="Q177">
        <f>VALUE(IF(AND(ISERR(FIND(".",'Raw Data'!Q177)),LEN('Raw Data'!Q177)=5), IF(YEAR('Raw Data'!Q177)=2026,CONCATENATE(DAY('Raw Data'!Q177),".",IF(LEN(MONTH('Raw Data'!Q177))=2,MONTH('Raw Data'!Q177),CONCATENATE(MONTH('Raw Data'!Q177)))),CONCATENATE(MONTH('Raw Data'!Q177),".",RIGHT(YEAR('Raw Data'!Q177),2))),'Raw Data'!Q177))</f>
        <v>8.8000000000000007</v>
      </c>
    </row>
    <row r="178" spans="1:17">
      <c r="A178" t="s">
        <v>255</v>
      </c>
      <c r="B178" t="s">
        <v>18</v>
      </c>
      <c r="C178" t="s">
        <v>19</v>
      </c>
      <c r="D178" t="s">
        <v>20</v>
      </c>
      <c r="E178" t="s">
        <v>30</v>
      </c>
      <c r="F178" t="s">
        <v>40</v>
      </c>
      <c r="G178">
        <f>VALUE(IF(AND(ISERR(FIND(".",'Raw Data'!G178)),LEN('Raw Data'!G178)=5), IF(YEAR('Raw Data'!G178)=2026,CONCATENATE(DAY('Raw Data'!G178),".",IF(LEN(MONTH('Raw Data'!G178))=2,MONTH('Raw Data'!G178),CONCATENATE("0",MONTH('Raw Data'!G178)))),CONCATENATE(MONTH('Raw Data'!G178),".",RIGHT(YEAR('Raw Data'!G178),2))),'Raw Data'!G178))</f>
        <v>22.17</v>
      </c>
      <c r="H178">
        <f>'Raw Data'!H178</f>
        <v>8</v>
      </c>
      <c r="I178" s="6">
        <f t="shared" si="6"/>
        <v>8.867999999999995</v>
      </c>
      <c r="J178" s="6">
        <f>'Raw Data'!J178</f>
        <v>186.22800000000001</v>
      </c>
      <c r="K178" s="1">
        <f>VALUE(IFERROR(VALUE('Raw Data'!K178),CONCATENATE(MID('Raw Data'!K178,3,2),".","0",LEFT('Raw Data'!K178,1),".", RIGHT('Raw Data'!K178,4))))</f>
        <v>43527</v>
      </c>
      <c r="L178" s="2">
        <f>'Raw Data'!L178</f>
        <v>0.7090277777777777</v>
      </c>
      <c r="M178" t="s">
        <v>33</v>
      </c>
      <c r="N178">
        <f>VALUE(IF(AND(ISERR(FIND(".",'Raw Data'!N178)),LEN('Raw Data'!N178)=5), IF(YEAR('Raw Data'!N178)=2026,CONCATENATE(DAY('Raw Data'!N178),".",IF(LEN(MONTH('Raw Data'!N178))=2,MONTH('Raw Data'!N178),CONCATENATE("0",MONTH('Raw Data'!N178)))),CONCATENATE(MONTH('Raw Data'!N178),".",RIGHT(YEAR('Raw Data'!N178),2))),'Raw Data'!N178))</f>
        <v>177.36</v>
      </c>
      <c r="O178" s="6">
        <f t="shared" si="7"/>
        <v>4.7619047619047592</v>
      </c>
      <c r="P178" s="6">
        <f t="shared" si="8"/>
        <v>8.867999999999995</v>
      </c>
      <c r="Q178">
        <f>VALUE(IF(AND(ISERR(FIND(".",'Raw Data'!Q178)),LEN('Raw Data'!Q178)=5), IF(YEAR('Raw Data'!Q178)=2026,CONCATENATE(DAY('Raw Data'!Q178),".",IF(LEN(MONTH('Raw Data'!Q178))=2,MONTH('Raw Data'!Q178),CONCATENATE(MONTH('Raw Data'!Q178)))),CONCATENATE(MONTH('Raw Data'!Q178),".",RIGHT(YEAR('Raw Data'!Q178),2))),'Raw Data'!Q178))</f>
        <v>9.6</v>
      </c>
    </row>
    <row r="179" spans="1:17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43</v>
      </c>
      <c r="G179">
        <f>VALUE(IF(AND(ISERR(FIND(".",'Raw Data'!G179)),LEN('Raw Data'!G179)=5), IF(YEAR('Raw Data'!G179)=2026,CONCATENATE(DAY('Raw Data'!G179),".",IF(LEN(MONTH('Raw Data'!G179))=2,MONTH('Raw Data'!G179),CONCATENATE("0",MONTH('Raw Data'!G179)))),CONCATENATE(MONTH('Raw Data'!G179),".",RIGHT(YEAR('Raw Data'!G179),2))),'Raw Data'!G179))</f>
        <v>22.51</v>
      </c>
      <c r="H179">
        <f>'Raw Data'!H179</f>
        <v>7</v>
      </c>
      <c r="I179" s="6">
        <f t="shared" si="6"/>
        <v>7.8784999999999741</v>
      </c>
      <c r="J179" s="6">
        <f>'Raw Data'!J179</f>
        <v>165.4485</v>
      </c>
      <c r="K179" s="1">
        <f>VALUE(IFERROR(VALUE('Raw Data'!K179),CONCATENATE(MID('Raw Data'!K179,3,2),".","0",LEFT('Raw Data'!K179,1),".", RIGHT('Raw Data'!K179,4))))</f>
        <v>43509</v>
      </c>
      <c r="L179" s="2">
        <f>'Raw Data'!L179</f>
        <v>0.4513888888888889</v>
      </c>
      <c r="M179" t="s">
        <v>33</v>
      </c>
      <c r="N179">
        <f>VALUE(IF(AND(ISERR(FIND(".",'Raw Data'!N179)),LEN('Raw Data'!N179)=5), IF(YEAR('Raw Data'!N179)=2026,CONCATENATE(DAY('Raw Data'!N179),".",IF(LEN(MONTH('Raw Data'!N179))=2,MONTH('Raw Data'!N179),CONCATENATE("0",MONTH('Raw Data'!N179)))),CONCATENATE(MONTH('Raw Data'!N179),".",RIGHT(YEAR('Raw Data'!N179),2))),'Raw Data'!N179))</f>
        <v>157.57</v>
      </c>
      <c r="O179" s="6">
        <f t="shared" si="7"/>
        <v>4.7619047619047636</v>
      </c>
      <c r="P179" s="6">
        <f t="shared" si="8"/>
        <v>7.8785000000000025</v>
      </c>
      <c r="Q179">
        <f>VALUE(IF(AND(ISERR(FIND(".",'Raw Data'!Q179)),LEN('Raw Data'!Q179)=5), IF(YEAR('Raw Data'!Q179)=2026,CONCATENATE(DAY('Raw Data'!Q179),".",IF(LEN(MONTH('Raw Data'!Q179))=2,MONTH('Raw Data'!Q179),CONCATENATE(MONTH('Raw Data'!Q179)))),CONCATENATE(MONTH('Raw Data'!Q179),".",RIGHT(YEAR('Raw Data'!Q179),2))),'Raw Data'!Q179))</f>
        <v>4.8</v>
      </c>
    </row>
    <row r="180" spans="1:17">
      <c r="A180" t="s">
        <v>258</v>
      </c>
      <c r="B180" t="s">
        <v>18</v>
      </c>
      <c r="C180" t="s">
        <v>19</v>
      </c>
      <c r="D180" t="s">
        <v>27</v>
      </c>
      <c r="E180" t="s">
        <v>30</v>
      </c>
      <c r="F180" t="s">
        <v>40</v>
      </c>
      <c r="G180">
        <f>VALUE(IF(AND(ISERR(FIND(".",'Raw Data'!G180)),LEN('Raw Data'!G180)=5), IF(YEAR('Raw Data'!G180)=2026,CONCATENATE(DAY('Raw Data'!G180),".",IF(LEN(MONTH('Raw Data'!G180))=2,MONTH('Raw Data'!G180),CONCATENATE("0",MONTH('Raw Data'!G180)))),CONCATENATE(MONTH('Raw Data'!G180),".",RIGHT(YEAR('Raw Data'!G180),2))),'Raw Data'!G180))</f>
        <v>73.88</v>
      </c>
      <c r="H180">
        <f>'Raw Data'!H180</f>
        <v>6</v>
      </c>
      <c r="I180" s="6">
        <f t="shared" si="6"/>
        <v>22.164000000000044</v>
      </c>
      <c r="J180" s="6">
        <f>'Raw Data'!J180</f>
        <v>465.44400000000002</v>
      </c>
      <c r="K180" s="1">
        <f>VALUE(IFERROR(VALUE('Raw Data'!K180),CONCATENATE(MID('Raw Data'!K180,3,2),".","0",LEFT('Raw Data'!K180,1),".", RIGHT('Raw Data'!K180,4))))</f>
        <v>43547</v>
      </c>
      <c r="L180" s="2">
        <f>'Raw Data'!L180</f>
        <v>0.8027777777777777</v>
      </c>
      <c r="M180" t="s">
        <v>23</v>
      </c>
      <c r="N180">
        <f>VALUE(IF(AND(ISERR(FIND(".",'Raw Data'!N180)),LEN('Raw Data'!N180)=5), IF(YEAR('Raw Data'!N180)=2026,CONCATENATE(DAY('Raw Data'!N180),".",IF(LEN(MONTH('Raw Data'!N180))=2,MONTH('Raw Data'!N180),CONCATENATE("0",MONTH('Raw Data'!N180)))),CONCATENATE(MONTH('Raw Data'!N180),".",RIGHT(YEAR('Raw Data'!N180),2))),'Raw Data'!N180))</f>
        <v>443.28</v>
      </c>
      <c r="O180" s="6">
        <f t="shared" si="7"/>
        <v>4.7619047619047716</v>
      </c>
      <c r="P180" s="6">
        <f t="shared" si="8"/>
        <v>22.164000000000044</v>
      </c>
      <c r="Q180">
        <f>VALUE(IF(AND(ISERR(FIND(".",'Raw Data'!Q180)),LEN('Raw Data'!Q180)=5), IF(YEAR('Raw Data'!Q180)=2026,CONCATENATE(DAY('Raw Data'!Q180),".",IF(LEN(MONTH('Raw Data'!Q180))=2,MONTH('Raw Data'!Q180),CONCATENATE(MONTH('Raw Data'!Q180)))),CONCATENATE(MONTH('Raw Data'!Q180),".",RIGHT(YEAR('Raw Data'!Q180),2))),'Raw Data'!Q180))</f>
        <v>4.4000000000000004</v>
      </c>
    </row>
    <row r="181" spans="1:17">
      <c r="A181" t="s">
        <v>259</v>
      </c>
      <c r="B181" t="s">
        <v>25</v>
      </c>
      <c r="C181" t="s">
        <v>26</v>
      </c>
      <c r="D181" t="s">
        <v>20</v>
      </c>
      <c r="E181" t="s">
        <v>30</v>
      </c>
      <c r="F181" t="s">
        <v>22</v>
      </c>
      <c r="G181">
        <f>VALUE(IF(AND(ISERR(FIND(".",'Raw Data'!G181)),LEN('Raw Data'!G181)=5), IF(YEAR('Raw Data'!G181)=2026,CONCATENATE(DAY('Raw Data'!G181),".",IF(LEN(MONTH('Raw Data'!G181))=2,MONTH('Raw Data'!G181),CONCATENATE("0",MONTH('Raw Data'!G181)))),CONCATENATE(MONTH('Raw Data'!G181),".",RIGHT(YEAR('Raw Data'!G181),2))),'Raw Data'!G181))</f>
        <v>86.8</v>
      </c>
      <c r="H181">
        <f>'Raw Data'!H181</f>
        <v>3</v>
      </c>
      <c r="I181" s="6">
        <f t="shared" si="6"/>
        <v>13.020000000000039</v>
      </c>
      <c r="J181" s="6">
        <f>'Raw Data'!J181</f>
        <v>273.42</v>
      </c>
      <c r="K181" s="1">
        <f>VALUE(IFERROR(VALUE('Raw Data'!K181),CONCATENATE(MID('Raw Data'!K181,3,2),".","0",LEFT('Raw Data'!K181,1),".", RIGHT('Raw Data'!K181,4))))</f>
        <v>43493</v>
      </c>
      <c r="L181" s="2">
        <f>'Raw Data'!L181</f>
        <v>0.69930555555555562</v>
      </c>
      <c r="M181" t="s">
        <v>23</v>
      </c>
      <c r="N181">
        <f>VALUE(IF(AND(ISERR(FIND(".",'Raw Data'!N181)),LEN('Raw Data'!N181)=5), IF(YEAR('Raw Data'!N181)=2026,CONCATENATE(DAY('Raw Data'!N181),".",IF(LEN(MONTH('Raw Data'!N181))=2,MONTH('Raw Data'!N181),CONCATENATE("0",MONTH('Raw Data'!N181)))),CONCATENATE(MONTH('Raw Data'!N181),".",RIGHT(YEAR('Raw Data'!N181),2))),'Raw Data'!N181))</f>
        <v>260.39999999999998</v>
      </c>
      <c r="O181" s="6">
        <f t="shared" si="7"/>
        <v>4.7619047619047752</v>
      </c>
      <c r="P181" s="6">
        <f t="shared" si="8"/>
        <v>13.020000000000039</v>
      </c>
      <c r="Q181">
        <f>VALUE(IF(AND(ISERR(FIND(".",'Raw Data'!Q181)),LEN('Raw Data'!Q181)=5), IF(YEAR('Raw Data'!Q181)=2026,CONCATENATE(DAY('Raw Data'!Q181),".",IF(LEN(MONTH('Raw Data'!Q181))=2,MONTH('Raw Data'!Q181),CONCATENATE(MONTH('Raw Data'!Q181)))),CONCATENATE(MONTH('Raw Data'!Q181),".",RIGHT(YEAR('Raw Data'!Q181),2))),'Raw Data'!Q181))</f>
        <v>9.9</v>
      </c>
    </row>
    <row r="182" spans="1:17">
      <c r="A182" t="s">
        <v>260</v>
      </c>
      <c r="B182" t="s">
        <v>25</v>
      </c>
      <c r="C182" t="s">
        <v>26</v>
      </c>
      <c r="D182" t="s">
        <v>27</v>
      </c>
      <c r="E182" t="s">
        <v>30</v>
      </c>
      <c r="F182" t="s">
        <v>43</v>
      </c>
      <c r="G182">
        <f>VALUE(IF(AND(ISERR(FIND(".",'Raw Data'!G182)),LEN('Raw Data'!G182)=5), IF(YEAR('Raw Data'!G182)=2026,CONCATENATE(DAY('Raw Data'!G182),".",IF(LEN(MONTH('Raw Data'!G182))=2,MONTH('Raw Data'!G182),CONCATENATE("0",MONTH('Raw Data'!G182)))),CONCATENATE(MONTH('Raw Data'!G182),".",RIGHT(YEAR('Raw Data'!G182),2))),'Raw Data'!G182))</f>
        <v>64.260000000000005</v>
      </c>
      <c r="H182">
        <f>'Raw Data'!H182</f>
        <v>7</v>
      </c>
      <c r="I182" s="6">
        <f t="shared" si="6"/>
        <v>22.490999999999929</v>
      </c>
      <c r="J182" s="6">
        <f>'Raw Data'!J182</f>
        <v>472.31099999999998</v>
      </c>
      <c r="K182" s="1">
        <f>VALUE(IFERROR(VALUE('Raw Data'!K182),CONCATENATE(MID('Raw Data'!K182,3,2),".","0",LEFT('Raw Data'!K182,1),".", RIGHT('Raw Data'!K182,4))))</f>
        <v>43710</v>
      </c>
      <c r="L182" s="2">
        <f>'Raw Data'!L182</f>
        <v>0.41666666666666669</v>
      </c>
      <c r="M182" t="s">
        <v>29</v>
      </c>
      <c r="N182">
        <f>VALUE(IF(AND(ISERR(FIND(".",'Raw Data'!N182)),LEN('Raw Data'!N182)=5), IF(YEAR('Raw Data'!N182)=2026,CONCATENATE(DAY('Raw Data'!N182),".",IF(LEN(MONTH('Raw Data'!N182))=2,MONTH('Raw Data'!N182),CONCATENATE("0",MONTH('Raw Data'!N182)))),CONCATENATE(MONTH('Raw Data'!N182),".",RIGHT(YEAR('Raw Data'!N182),2))),'Raw Data'!N182))</f>
        <v>449.82</v>
      </c>
      <c r="O182" s="6">
        <f t="shared" si="7"/>
        <v>4.7619047619047592</v>
      </c>
      <c r="P182" s="6">
        <f t="shared" si="8"/>
        <v>22.490999999999985</v>
      </c>
      <c r="Q182">
        <f>VALUE(IF(AND(ISERR(FIND(".",'Raw Data'!Q182)),LEN('Raw Data'!Q182)=5), IF(YEAR('Raw Data'!Q182)=2026,CONCATENATE(DAY('Raw Data'!Q182),".",IF(LEN(MONTH('Raw Data'!Q182))=2,MONTH('Raw Data'!Q182),CONCATENATE(MONTH('Raw Data'!Q182)))),CONCATENATE(MONTH('Raw Data'!Q182),".",RIGHT(YEAR('Raw Data'!Q182),2))),'Raw Data'!Q182))</f>
        <v>5.7</v>
      </c>
    </row>
    <row r="183" spans="1:17">
      <c r="A183" t="s">
        <v>261</v>
      </c>
      <c r="B183" t="s">
        <v>25</v>
      </c>
      <c r="C183" t="s">
        <v>26</v>
      </c>
      <c r="D183" t="s">
        <v>20</v>
      </c>
      <c r="E183" t="s">
        <v>30</v>
      </c>
      <c r="F183" t="s">
        <v>40</v>
      </c>
      <c r="G183">
        <f>VALUE(IF(AND(ISERR(FIND(".",'Raw Data'!G183)),LEN('Raw Data'!G183)=5), IF(YEAR('Raw Data'!G183)=2026,CONCATENATE(DAY('Raw Data'!G183),".",IF(LEN(MONTH('Raw Data'!G183))=2,MONTH('Raw Data'!G183),CONCATENATE("0",MONTH('Raw Data'!G183)))),CONCATENATE(MONTH('Raw Data'!G183),".",RIGHT(YEAR('Raw Data'!G183),2))),'Raw Data'!G183))</f>
        <v>38.47</v>
      </c>
      <c r="H183">
        <f>'Raw Data'!H183</f>
        <v>8</v>
      </c>
      <c r="I183" s="6">
        <f t="shared" si="6"/>
        <v>15.388000000000034</v>
      </c>
      <c r="J183" s="6">
        <f>'Raw Data'!J183</f>
        <v>323.14800000000002</v>
      </c>
      <c r="K183" s="1">
        <f>VALUE(IFERROR(VALUE('Raw Data'!K183),CONCATENATE(MID('Raw Data'!K183,3,2),".","0",LEFT('Raw Data'!K183,1),".", RIGHT('Raw Data'!K183,4))))</f>
        <v>43488</v>
      </c>
      <c r="L183" s="2">
        <f>'Raw Data'!L183</f>
        <v>0.49374999999999997</v>
      </c>
      <c r="M183" t="s">
        <v>29</v>
      </c>
      <c r="N183">
        <f>VALUE(IF(AND(ISERR(FIND(".",'Raw Data'!N183)),LEN('Raw Data'!N183)=5), IF(YEAR('Raw Data'!N183)=2026,CONCATENATE(DAY('Raw Data'!N183),".",IF(LEN(MONTH('Raw Data'!N183))=2,MONTH('Raw Data'!N183),CONCATENATE("0",MONTH('Raw Data'!N183)))),CONCATENATE(MONTH('Raw Data'!N183),".",RIGHT(YEAR('Raw Data'!N183),2))),'Raw Data'!N183))</f>
        <v>307.76</v>
      </c>
      <c r="O183" s="6">
        <f t="shared" si="7"/>
        <v>4.7619047619047716</v>
      </c>
      <c r="P183" s="6">
        <f t="shared" si="8"/>
        <v>15.388000000000034</v>
      </c>
      <c r="Q183">
        <f>VALUE(IF(AND(ISERR(FIND(".",'Raw Data'!Q183)),LEN('Raw Data'!Q183)=5), IF(YEAR('Raw Data'!Q183)=2026,CONCATENATE(DAY('Raw Data'!Q183),".",IF(LEN(MONTH('Raw Data'!Q183))=2,MONTH('Raw Data'!Q183),CONCATENATE(MONTH('Raw Data'!Q183)))),CONCATENATE(MONTH('Raw Data'!Q183),".",RIGHT(YEAR('Raw Data'!Q183),2))),'Raw Data'!Q183))</f>
        <v>7.7</v>
      </c>
    </row>
    <row r="184" spans="1:17">
      <c r="A184" t="s">
        <v>262</v>
      </c>
      <c r="B184" t="s">
        <v>18</v>
      </c>
      <c r="C184" t="s">
        <v>19</v>
      </c>
      <c r="D184" t="s">
        <v>20</v>
      </c>
      <c r="E184" t="s">
        <v>30</v>
      </c>
      <c r="F184" t="s">
        <v>38</v>
      </c>
      <c r="G184">
        <f>VALUE(IF(AND(ISERR(FIND(".",'Raw Data'!G184)),LEN('Raw Data'!G184)=5), IF(YEAR('Raw Data'!G184)=2026,CONCATENATE(DAY('Raw Data'!G184),".",IF(LEN(MONTH('Raw Data'!G184))=2,MONTH('Raw Data'!G184),CONCATENATE("0",MONTH('Raw Data'!G184)))),CONCATENATE(MONTH('Raw Data'!G184),".",RIGHT(YEAR('Raw Data'!G184),2))),'Raw Data'!G184))</f>
        <v>15.05</v>
      </c>
      <c r="H184">
        <f>'Raw Data'!H184</f>
        <v>10</v>
      </c>
      <c r="I184" s="6">
        <f t="shared" si="6"/>
        <v>12.25</v>
      </c>
      <c r="J184" s="6">
        <f>'Raw Data'!J184</f>
        <v>162.75</v>
      </c>
      <c r="K184" s="1">
        <f>VALUE(IFERROR(VALUE('Raw Data'!K184),CONCATENATE(MID('Raw Data'!K184,3,2),".","0",LEFT('Raw Data'!K184,1),".", RIGHT('Raw Data'!K184,4))))</f>
        <v>43547</v>
      </c>
      <c r="L184" s="2">
        <f>'Raw Data'!L184</f>
        <v>0.4548611111111111</v>
      </c>
      <c r="M184" t="s">
        <v>23</v>
      </c>
      <c r="N184">
        <f>VALUE(IF(AND(ISERR(FIND(".",'Raw Data'!N184)),LEN('Raw Data'!N184)=5), IF(YEAR('Raw Data'!N184)=2026,CONCATENATE(DAY('Raw Data'!N184),".",IF(LEN(MONTH('Raw Data'!N184))=2,MONTH('Raw Data'!N184),CONCATENATE("0",MONTH('Raw Data'!N184)))),CONCATENATE(MONTH('Raw Data'!N184),".",RIGHT(YEAR('Raw Data'!N184),2))),'Raw Data'!N184))</f>
        <v>155</v>
      </c>
      <c r="O184" s="6">
        <f t="shared" si="7"/>
        <v>4.7619047619047619</v>
      </c>
      <c r="P184" s="6">
        <f t="shared" si="8"/>
        <v>7.75</v>
      </c>
      <c r="Q184">
        <f>VALUE(IF(AND(ISERR(FIND(".",'Raw Data'!Q184)),LEN('Raw Data'!Q184)=5), IF(YEAR('Raw Data'!Q184)=2026,CONCATENATE(DAY('Raw Data'!Q184),".",IF(LEN(MONTH('Raw Data'!Q184))=2,MONTH('Raw Data'!Q184),CONCATENATE(MONTH('Raw Data'!Q184)))),CONCATENATE(MONTH('Raw Data'!Q184),".",RIGHT(YEAR('Raw Data'!Q184),2))),'Raw Data'!Q184))</f>
        <v>8</v>
      </c>
    </row>
    <row r="185" spans="1:17">
      <c r="A185" t="s">
        <v>263</v>
      </c>
      <c r="B185" t="s">
        <v>25</v>
      </c>
      <c r="C185" t="s">
        <v>26</v>
      </c>
      <c r="D185" t="s">
        <v>27</v>
      </c>
      <c r="E185" t="s">
        <v>30</v>
      </c>
      <c r="F185" t="s">
        <v>22</v>
      </c>
      <c r="G185">
        <f>VALUE(IF(AND(ISERR(FIND(".",'Raw Data'!G185)),LEN('Raw Data'!G185)=5), IF(YEAR('Raw Data'!G185)=2026,CONCATENATE(DAY('Raw Data'!G185),".",IF(LEN(MONTH('Raw Data'!G185))=2,MONTH('Raw Data'!G185),CONCATENATE("0",MONTH('Raw Data'!G185)))),CONCATENATE(MONTH('Raw Data'!G185),".",RIGHT(YEAR('Raw Data'!G185),2))),'Raw Data'!G185))</f>
        <v>34.31</v>
      </c>
      <c r="H185">
        <f>'Raw Data'!H185</f>
        <v>8</v>
      </c>
      <c r="I185" s="6">
        <f t="shared" si="6"/>
        <v>13.72399999999999</v>
      </c>
      <c r="J185" s="6">
        <f>'Raw Data'!J185</f>
        <v>288.20400000000001</v>
      </c>
      <c r="K185" s="1">
        <f>VALUE(IFERROR(VALUE('Raw Data'!K185),CONCATENATE(MID('Raw Data'!K185,3,2),".","0",LEFT('Raw Data'!K185,1),".", RIGHT('Raw Data'!K185,4))))</f>
        <v>43490</v>
      </c>
      <c r="L185" s="2">
        <f>'Raw Data'!L185</f>
        <v>0.625</v>
      </c>
      <c r="M185" t="s">
        <v>23</v>
      </c>
      <c r="N185">
        <f>VALUE(IF(AND(ISERR(FIND(".",'Raw Data'!N185)),LEN('Raw Data'!N185)=5), IF(YEAR('Raw Data'!N185)=2026,CONCATENATE(DAY('Raw Data'!N185),".",IF(LEN(MONTH('Raw Data'!N185))=2,MONTH('Raw Data'!N185),CONCATENATE("0",MONTH('Raw Data'!N185)))),CONCATENATE(MONTH('Raw Data'!N185),".",RIGHT(YEAR('Raw Data'!N185),2))),'Raw Data'!N185))</f>
        <v>274.48</v>
      </c>
      <c r="O185" s="6">
        <f t="shared" si="7"/>
        <v>4.7619047619047583</v>
      </c>
      <c r="P185" s="6">
        <f t="shared" si="8"/>
        <v>13.72399999999999</v>
      </c>
      <c r="Q185">
        <f>VALUE(IF(AND(ISERR(FIND(".",'Raw Data'!Q185)),LEN('Raw Data'!Q185)=5), IF(YEAR('Raw Data'!Q185)=2026,CONCATENATE(DAY('Raw Data'!Q185),".",IF(LEN(MONTH('Raw Data'!Q185))=2,MONTH('Raw Data'!Q185),CONCATENATE(MONTH('Raw Data'!Q185)))),CONCATENATE(MONTH('Raw Data'!Q185),".",RIGHT(YEAR('Raw Data'!Q185),2))),'Raw Data'!Q185))</f>
        <v>5.7</v>
      </c>
    </row>
    <row r="186" spans="1:17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38</v>
      </c>
      <c r="G186">
        <f>VALUE(IF(AND(ISERR(FIND(".",'Raw Data'!G186)),LEN('Raw Data'!G186)=5), IF(YEAR('Raw Data'!G186)=2026,CONCATENATE(DAY('Raw Data'!G186),".",IF(LEN(MONTH('Raw Data'!G186))=2,MONTH('Raw Data'!G186),CONCATENATE("0",MONTH('Raw Data'!G186)))),CONCATENATE(MONTH('Raw Data'!G186),".",RIGHT(YEAR('Raw Data'!G186),2))),'Raw Data'!G186))</f>
        <v>12.34</v>
      </c>
      <c r="H186">
        <f>'Raw Data'!H186</f>
        <v>7</v>
      </c>
      <c r="I186" s="6">
        <f t="shared" si="6"/>
        <v>4.3190000000000026</v>
      </c>
      <c r="J186" s="6">
        <f>'Raw Data'!J186</f>
        <v>90.698999999999998</v>
      </c>
      <c r="K186" s="1">
        <f>VALUE(IFERROR(VALUE('Raw Data'!K186),CONCATENATE(MID('Raw Data'!K186,3,2),".","0",LEFT('Raw Data'!K186,1),".", RIGHT('Raw Data'!K186,4))))</f>
        <v>43558</v>
      </c>
      <c r="L186" s="2">
        <f>'Raw Data'!L186</f>
        <v>0.47152777777777777</v>
      </c>
      <c r="M186" t="s">
        <v>33</v>
      </c>
      <c r="N186">
        <f>VALUE(IF(AND(ISERR(FIND(".",'Raw Data'!N186)),LEN('Raw Data'!N186)=5), IF(YEAR('Raw Data'!N186)=2026,CONCATENATE(DAY('Raw Data'!N186),".",IF(LEN(MONTH('Raw Data'!N186))=2,MONTH('Raw Data'!N186),CONCATENATE("0",MONTH('Raw Data'!N186)))),CONCATENATE(MONTH('Raw Data'!N186),".",RIGHT(YEAR('Raw Data'!N186),2))),'Raw Data'!N186))</f>
        <v>86.38</v>
      </c>
      <c r="O186" s="6">
        <f t="shared" si="7"/>
        <v>4.7619047619047654</v>
      </c>
      <c r="P186" s="6">
        <f t="shared" si="8"/>
        <v>4.3190000000000026</v>
      </c>
      <c r="Q186">
        <f>VALUE(IF(AND(ISERR(FIND(".",'Raw Data'!Q186)),LEN('Raw Data'!Q186)=5), IF(YEAR('Raw Data'!Q186)=2026,CONCATENATE(DAY('Raw Data'!Q186),".",IF(LEN(MONTH('Raw Data'!Q186))=2,MONTH('Raw Data'!Q186),CONCATENATE(MONTH('Raw Data'!Q186)))),CONCATENATE(MONTH('Raw Data'!Q186),".",RIGHT(YEAR('Raw Data'!Q186),2))),'Raw Data'!Q186))</f>
        <v>6.7</v>
      </c>
    </row>
    <row r="187" spans="1:17">
      <c r="A187" t="s">
        <v>265</v>
      </c>
      <c r="B187" t="s">
        <v>34</v>
      </c>
      <c r="C187" t="s">
        <v>35</v>
      </c>
      <c r="D187" t="s">
        <v>20</v>
      </c>
      <c r="E187" t="s">
        <v>30</v>
      </c>
      <c r="F187" t="s">
        <v>40</v>
      </c>
      <c r="G187">
        <f>VALUE(IF(AND(ISERR(FIND(".",'Raw Data'!G187)),LEN('Raw Data'!G187)=5), IF(YEAR('Raw Data'!G187)=2026,CONCATENATE(DAY('Raw Data'!G187),".",IF(LEN(MONTH('Raw Data'!G187))=2,MONTH('Raw Data'!G187),CONCATENATE("0",MONTH('Raw Data'!G187)))),CONCATENATE(MONTH('Raw Data'!G187),".",RIGHT(YEAR('Raw Data'!G187),2))),'Raw Data'!G187))</f>
        <v>18.079999999999998</v>
      </c>
      <c r="H187">
        <f>'Raw Data'!H187</f>
        <v>3</v>
      </c>
      <c r="I187" s="6">
        <f t="shared" si="6"/>
        <v>2.7120000000000033</v>
      </c>
      <c r="J187" s="6">
        <f>'Raw Data'!J187</f>
        <v>56.951999999999998</v>
      </c>
      <c r="K187" s="1">
        <f>VALUE(IFERROR(VALUE('Raw Data'!K187),CONCATENATE(MID('Raw Data'!K187,3,2),".","0",LEFT('Raw Data'!K187,1),".", RIGHT('Raw Data'!K187,4))))</f>
        <v>43588</v>
      </c>
      <c r="L187" s="2">
        <f>'Raw Data'!L187</f>
        <v>0.82361111111111107</v>
      </c>
      <c r="M187" t="s">
        <v>23</v>
      </c>
      <c r="N187">
        <f>VALUE(IF(AND(ISERR(FIND(".",'Raw Data'!N187)),LEN('Raw Data'!N187)=5), IF(YEAR('Raw Data'!N187)=2026,CONCATENATE(DAY('Raw Data'!N187),".",IF(LEN(MONTH('Raw Data'!N187))=2,MONTH('Raw Data'!N187),CONCATENATE("0",MONTH('Raw Data'!N187)))),CONCATENATE(MONTH('Raw Data'!N187),".",RIGHT(YEAR('Raw Data'!N187),2))),'Raw Data'!N187))</f>
        <v>54.24</v>
      </c>
      <c r="O187" s="6">
        <f t="shared" si="7"/>
        <v>4.7619047619047556</v>
      </c>
      <c r="P187" s="6">
        <f t="shared" si="8"/>
        <v>2.7119999999999962</v>
      </c>
      <c r="Q187">
        <f>VALUE(IF(AND(ISERR(FIND(".",'Raw Data'!Q187)),LEN('Raw Data'!Q187)=5), IF(YEAR('Raw Data'!Q187)=2026,CONCATENATE(DAY('Raw Data'!Q187),".",IF(LEN(MONTH('Raw Data'!Q187))=2,MONTH('Raw Data'!Q187),CONCATENATE(MONTH('Raw Data'!Q187)))),CONCATENATE(MONTH('Raw Data'!Q187),".",RIGHT(YEAR('Raw Data'!Q187),2))),'Raw Data'!Q187))</f>
        <v>8</v>
      </c>
    </row>
    <row r="188" spans="1:17">
      <c r="A188" t="s">
        <v>266</v>
      </c>
      <c r="B188" t="s">
        <v>34</v>
      </c>
      <c r="C188" t="s">
        <v>35</v>
      </c>
      <c r="D188" t="s">
        <v>20</v>
      </c>
      <c r="E188" t="s">
        <v>21</v>
      </c>
      <c r="F188" t="s">
        <v>32</v>
      </c>
      <c r="G188">
        <f>VALUE(IF(AND(ISERR(FIND(".",'Raw Data'!G188)),LEN('Raw Data'!G188)=5), IF(YEAR('Raw Data'!G188)=2026,CONCATENATE(DAY('Raw Data'!G188),".",IF(LEN(MONTH('Raw Data'!G188))=2,MONTH('Raw Data'!G188),CONCATENATE("0",MONTH('Raw Data'!G188)))),CONCATENATE(MONTH('Raw Data'!G188),".",RIGHT(YEAR('Raw Data'!G188),2))),'Raw Data'!G188))</f>
        <v>94.49</v>
      </c>
      <c r="H188">
        <f>'Raw Data'!H188</f>
        <v>8</v>
      </c>
      <c r="I188" s="6">
        <f t="shared" si="6"/>
        <v>37.796000000000049</v>
      </c>
      <c r="J188" s="6">
        <f>'Raw Data'!J188</f>
        <v>793.71600000000001</v>
      </c>
      <c r="K188" s="1">
        <f>VALUE(IFERROR(VALUE('Raw Data'!K188),CONCATENATE(MID('Raw Data'!K188,3,2),".","0",LEFT('Raw Data'!K188,1),".", RIGHT('Raw Data'!K188,4))))</f>
        <v>43527</v>
      </c>
      <c r="L188" s="2">
        <f>'Raw Data'!L188</f>
        <v>0.79166666666666663</v>
      </c>
      <c r="M188" t="s">
        <v>23</v>
      </c>
      <c r="N188">
        <f>VALUE(IF(AND(ISERR(FIND(".",'Raw Data'!N188)),LEN('Raw Data'!N188)=5), IF(YEAR('Raw Data'!N188)=2026,CONCATENATE(DAY('Raw Data'!N188),".",IF(LEN(MONTH('Raw Data'!N188))=2,MONTH('Raw Data'!N188),CONCATENATE("0",MONTH('Raw Data'!N188)))),CONCATENATE(MONTH('Raw Data'!N188),".",RIGHT(YEAR('Raw Data'!N188),2))),'Raw Data'!N188))</f>
        <v>755.92</v>
      </c>
      <c r="O188" s="6">
        <f t="shared" si="7"/>
        <v>4.7619047619047681</v>
      </c>
      <c r="P188" s="6">
        <f t="shared" si="8"/>
        <v>37.796000000000049</v>
      </c>
      <c r="Q188">
        <f>VALUE(IF(AND(ISERR(FIND(".",'Raw Data'!Q188)),LEN('Raw Data'!Q188)=5), IF(YEAR('Raw Data'!Q188)=2026,CONCATENATE(DAY('Raw Data'!Q188),".",IF(LEN(MONTH('Raw Data'!Q188))=2,MONTH('Raw Data'!Q188),CONCATENATE(MONTH('Raw Data'!Q188)))),CONCATENATE(MONTH('Raw Data'!Q188),".",RIGHT(YEAR('Raw Data'!Q188),2))),'Raw Data'!Q188))</f>
        <v>7.5</v>
      </c>
    </row>
    <row r="189" spans="1:17">
      <c r="A189" t="s">
        <v>267</v>
      </c>
      <c r="B189" t="s">
        <v>34</v>
      </c>
      <c r="C189" t="s">
        <v>35</v>
      </c>
      <c r="D189" t="s">
        <v>20</v>
      </c>
      <c r="E189" t="s">
        <v>30</v>
      </c>
      <c r="F189" t="s">
        <v>32</v>
      </c>
      <c r="G189">
        <f>VALUE(IF(AND(ISERR(FIND(".",'Raw Data'!G189)),LEN('Raw Data'!G189)=5), IF(YEAR('Raw Data'!G189)=2026,CONCATENATE(DAY('Raw Data'!G189),".",IF(LEN(MONTH('Raw Data'!G189))=2,MONTH('Raw Data'!G189),CONCATENATE("0",MONTH('Raw Data'!G189)))),CONCATENATE(MONTH('Raw Data'!G189),".",RIGHT(YEAR('Raw Data'!G189),2))),'Raw Data'!G189))</f>
        <v>46.47</v>
      </c>
      <c r="H189">
        <f>'Raw Data'!H189</f>
        <v>4</v>
      </c>
      <c r="I189" s="6">
        <f t="shared" si="6"/>
        <v>9.2940000000000111</v>
      </c>
      <c r="J189" s="6">
        <f>'Raw Data'!J189</f>
        <v>195.17400000000001</v>
      </c>
      <c r="K189" s="1">
        <f>VALUE(IFERROR(VALUE('Raw Data'!K189),CONCATENATE(MID('Raw Data'!K189,3,2),".","0",LEFT('Raw Data'!K189,1),".", RIGHT('Raw Data'!K189,4))))</f>
        <v>43679</v>
      </c>
      <c r="L189" s="2">
        <f>'Raw Data'!L189</f>
        <v>0.45347222222222222</v>
      </c>
      <c r="M189" t="s">
        <v>29</v>
      </c>
      <c r="N189">
        <f>VALUE(IF(AND(ISERR(FIND(".",'Raw Data'!N189)),LEN('Raw Data'!N189)=5), IF(YEAR('Raw Data'!N189)=2026,CONCATENATE(DAY('Raw Data'!N189),".",IF(LEN(MONTH('Raw Data'!N189))=2,MONTH('Raw Data'!N189),CONCATENATE("0",MONTH('Raw Data'!N189)))),CONCATENATE(MONTH('Raw Data'!N189),".",RIGHT(YEAR('Raw Data'!N189),2))),'Raw Data'!N189))</f>
        <v>185.88</v>
      </c>
      <c r="O189" s="6">
        <f t="shared" si="7"/>
        <v>4.7619047619047672</v>
      </c>
      <c r="P189" s="6">
        <f t="shared" si="8"/>
        <v>9.2940000000000111</v>
      </c>
      <c r="Q189">
        <f>VALUE(IF(AND(ISERR(FIND(".",'Raw Data'!Q189)),LEN('Raw Data'!Q189)=5), IF(YEAR('Raw Data'!Q189)=2026,CONCATENATE(DAY('Raw Data'!Q189),".",IF(LEN(MONTH('Raw Data'!Q189))=2,MONTH('Raw Data'!Q189),CONCATENATE(MONTH('Raw Data'!Q189)))),CONCATENATE(MONTH('Raw Data'!Q189),".",RIGHT(YEAR('Raw Data'!Q189),2))),'Raw Data'!Q189))</f>
        <v>7</v>
      </c>
    </row>
    <row r="190" spans="1:17">
      <c r="A190" t="s">
        <v>268</v>
      </c>
      <c r="B190" t="s">
        <v>18</v>
      </c>
      <c r="C190" t="s">
        <v>19</v>
      </c>
      <c r="D190" t="s">
        <v>27</v>
      </c>
      <c r="E190" t="s">
        <v>30</v>
      </c>
      <c r="F190" t="s">
        <v>32</v>
      </c>
      <c r="G190">
        <f>VALUE(IF(AND(ISERR(FIND(".",'Raw Data'!G190)),LEN('Raw Data'!G190)=5), IF(YEAR('Raw Data'!G190)=2026,CONCATENATE(DAY('Raw Data'!G190),".",IF(LEN(MONTH('Raw Data'!G190))=2,MONTH('Raw Data'!G190),CONCATENATE("0",MONTH('Raw Data'!G190)))),CONCATENATE(MONTH('Raw Data'!G190),".",RIGHT(YEAR('Raw Data'!G190),2))),'Raw Data'!G190))</f>
        <v>74.069999999999993</v>
      </c>
      <c r="H190">
        <f>'Raw Data'!H190</f>
        <v>1</v>
      </c>
      <c r="I190" s="6">
        <f t="shared" si="6"/>
        <v>3.7035000000000053</v>
      </c>
      <c r="J190" s="6">
        <f>'Raw Data'!J190</f>
        <v>77.773499999999999</v>
      </c>
      <c r="K190" s="1">
        <f>VALUE(IFERROR(VALUE('Raw Data'!K190),CONCATENATE(MID('Raw Data'!K190,3,2),".","0",LEFT('Raw Data'!K190,1),".", RIGHT('Raw Data'!K190,4))))</f>
        <v>43740</v>
      </c>
      <c r="L190" s="2">
        <f>'Raw Data'!L190</f>
        <v>0.53472222222222221</v>
      </c>
      <c r="M190" t="s">
        <v>23</v>
      </c>
      <c r="N190">
        <f>VALUE(IF(AND(ISERR(FIND(".",'Raw Data'!N190)),LEN('Raw Data'!N190)=5), IF(YEAR('Raw Data'!N190)=2026,CONCATENATE(DAY('Raw Data'!N190),".",IF(LEN(MONTH('Raw Data'!N190))=2,MONTH('Raw Data'!N190),CONCATENATE("0",MONTH('Raw Data'!N190)))),CONCATENATE(MONTH('Raw Data'!N190),".",RIGHT(YEAR('Raw Data'!N190),2))),'Raw Data'!N190))</f>
        <v>74.069999999999993</v>
      </c>
      <c r="O190" s="6">
        <f t="shared" si="7"/>
        <v>4.761904761904769</v>
      </c>
      <c r="P190" s="6">
        <f t="shared" si="8"/>
        <v>3.7035000000000053</v>
      </c>
      <c r="Q190">
        <f>VALUE(IF(AND(ISERR(FIND(".",'Raw Data'!Q190)),LEN('Raw Data'!Q190)=5), IF(YEAR('Raw Data'!Q190)=2026,CONCATENATE(DAY('Raw Data'!Q190),".",IF(LEN(MONTH('Raw Data'!Q190))=2,MONTH('Raw Data'!Q190),CONCATENATE(MONTH('Raw Data'!Q190)))),CONCATENATE(MONTH('Raw Data'!Q190),".",RIGHT(YEAR('Raw Data'!Q190),2))),'Raw Data'!Q190))</f>
        <v>9.9</v>
      </c>
    </row>
    <row r="191" spans="1:17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f>VALUE(IF(AND(ISERR(FIND(".",'Raw Data'!G191)),LEN('Raw Data'!G191)=5), IF(YEAR('Raw Data'!G191)=2026,CONCATENATE(DAY('Raw Data'!G191),".",IF(LEN(MONTH('Raw Data'!G191))=2,MONTH('Raw Data'!G191),CONCATENATE("0",MONTH('Raw Data'!G191)))),CONCATENATE(MONTH('Raw Data'!G191),".",RIGHT(YEAR('Raw Data'!G191),2))),'Raw Data'!G191))</f>
        <v>69.81</v>
      </c>
      <c r="H191">
        <f>'Raw Data'!H191</f>
        <v>4</v>
      </c>
      <c r="I191" s="6">
        <f t="shared" si="6"/>
        <v>13.961999999999989</v>
      </c>
      <c r="J191" s="6">
        <f>'Raw Data'!J191</f>
        <v>293.202</v>
      </c>
      <c r="K191" s="1">
        <f>VALUE(IFERROR(VALUE('Raw Data'!K191),CONCATENATE(MID('Raw Data'!K191,3,2),".","0",LEFT('Raw Data'!K191,1),".", RIGHT('Raw Data'!K191,4))))</f>
        <v>43493</v>
      </c>
      <c r="L191" s="2">
        <f>'Raw Data'!L191</f>
        <v>0.86805555555555547</v>
      </c>
      <c r="M191" t="s">
        <v>33</v>
      </c>
      <c r="N191">
        <f>VALUE(IF(AND(ISERR(FIND(".",'Raw Data'!N191)),LEN('Raw Data'!N191)=5), IF(YEAR('Raw Data'!N191)=2026,CONCATENATE(DAY('Raw Data'!N191),".",IF(LEN(MONTH('Raw Data'!N191))=2,MONTH('Raw Data'!N191),CONCATENATE("0",MONTH('Raw Data'!N191)))),CONCATENATE(MONTH('Raw Data'!N191),".",RIGHT(YEAR('Raw Data'!N191),2))),'Raw Data'!N191))</f>
        <v>279.24</v>
      </c>
      <c r="O191" s="6">
        <f t="shared" si="7"/>
        <v>4.7619047619047583</v>
      </c>
      <c r="P191" s="6">
        <f t="shared" si="8"/>
        <v>13.961999999999989</v>
      </c>
      <c r="Q191">
        <f>VALUE(IF(AND(ISERR(FIND(".",'Raw Data'!Q191)),LEN('Raw Data'!Q191)=5), IF(YEAR('Raw Data'!Q191)=2026,CONCATENATE(DAY('Raw Data'!Q191),".",IF(LEN(MONTH('Raw Data'!Q191))=2,MONTH('Raw Data'!Q191),CONCATENATE(MONTH('Raw Data'!Q191)))),CONCATENATE(MONTH('Raw Data'!Q191),".",RIGHT(YEAR('Raw Data'!Q191),2))),'Raw Data'!Q191))</f>
        <v>5.9</v>
      </c>
    </row>
    <row r="192" spans="1:17">
      <c r="A192" t="s">
        <v>270</v>
      </c>
      <c r="B192" t="s">
        <v>34</v>
      </c>
      <c r="C192" t="s">
        <v>35</v>
      </c>
      <c r="D192" t="s">
        <v>27</v>
      </c>
      <c r="E192" t="s">
        <v>21</v>
      </c>
      <c r="F192" t="s">
        <v>32</v>
      </c>
      <c r="G192">
        <f>VALUE(IF(AND(ISERR(FIND(".",'Raw Data'!G192)),LEN('Raw Data'!G192)=5), IF(YEAR('Raw Data'!G192)=2026,CONCATENATE(DAY('Raw Data'!G192),".",IF(LEN(MONTH('Raw Data'!G192))=2,MONTH('Raw Data'!G192),CONCATENATE("0",MONTH('Raw Data'!G192)))),CONCATENATE(MONTH('Raw Data'!G192),".",RIGHT(YEAR('Raw Data'!G192),2))),'Raw Data'!G192))</f>
        <v>77.040000000000006</v>
      </c>
      <c r="H192">
        <f>'Raw Data'!H192</f>
        <v>3</v>
      </c>
      <c r="I192" s="6">
        <f t="shared" si="6"/>
        <v>11.555999999999983</v>
      </c>
      <c r="J192" s="6">
        <f>'Raw Data'!J192</f>
        <v>242.67599999999999</v>
      </c>
      <c r="K192" s="1">
        <f>VALUE(IFERROR(VALUE('Raw Data'!K192),CONCATENATE(MID('Raw Data'!K192,3,2),".","0",LEFT('Raw Data'!K192,1),".", RIGHT('Raw Data'!K192,4))))</f>
        <v>43771</v>
      </c>
      <c r="L192" s="2">
        <f>'Raw Data'!L192</f>
        <v>0.44375000000000003</v>
      </c>
      <c r="M192" t="s">
        <v>33</v>
      </c>
      <c r="N192">
        <f>VALUE(IF(AND(ISERR(FIND(".",'Raw Data'!N192)),LEN('Raw Data'!N192)=5), IF(YEAR('Raw Data'!N192)=2026,CONCATENATE(DAY('Raw Data'!N192),".",IF(LEN(MONTH('Raw Data'!N192))=2,MONTH('Raw Data'!N192),CONCATENATE("0",MONTH('Raw Data'!N192)))),CONCATENATE(MONTH('Raw Data'!N192),".",RIGHT(YEAR('Raw Data'!N192),2))),'Raw Data'!N192))</f>
        <v>231.12</v>
      </c>
      <c r="O192" s="6">
        <f t="shared" si="7"/>
        <v>4.7619047619047556</v>
      </c>
      <c r="P192" s="6">
        <f t="shared" si="8"/>
        <v>11.555999999999983</v>
      </c>
      <c r="Q192">
        <f>VALUE(IF(AND(ISERR(FIND(".",'Raw Data'!Q192)),LEN('Raw Data'!Q192)=5), IF(YEAR('Raw Data'!Q192)=2026,CONCATENATE(DAY('Raw Data'!Q192),".",IF(LEN(MONTH('Raw Data'!Q192))=2,MONTH('Raw Data'!Q192),CONCATENATE(MONTH('Raw Data'!Q192)))),CONCATENATE(MONTH('Raw Data'!Q192),".",RIGHT(YEAR('Raw Data'!Q192),2))),'Raw Data'!Q192))</f>
        <v>7.2</v>
      </c>
    </row>
    <row r="193" spans="1:17">
      <c r="A193" t="s">
        <v>271</v>
      </c>
      <c r="B193" t="s">
        <v>34</v>
      </c>
      <c r="C193" t="s">
        <v>35</v>
      </c>
      <c r="D193" t="s">
        <v>27</v>
      </c>
      <c r="E193" t="s">
        <v>21</v>
      </c>
      <c r="F193" t="s">
        <v>43</v>
      </c>
      <c r="G193">
        <f>VALUE(IF(AND(ISERR(FIND(".",'Raw Data'!G193)),LEN('Raw Data'!G193)=5), IF(YEAR('Raw Data'!G193)=2026,CONCATENATE(DAY('Raw Data'!G193),".",IF(LEN(MONTH('Raw Data'!G193))=2,MONTH('Raw Data'!G193),CONCATENATE("0",MONTH('Raw Data'!G193)))),CONCATENATE(MONTH('Raw Data'!G193),".",RIGHT(YEAR('Raw Data'!G193),2))),'Raw Data'!G193))</f>
        <v>73.52</v>
      </c>
      <c r="H193">
        <f>'Raw Data'!H193</f>
        <v>2</v>
      </c>
      <c r="I193" s="6">
        <f t="shared" si="6"/>
        <v>7.3520000000000039</v>
      </c>
      <c r="J193" s="6">
        <f>'Raw Data'!J193</f>
        <v>154.392</v>
      </c>
      <c r="K193" s="1">
        <f>VALUE(IFERROR(VALUE('Raw Data'!K193),CONCATENATE(MID('Raw Data'!K193,3,2),".","0",LEFT('Raw Data'!K193,1),".", RIGHT('Raw Data'!K193,4))))</f>
        <v>43480</v>
      </c>
      <c r="L193" s="2">
        <f>'Raw Data'!L193</f>
        <v>0.57013888888888886</v>
      </c>
      <c r="M193" t="s">
        <v>23</v>
      </c>
      <c r="N193">
        <f>VALUE(IF(AND(ISERR(FIND(".",'Raw Data'!N193)),LEN('Raw Data'!N193)=5), IF(YEAR('Raw Data'!N193)=2026,CONCATENATE(DAY('Raw Data'!N193),".",IF(LEN(MONTH('Raw Data'!N193))=2,MONTH('Raw Data'!N193),CONCATENATE("0",MONTH('Raw Data'!N193)))),CONCATENATE(MONTH('Raw Data'!N193),".",RIGHT(YEAR('Raw Data'!N193),2))),'Raw Data'!N193))</f>
        <v>147.04</v>
      </c>
      <c r="O193" s="6">
        <f t="shared" si="7"/>
        <v>4.7619047619047645</v>
      </c>
      <c r="P193" s="6">
        <f t="shared" si="8"/>
        <v>7.3520000000000039</v>
      </c>
      <c r="Q193">
        <f>VALUE(IF(AND(ISERR(FIND(".",'Raw Data'!Q193)),LEN('Raw Data'!Q193)=5), IF(YEAR('Raw Data'!Q193)=2026,CONCATENATE(DAY('Raw Data'!Q193),".",IF(LEN(MONTH('Raw Data'!Q193))=2,MONTH('Raw Data'!Q193),CONCATENATE(MONTH('Raw Data'!Q193)))),CONCATENATE(MONTH('Raw Data'!Q193),".",RIGHT(YEAR('Raw Data'!Q193),2))),'Raw Data'!Q193))</f>
        <v>4.5999999999999996</v>
      </c>
    </row>
    <row r="194" spans="1:17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40</v>
      </c>
      <c r="G194">
        <f>VALUE(IF(AND(ISERR(FIND(".",'Raw Data'!G194)),LEN('Raw Data'!G194)=5), IF(YEAR('Raw Data'!G194)=2026,CONCATENATE(DAY('Raw Data'!G194),".",IF(LEN(MONTH('Raw Data'!G194))=2,MONTH('Raw Data'!G194),CONCATENATE("0",MONTH('Raw Data'!G194)))),CONCATENATE(MONTH('Raw Data'!G194),".",RIGHT(YEAR('Raw Data'!G194),2))),'Raw Data'!G194))</f>
        <v>87.8</v>
      </c>
      <c r="H194">
        <f>'Raw Data'!H194</f>
        <v>9</v>
      </c>
      <c r="I194" s="6">
        <f t="shared" si="6"/>
        <v>39.510000000000105</v>
      </c>
      <c r="J194" s="6">
        <f>'Raw Data'!J194</f>
        <v>829.71</v>
      </c>
      <c r="K194" s="1">
        <f>VALUE(IFERROR(VALUE('Raw Data'!K194),CONCATENATE(MID('Raw Data'!K194,3,2),".","0",LEFT('Raw Data'!K194,1),".", RIGHT('Raw Data'!K194,4))))</f>
        <v>43540</v>
      </c>
      <c r="L194" s="2">
        <f>'Raw Data'!L194</f>
        <v>0.79722222222222217</v>
      </c>
      <c r="M194" t="s">
        <v>29</v>
      </c>
      <c r="N194">
        <f>VALUE(IF(AND(ISERR(FIND(".",'Raw Data'!N194)),LEN('Raw Data'!N194)=5), IF(YEAR('Raw Data'!N194)=2026,CONCATENATE(DAY('Raw Data'!N194),".",IF(LEN(MONTH('Raw Data'!N194))=2,MONTH('Raw Data'!N194),CONCATENATE("0",MONTH('Raw Data'!N194)))),CONCATENATE(MONTH('Raw Data'!N194),".",RIGHT(YEAR('Raw Data'!N194),2))),'Raw Data'!N194))</f>
        <v>790.2</v>
      </c>
      <c r="O194" s="6">
        <f t="shared" si="7"/>
        <v>4.761904761904761</v>
      </c>
      <c r="P194" s="6">
        <f t="shared" si="8"/>
        <v>39.509999999999991</v>
      </c>
      <c r="Q194">
        <f>VALUE(IF(AND(ISERR(FIND(".",'Raw Data'!Q194)),LEN('Raw Data'!Q194)=5), IF(YEAR('Raw Data'!Q194)=2026,CONCATENATE(DAY('Raw Data'!Q194),".",IF(LEN(MONTH('Raw Data'!Q194))=2,MONTH('Raw Data'!Q194),CONCATENATE(MONTH('Raw Data'!Q194)))),CONCATENATE(MONTH('Raw Data'!Q194),".",RIGHT(YEAR('Raw Data'!Q194),2))),'Raw Data'!Q194))</f>
        <v>9.1999999999999993</v>
      </c>
    </row>
    <row r="195" spans="1:17">
      <c r="A195" t="s">
        <v>273</v>
      </c>
      <c r="B195" t="s">
        <v>34</v>
      </c>
      <c r="C195" t="s">
        <v>35</v>
      </c>
      <c r="D195" t="s">
        <v>27</v>
      </c>
      <c r="E195" t="s">
        <v>30</v>
      </c>
      <c r="F195" t="s">
        <v>32</v>
      </c>
      <c r="G195">
        <f>VALUE(IF(AND(ISERR(FIND(".",'Raw Data'!G195)),LEN('Raw Data'!G195)=5), IF(YEAR('Raw Data'!G195)=2026,CONCATENATE(DAY('Raw Data'!G195),".",IF(LEN(MONTH('Raw Data'!G195))=2,MONTH('Raw Data'!G195),CONCATENATE("0",MONTH('Raw Data'!G195)))),CONCATENATE(MONTH('Raw Data'!G195),".",RIGHT(YEAR('Raw Data'!G195),2))),'Raw Data'!G195))</f>
        <v>25.55</v>
      </c>
      <c r="H195">
        <f>'Raw Data'!H195</f>
        <v>4</v>
      </c>
      <c r="I195" s="6">
        <f t="shared" ref="I195:I258" si="9">J195-G195*H195</f>
        <v>5.1099999999999994</v>
      </c>
      <c r="J195" s="6">
        <f>'Raw Data'!J195</f>
        <v>107.31</v>
      </c>
      <c r="K195" s="1">
        <f>VALUE(IFERROR(VALUE('Raw Data'!K195),CONCATENATE(MID('Raw Data'!K195,3,2),".","0",LEFT('Raw Data'!K195,1),".", RIGHT('Raw Data'!K195,4))))</f>
        <v>43491</v>
      </c>
      <c r="L195" s="2">
        <f>'Raw Data'!L195</f>
        <v>0.84930555555555554</v>
      </c>
      <c r="M195" t="s">
        <v>23</v>
      </c>
      <c r="N195">
        <f>VALUE(IF(AND(ISERR(FIND(".",'Raw Data'!N195)),LEN('Raw Data'!N195)=5), IF(YEAR('Raw Data'!N195)=2026,CONCATENATE(DAY('Raw Data'!N195),".",IF(LEN(MONTH('Raw Data'!N195))=2,MONTH('Raw Data'!N195),CONCATENATE("0",MONTH('Raw Data'!N195)))),CONCATENATE(MONTH('Raw Data'!N195),".",RIGHT(YEAR('Raw Data'!N195),2))),'Raw Data'!N195))</f>
        <v>102.2</v>
      </c>
      <c r="O195" s="6">
        <f t="shared" ref="O195:O258" si="10">P195/J195*100</f>
        <v>4.761904761904761</v>
      </c>
      <c r="P195" s="6">
        <f t="shared" ref="P195:P258" si="11">J195-N195</f>
        <v>5.1099999999999994</v>
      </c>
      <c r="Q195">
        <f>VALUE(IF(AND(ISERR(FIND(".",'Raw Data'!Q195)),LEN('Raw Data'!Q195)=5), IF(YEAR('Raw Data'!Q195)=2026,CONCATENATE(DAY('Raw Data'!Q195),".",IF(LEN(MONTH('Raw Data'!Q195))=2,MONTH('Raw Data'!Q195),CONCATENATE(MONTH('Raw Data'!Q195)))),CONCATENATE(MONTH('Raw Data'!Q195),".",RIGHT(YEAR('Raw Data'!Q195),2))),'Raw Data'!Q195))</f>
        <v>5.7</v>
      </c>
    </row>
    <row r="196" spans="1:17">
      <c r="A196" t="s">
        <v>274</v>
      </c>
      <c r="B196" t="s">
        <v>18</v>
      </c>
      <c r="C196" t="s">
        <v>19</v>
      </c>
      <c r="D196" t="s">
        <v>27</v>
      </c>
      <c r="E196" t="s">
        <v>30</v>
      </c>
      <c r="F196" t="s">
        <v>28</v>
      </c>
      <c r="G196">
        <f>VALUE(IF(AND(ISERR(FIND(".",'Raw Data'!G196)),LEN('Raw Data'!G196)=5), IF(YEAR('Raw Data'!G196)=2026,CONCATENATE(DAY('Raw Data'!G196),".",IF(LEN(MONTH('Raw Data'!G196))=2,MONTH('Raw Data'!G196),CONCATENATE("0",MONTH('Raw Data'!G196)))),CONCATENATE(MONTH('Raw Data'!G196),".",RIGHT(YEAR('Raw Data'!G196),2))),'Raw Data'!G196))</f>
        <v>32.71</v>
      </c>
      <c r="H196">
        <f>'Raw Data'!H196</f>
        <v>5</v>
      </c>
      <c r="I196" s="6">
        <f t="shared" si="9"/>
        <v>8.1774999999999807</v>
      </c>
      <c r="J196" s="6">
        <f>'Raw Data'!J196</f>
        <v>171.72749999999999</v>
      </c>
      <c r="K196" s="1">
        <f>VALUE(IFERROR(VALUE('Raw Data'!K196),CONCATENATE(MID('Raw Data'!K196,3,2),".","0",LEFT('Raw Data'!K196,1),".", RIGHT('Raw Data'!K196,4))))</f>
        <v>43543</v>
      </c>
      <c r="L196" s="2">
        <f>'Raw Data'!L196</f>
        <v>0.47916666666666669</v>
      </c>
      <c r="M196" t="s">
        <v>33</v>
      </c>
      <c r="N196">
        <f>VALUE(IF(AND(ISERR(FIND(".",'Raw Data'!N196)),LEN('Raw Data'!N196)=5), IF(YEAR('Raw Data'!N196)=2026,CONCATENATE(DAY('Raw Data'!N196),".",IF(LEN(MONTH('Raw Data'!N196))=2,MONTH('Raw Data'!N196),CONCATENATE("0",MONTH('Raw Data'!N196)))),CONCATENATE(MONTH('Raw Data'!N196),".",RIGHT(YEAR('Raw Data'!N196),2))),'Raw Data'!N196))</f>
        <v>163.55000000000001</v>
      </c>
      <c r="O196" s="6">
        <f t="shared" si="10"/>
        <v>4.7619047619047503</v>
      </c>
      <c r="P196" s="6">
        <f t="shared" si="11"/>
        <v>8.1774999999999807</v>
      </c>
      <c r="Q196">
        <f>VALUE(IF(AND(ISERR(FIND(".",'Raw Data'!Q196)),LEN('Raw Data'!Q196)=5), IF(YEAR('Raw Data'!Q196)=2026,CONCATENATE(DAY('Raw Data'!Q196),".",IF(LEN(MONTH('Raw Data'!Q196))=2,MONTH('Raw Data'!Q196),CONCATENATE(MONTH('Raw Data'!Q196)))),CONCATENATE(MONTH('Raw Data'!Q196),".",RIGHT(YEAR('Raw Data'!Q196),2))),'Raw Data'!Q196))</f>
        <v>9.9</v>
      </c>
    </row>
    <row r="197" spans="1:17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43</v>
      </c>
      <c r="G197">
        <f>VALUE(IF(AND(ISERR(FIND(".",'Raw Data'!G197)),LEN('Raw Data'!G197)=5), IF(YEAR('Raw Data'!G197)=2026,CONCATENATE(DAY('Raw Data'!G197),".",IF(LEN(MONTH('Raw Data'!G197))=2,MONTH('Raw Data'!G197),CONCATENATE("0",MONTH('Raw Data'!G197)))),CONCATENATE(MONTH('Raw Data'!G197),".",RIGHT(YEAR('Raw Data'!G197),2))),'Raw Data'!G197))</f>
        <v>74.290000000000006</v>
      </c>
      <c r="H197">
        <f>'Raw Data'!H197</f>
        <v>1</v>
      </c>
      <c r="I197" s="6">
        <f t="shared" si="9"/>
        <v>3.7144999999999868</v>
      </c>
      <c r="J197" s="6">
        <f>'Raw Data'!J197</f>
        <v>78.004499999999993</v>
      </c>
      <c r="K197" s="1">
        <f>VALUE(IFERROR(VALUE('Raw Data'!K197),CONCATENATE(MID('Raw Data'!K197,3,2),".","0",LEFT('Raw Data'!K197,1),".", RIGHT('Raw Data'!K197,4))))</f>
        <v>43478</v>
      </c>
      <c r="L197" s="2">
        <f>'Raw Data'!L197</f>
        <v>0.8125</v>
      </c>
      <c r="M197" t="s">
        <v>29</v>
      </c>
      <c r="N197">
        <f>VALUE(IF(AND(ISERR(FIND(".",'Raw Data'!N197)),LEN('Raw Data'!N197)=5), IF(YEAR('Raw Data'!N197)=2026,CONCATENATE(DAY('Raw Data'!N197),".",IF(LEN(MONTH('Raw Data'!N197))=2,MONTH('Raw Data'!N197),CONCATENATE("0",MONTH('Raw Data'!N197)))),CONCATENATE(MONTH('Raw Data'!N197),".",RIGHT(YEAR('Raw Data'!N197),2))),'Raw Data'!N197))</f>
        <v>74.290000000000006</v>
      </c>
      <c r="O197" s="6">
        <f t="shared" si="10"/>
        <v>4.7619047619047459</v>
      </c>
      <c r="P197" s="6">
        <f t="shared" si="11"/>
        <v>3.7144999999999868</v>
      </c>
      <c r="Q197">
        <f>VALUE(IF(AND(ISERR(FIND(".",'Raw Data'!Q197)),LEN('Raw Data'!Q197)=5), IF(YEAR('Raw Data'!Q197)=2026,CONCATENATE(DAY('Raw Data'!Q197),".",IF(LEN(MONTH('Raw Data'!Q197))=2,MONTH('Raw Data'!Q197),CONCATENATE(MONTH('Raw Data'!Q197)))),CONCATENATE(MONTH('Raw Data'!Q197),".",RIGHT(YEAR('Raw Data'!Q197),2))),'Raw Data'!Q197))</f>
        <v>5</v>
      </c>
    </row>
    <row r="198" spans="1:17">
      <c r="A198" t="s">
        <v>276</v>
      </c>
      <c r="B198" t="s">
        <v>25</v>
      </c>
      <c r="C198" t="s">
        <v>26</v>
      </c>
      <c r="D198" t="s">
        <v>20</v>
      </c>
      <c r="E198" t="s">
        <v>30</v>
      </c>
      <c r="F198" t="s">
        <v>22</v>
      </c>
      <c r="G198">
        <f>VALUE(IF(AND(ISERR(FIND(".",'Raw Data'!G198)),LEN('Raw Data'!G198)=5), IF(YEAR('Raw Data'!G198)=2026,CONCATENATE(DAY('Raw Data'!G198),".",IF(LEN(MONTH('Raw Data'!G198))=2,MONTH('Raw Data'!G198),CONCATENATE("0",MONTH('Raw Data'!G198)))),CONCATENATE(MONTH('Raw Data'!G198),".",RIGHT(YEAR('Raw Data'!G198),2))),'Raw Data'!G198))</f>
        <v>43.7</v>
      </c>
      <c r="H198">
        <f>'Raw Data'!H198</f>
        <v>2</v>
      </c>
      <c r="I198" s="6">
        <f t="shared" si="9"/>
        <v>4.3699999999999903</v>
      </c>
      <c r="J198" s="6">
        <f>'Raw Data'!J198</f>
        <v>91.77</v>
      </c>
      <c r="K198" s="1">
        <f>VALUE(IFERROR(VALUE('Raw Data'!K198),CONCATENATE(MID('Raw Data'!K198,3,2),".","0",LEFT('Raw Data'!K198,1),".", RIGHT('Raw Data'!K198,4))))</f>
        <v>43550</v>
      </c>
      <c r="L198" s="2">
        <f>'Raw Data'!L198</f>
        <v>0.75208333333333333</v>
      </c>
      <c r="M198" t="s">
        <v>29</v>
      </c>
      <c r="N198">
        <f>VALUE(IF(AND(ISERR(FIND(".",'Raw Data'!N198)),LEN('Raw Data'!N198)=5), IF(YEAR('Raw Data'!N198)=2026,CONCATENATE(DAY('Raw Data'!N198),".",IF(LEN(MONTH('Raw Data'!N198))=2,MONTH('Raw Data'!N198),CONCATENATE("0",MONTH('Raw Data'!N198)))),CONCATENATE(MONTH('Raw Data'!N198),".",RIGHT(YEAR('Raw Data'!N198),2))),'Raw Data'!N198))</f>
        <v>87.4</v>
      </c>
      <c r="O198" s="6">
        <f t="shared" si="10"/>
        <v>4.7619047619047521</v>
      </c>
      <c r="P198" s="6">
        <f t="shared" si="11"/>
        <v>4.3699999999999903</v>
      </c>
      <c r="Q198">
        <f>VALUE(IF(AND(ISERR(FIND(".",'Raw Data'!Q198)),LEN('Raw Data'!Q198)=5), IF(YEAR('Raw Data'!Q198)=2026,CONCATENATE(DAY('Raw Data'!Q198),".",IF(LEN(MONTH('Raw Data'!Q198))=2,MONTH('Raw Data'!Q198),CONCATENATE(MONTH('Raw Data'!Q198)))),CONCATENATE(MONTH('Raw Data'!Q198),".",RIGHT(YEAR('Raw Data'!Q198),2))),'Raw Data'!Q198))</f>
        <v>4.9000000000000004</v>
      </c>
    </row>
    <row r="199" spans="1:17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f>VALUE(IF(AND(ISERR(FIND(".",'Raw Data'!G199)),LEN('Raw Data'!G199)=5), IF(YEAR('Raw Data'!G199)=2026,CONCATENATE(DAY('Raw Data'!G199),".",IF(LEN(MONTH('Raw Data'!G199))=2,MONTH('Raw Data'!G199),CONCATENATE("0",MONTH('Raw Data'!G199)))),CONCATENATE(MONTH('Raw Data'!G199),".",RIGHT(YEAR('Raw Data'!G199),2))),'Raw Data'!G199))</f>
        <v>25.29</v>
      </c>
      <c r="H199">
        <f>'Raw Data'!H199</f>
        <v>1</v>
      </c>
      <c r="I199" s="6">
        <f t="shared" si="9"/>
        <v>1.2645000000000017</v>
      </c>
      <c r="J199" s="6">
        <f>'Raw Data'!J199</f>
        <v>26.554500000000001</v>
      </c>
      <c r="K199" s="1">
        <f>VALUE(IFERROR(VALUE('Raw Data'!K199),CONCATENATE(MID('Raw Data'!K199,3,2),".","0",LEFT('Raw Data'!K199,1),".", RIGHT('Raw Data'!K199,4))))</f>
        <v>43547</v>
      </c>
      <c r="L199" s="2">
        <f>'Raw Data'!L199</f>
        <v>0.42569444444444443</v>
      </c>
      <c r="M199" t="s">
        <v>23</v>
      </c>
      <c r="N199">
        <f>VALUE(IF(AND(ISERR(FIND(".",'Raw Data'!N199)),LEN('Raw Data'!N199)=5), IF(YEAR('Raw Data'!N199)=2026,CONCATENATE(DAY('Raw Data'!N199),".",IF(LEN(MONTH('Raw Data'!N199))=2,MONTH('Raw Data'!N199),CONCATENATE("0",MONTH('Raw Data'!N199)))),CONCATENATE(MONTH('Raw Data'!N199),".",RIGHT(YEAR('Raw Data'!N199),2))),'Raw Data'!N199))</f>
        <v>25.29</v>
      </c>
      <c r="O199" s="6">
        <f t="shared" si="10"/>
        <v>4.761904761904769</v>
      </c>
      <c r="P199" s="6">
        <f t="shared" si="11"/>
        <v>1.2645000000000017</v>
      </c>
      <c r="Q199">
        <f>VALUE(IF(AND(ISERR(FIND(".",'Raw Data'!Q199)),LEN('Raw Data'!Q199)=5), IF(YEAR('Raw Data'!Q199)=2026,CONCATENATE(DAY('Raw Data'!Q199),".",IF(LEN(MONTH('Raw Data'!Q199))=2,MONTH('Raw Data'!Q199),CONCATENATE(MONTH('Raw Data'!Q199)))),CONCATENATE(MONTH('Raw Data'!Q199),".",RIGHT(YEAR('Raw Data'!Q199),2))),'Raw Data'!Q199))</f>
        <v>6.1</v>
      </c>
    </row>
    <row r="200" spans="1:17">
      <c r="A200" t="s">
        <v>278</v>
      </c>
      <c r="B200" t="s">
        <v>25</v>
      </c>
      <c r="C200" t="s">
        <v>26</v>
      </c>
      <c r="D200" t="s">
        <v>27</v>
      </c>
      <c r="E200" t="s">
        <v>30</v>
      </c>
      <c r="F200" t="s">
        <v>22</v>
      </c>
      <c r="G200">
        <f>VALUE(IF(AND(ISERR(FIND(".",'Raw Data'!G200)),LEN('Raw Data'!G200)=5), IF(YEAR('Raw Data'!G200)=2026,CONCATENATE(DAY('Raw Data'!G200),".",IF(LEN(MONTH('Raw Data'!G200))=2,MONTH('Raw Data'!G200),CONCATENATE("0",MONTH('Raw Data'!G200)))),CONCATENATE(MONTH('Raw Data'!G200),".",RIGHT(YEAR('Raw Data'!G200),2))),'Raw Data'!G200))</f>
        <v>41.5</v>
      </c>
      <c r="H200">
        <f>'Raw Data'!H200</f>
        <v>4</v>
      </c>
      <c r="I200" s="6">
        <f t="shared" si="9"/>
        <v>8.3000000000000114</v>
      </c>
      <c r="J200" s="6">
        <f>'Raw Data'!J200</f>
        <v>174.3</v>
      </c>
      <c r="K200" s="1">
        <f>VALUE(IFERROR(VALUE('Raw Data'!K200),CONCATENATE(MID('Raw Data'!K200,3,2),".","0",LEFT('Raw Data'!K200,1),".", RIGHT('Raw Data'!K200,4))))</f>
        <v>43802</v>
      </c>
      <c r="L200" s="2">
        <f>'Raw Data'!L200</f>
        <v>0.83194444444444438</v>
      </c>
      <c r="M200" t="s">
        <v>33</v>
      </c>
      <c r="N200">
        <f>VALUE(IF(AND(ISERR(FIND(".",'Raw Data'!N200)),LEN('Raw Data'!N200)=5), IF(YEAR('Raw Data'!N200)=2026,CONCATENATE(DAY('Raw Data'!N200),".",IF(LEN(MONTH('Raw Data'!N200))=2,MONTH('Raw Data'!N200),CONCATENATE("0",MONTH('Raw Data'!N200)))),CONCATENATE(MONTH('Raw Data'!N200),".",RIGHT(YEAR('Raw Data'!N200),2))),'Raw Data'!N200))</f>
        <v>166</v>
      </c>
      <c r="O200" s="6">
        <f t="shared" si="10"/>
        <v>4.7619047619047681</v>
      </c>
      <c r="P200" s="6">
        <f t="shared" si="11"/>
        <v>8.3000000000000114</v>
      </c>
      <c r="Q200">
        <f>VALUE(IF(AND(ISERR(FIND(".",'Raw Data'!Q200)),LEN('Raw Data'!Q200)=5), IF(YEAR('Raw Data'!Q200)=2026,CONCATENATE(DAY('Raw Data'!Q200),".",IF(LEN(MONTH('Raw Data'!Q200))=2,MONTH('Raw Data'!Q200),CONCATENATE(MONTH('Raw Data'!Q200)))),CONCATENATE(MONTH('Raw Data'!Q200),".",RIGHT(YEAR('Raw Data'!Q200),2))),'Raw Data'!Q200))</f>
        <v>8.1999999999999993</v>
      </c>
    </row>
    <row r="201" spans="1:17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40</v>
      </c>
      <c r="G201">
        <f>VALUE(IF(AND(ISERR(FIND(".",'Raw Data'!G201)),LEN('Raw Data'!G201)=5), IF(YEAR('Raw Data'!G201)=2026,CONCATENATE(DAY('Raw Data'!G201),".",IF(LEN(MONTH('Raw Data'!G201))=2,MONTH('Raw Data'!G201),CONCATENATE("0",MONTH('Raw Data'!G201)))),CONCATENATE(MONTH('Raw Data'!G201),".",RIGHT(YEAR('Raw Data'!G201),2))),'Raw Data'!G201))</f>
        <v>71.39</v>
      </c>
      <c r="H201">
        <f>'Raw Data'!H201</f>
        <v>5</v>
      </c>
      <c r="I201" s="6">
        <f t="shared" si="9"/>
        <v>17.847500000000025</v>
      </c>
      <c r="J201" s="6">
        <f>'Raw Data'!J201</f>
        <v>374.79750000000001</v>
      </c>
      <c r="K201" s="1">
        <f>VALUE(IFERROR(VALUE('Raw Data'!K201),CONCATENATE(MID('Raw Data'!K201,3,2),".","0",LEFT('Raw Data'!K201,1),".", RIGHT('Raw Data'!K201,4))))</f>
        <v>43513</v>
      </c>
      <c r="L201" s="2">
        <f>'Raw Data'!L201</f>
        <v>0.83124999999999993</v>
      </c>
      <c r="M201" t="s">
        <v>33</v>
      </c>
      <c r="N201">
        <f>VALUE(IF(AND(ISERR(FIND(".",'Raw Data'!N201)),LEN('Raw Data'!N201)=5), IF(YEAR('Raw Data'!N201)=2026,CONCATENATE(DAY('Raw Data'!N201),".",IF(LEN(MONTH('Raw Data'!N201))=2,MONTH('Raw Data'!N201),CONCATENATE("0",MONTH('Raw Data'!N201)))),CONCATENATE(MONTH('Raw Data'!N201),".",RIGHT(YEAR('Raw Data'!N201),2))),'Raw Data'!N201))</f>
        <v>356.95</v>
      </c>
      <c r="O201" s="6">
        <f t="shared" si="10"/>
        <v>4.761904761904769</v>
      </c>
      <c r="P201" s="6">
        <f t="shared" si="11"/>
        <v>17.847500000000025</v>
      </c>
      <c r="Q201">
        <f>VALUE(IF(AND(ISERR(FIND(".",'Raw Data'!Q201)),LEN('Raw Data'!Q201)=5), IF(YEAR('Raw Data'!Q201)=2026,CONCATENATE(DAY('Raw Data'!Q201),".",IF(LEN(MONTH('Raw Data'!Q201))=2,MONTH('Raw Data'!Q201),CONCATENATE(MONTH('Raw Data'!Q201)))),CONCATENATE(MONTH('Raw Data'!Q201),".",RIGHT(YEAR('Raw Data'!Q201),2))),'Raw Data'!Q201))</f>
        <v>5.5</v>
      </c>
    </row>
    <row r="202" spans="1:17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38</v>
      </c>
      <c r="G202">
        <f>VALUE(IF(AND(ISERR(FIND(".",'Raw Data'!G202)),LEN('Raw Data'!G202)=5), IF(YEAR('Raw Data'!G202)=2026,CONCATENATE(DAY('Raw Data'!G202),".",IF(LEN(MONTH('Raw Data'!G202))=2,MONTH('Raw Data'!G202),CONCATENATE("0",MONTH('Raw Data'!G202)))),CONCATENATE(MONTH('Raw Data'!G202),".",RIGHT(YEAR('Raw Data'!G202),2))),'Raw Data'!G202))</f>
        <v>19.149999999999999</v>
      </c>
      <c r="H202">
        <f>'Raw Data'!H202</f>
        <v>6</v>
      </c>
      <c r="I202" s="6">
        <f t="shared" si="9"/>
        <v>5.7450000000000045</v>
      </c>
      <c r="J202" s="6">
        <f>'Raw Data'!J202</f>
        <v>120.645</v>
      </c>
      <c r="K202" s="1">
        <f>VALUE(IFERROR(VALUE('Raw Data'!K202),CONCATENATE(MID('Raw Data'!K202,3,2),".","0",LEFT('Raw Data'!K202,1),".", RIGHT('Raw Data'!K202,4))))</f>
        <v>43494</v>
      </c>
      <c r="L202" s="2">
        <f>'Raw Data'!L202</f>
        <v>0.41736111111111113</v>
      </c>
      <c r="M202" t="s">
        <v>33</v>
      </c>
      <c r="N202">
        <f>VALUE(IF(AND(ISERR(FIND(".",'Raw Data'!N202)),LEN('Raw Data'!N202)=5), IF(YEAR('Raw Data'!N202)=2026,CONCATENATE(DAY('Raw Data'!N202),".",IF(LEN(MONTH('Raw Data'!N202))=2,MONTH('Raw Data'!N202),CONCATENATE("0",MONTH('Raw Data'!N202)))),CONCATENATE(MONTH('Raw Data'!N202),".",RIGHT(YEAR('Raw Data'!N202),2))),'Raw Data'!N202))</f>
        <v>114.9</v>
      </c>
      <c r="O202" s="6">
        <f t="shared" si="10"/>
        <v>4.7619047619047539</v>
      </c>
      <c r="P202" s="6">
        <f t="shared" si="11"/>
        <v>5.7449999999999903</v>
      </c>
      <c r="Q202">
        <f>VALUE(IF(AND(ISERR(FIND(".",'Raw Data'!Q202)),LEN('Raw Data'!Q202)=5), IF(YEAR('Raw Data'!Q202)=2026,CONCATENATE(DAY('Raw Data'!Q202),".",IF(LEN(MONTH('Raw Data'!Q202))=2,MONTH('Raw Data'!Q202),CONCATENATE(MONTH('Raw Data'!Q202)))),CONCATENATE(MONTH('Raw Data'!Q202),".",RIGHT(YEAR('Raw Data'!Q202),2))),'Raw Data'!Q202))</f>
        <v>6.8</v>
      </c>
    </row>
    <row r="203" spans="1:17">
      <c r="A203" t="s">
        <v>281</v>
      </c>
      <c r="B203" t="s">
        <v>34</v>
      </c>
      <c r="C203" t="s">
        <v>35</v>
      </c>
      <c r="D203" t="s">
        <v>20</v>
      </c>
      <c r="E203" t="s">
        <v>21</v>
      </c>
      <c r="F203" t="s">
        <v>28</v>
      </c>
      <c r="G203">
        <f>VALUE(IF(AND(ISERR(FIND(".",'Raw Data'!G203)),LEN('Raw Data'!G203)=5), IF(YEAR('Raw Data'!G203)=2026,CONCATENATE(DAY('Raw Data'!G203),".",IF(LEN(MONTH('Raw Data'!G203))=2,MONTH('Raw Data'!G203),CONCATENATE("0",MONTH('Raw Data'!G203)))),CONCATENATE(MONTH('Raw Data'!G203),".",RIGHT(YEAR('Raw Data'!G203),2))),'Raw Data'!G203))</f>
        <v>57.49</v>
      </c>
      <c r="H203">
        <f>'Raw Data'!H203</f>
        <v>4</v>
      </c>
      <c r="I203" s="6">
        <f t="shared" si="9"/>
        <v>11.49799999999999</v>
      </c>
      <c r="J203" s="6">
        <f>'Raw Data'!J203</f>
        <v>241.458</v>
      </c>
      <c r="K203" s="1">
        <f>VALUE(IFERROR(VALUE('Raw Data'!K203),CONCATENATE(MID('Raw Data'!K203,3,2),".","0",LEFT('Raw Data'!K203,1),".", RIGHT('Raw Data'!K203,4))))</f>
        <v>43539</v>
      </c>
      <c r="L203" s="2">
        <f>'Raw Data'!L203</f>
        <v>0.49791666666666662</v>
      </c>
      <c r="M203" t="s">
        <v>29</v>
      </c>
      <c r="N203">
        <f>VALUE(IF(AND(ISERR(FIND(".",'Raw Data'!N203)),LEN('Raw Data'!N203)=5), IF(YEAR('Raw Data'!N203)=2026,CONCATENATE(DAY('Raw Data'!N203),".",IF(LEN(MONTH('Raw Data'!N203))=2,MONTH('Raw Data'!N203),CONCATENATE("0",MONTH('Raw Data'!N203)))),CONCATENATE(MONTH('Raw Data'!N203),".",RIGHT(YEAR('Raw Data'!N203),2))),'Raw Data'!N203))</f>
        <v>229.96</v>
      </c>
      <c r="O203" s="6">
        <f t="shared" si="10"/>
        <v>4.7619047619047583</v>
      </c>
      <c r="P203" s="6">
        <f t="shared" si="11"/>
        <v>11.49799999999999</v>
      </c>
      <c r="Q203">
        <f>VALUE(IF(AND(ISERR(FIND(".",'Raw Data'!Q203)),LEN('Raw Data'!Q203)=5), IF(YEAR('Raw Data'!Q203)=2026,CONCATENATE(DAY('Raw Data'!Q203),".",IF(LEN(MONTH('Raw Data'!Q203))=2,MONTH('Raw Data'!Q203),CONCATENATE(MONTH('Raw Data'!Q203)))),CONCATENATE(MONTH('Raw Data'!Q203),".",RIGHT(YEAR('Raw Data'!Q203),2))),'Raw Data'!Q203))</f>
        <v>6.6</v>
      </c>
    </row>
    <row r="204" spans="1:17">
      <c r="A204" t="s">
        <v>282</v>
      </c>
      <c r="B204" t="s">
        <v>25</v>
      </c>
      <c r="C204" t="s">
        <v>26</v>
      </c>
      <c r="D204" t="s">
        <v>27</v>
      </c>
      <c r="E204" t="s">
        <v>30</v>
      </c>
      <c r="F204" t="s">
        <v>28</v>
      </c>
      <c r="G204">
        <f>VALUE(IF(AND(ISERR(FIND(".",'Raw Data'!G204)),LEN('Raw Data'!G204)=5), IF(YEAR('Raw Data'!G204)=2026,CONCATENATE(DAY('Raw Data'!G204),".",IF(LEN(MONTH('Raw Data'!G204))=2,MONTH('Raw Data'!G204),CONCATENATE("0",MONTH('Raw Data'!G204)))),CONCATENATE(MONTH('Raw Data'!G204),".",RIGHT(YEAR('Raw Data'!G204),2))),'Raw Data'!G204))</f>
        <v>61.41</v>
      </c>
      <c r="H204">
        <f>'Raw Data'!H204</f>
        <v>7</v>
      </c>
      <c r="I204" s="6">
        <f t="shared" si="9"/>
        <v>21.493499999999983</v>
      </c>
      <c r="J204" s="6">
        <f>'Raw Data'!J204</f>
        <v>451.36349999999999</v>
      </c>
      <c r="K204" s="1">
        <f>VALUE(IFERROR(VALUE('Raw Data'!K204),CONCATENATE(MID('Raw Data'!K204,3,2),".","0",LEFT('Raw Data'!K204,1),".", RIGHT('Raw Data'!K204,4))))</f>
        <v>43479</v>
      </c>
      <c r="L204" s="2">
        <f>'Raw Data'!L204</f>
        <v>0.41805555555555557</v>
      </c>
      <c r="M204" t="s">
        <v>29</v>
      </c>
      <c r="N204">
        <f>VALUE(IF(AND(ISERR(FIND(".",'Raw Data'!N204)),LEN('Raw Data'!N204)=5), IF(YEAR('Raw Data'!N204)=2026,CONCATENATE(DAY('Raw Data'!N204),".",IF(LEN(MONTH('Raw Data'!N204))=2,MONTH('Raw Data'!N204),CONCATENATE("0",MONTH('Raw Data'!N204)))),CONCATENATE(MONTH('Raw Data'!N204),".",RIGHT(YEAR('Raw Data'!N204),2))),'Raw Data'!N204))</f>
        <v>429.87</v>
      </c>
      <c r="O204" s="6">
        <f t="shared" si="10"/>
        <v>4.7619047619047583</v>
      </c>
      <c r="P204" s="6">
        <f t="shared" si="11"/>
        <v>21.493499999999983</v>
      </c>
      <c r="Q204">
        <f>VALUE(IF(AND(ISERR(FIND(".",'Raw Data'!Q204)),LEN('Raw Data'!Q204)=5), IF(YEAR('Raw Data'!Q204)=2026,CONCATENATE(DAY('Raw Data'!Q204),".",IF(LEN(MONTH('Raw Data'!Q204))=2,MONTH('Raw Data'!Q204),CONCATENATE(MONTH('Raw Data'!Q204)))),CONCATENATE(MONTH('Raw Data'!Q204),".",RIGHT(YEAR('Raw Data'!Q204),2))),'Raw Data'!Q204))</f>
        <v>9.8000000000000007</v>
      </c>
    </row>
    <row r="205" spans="1:17">
      <c r="A205" t="s">
        <v>284</v>
      </c>
      <c r="B205" t="s">
        <v>34</v>
      </c>
      <c r="C205" t="s">
        <v>35</v>
      </c>
      <c r="D205" t="s">
        <v>20</v>
      </c>
      <c r="E205" t="s">
        <v>30</v>
      </c>
      <c r="F205" t="s">
        <v>22</v>
      </c>
      <c r="G205">
        <f>VALUE(IF(AND(ISERR(FIND(".",'Raw Data'!G205)),LEN('Raw Data'!G205)=5), IF(YEAR('Raw Data'!G205)=2026,CONCATENATE(DAY('Raw Data'!G205),".",IF(LEN(MONTH('Raw Data'!G205))=2,MONTH('Raw Data'!G205),CONCATENATE("0",MONTH('Raw Data'!G205)))),CONCATENATE(MONTH('Raw Data'!G205),".",RIGHT(YEAR('Raw Data'!G205),2))),'Raw Data'!G205))</f>
        <v>25.09</v>
      </c>
      <c r="H205">
        <f>'Raw Data'!H205</f>
        <v>10</v>
      </c>
      <c r="I205" s="6">
        <f t="shared" si="9"/>
        <v>21.049999999999983</v>
      </c>
      <c r="J205" s="6">
        <f>'Raw Data'!J205</f>
        <v>271.95</v>
      </c>
      <c r="K205" s="1">
        <f>VALUE(IFERROR(VALUE('Raw Data'!K205),CONCATENATE(MID('Raw Data'!K205,3,2),".","0",LEFT('Raw Data'!K205,1),".", RIGHT('Raw Data'!K205,4))))</f>
        <v>43618</v>
      </c>
      <c r="L205" s="2">
        <f>'Raw Data'!L205</f>
        <v>0.61875000000000002</v>
      </c>
      <c r="M205" t="s">
        <v>23</v>
      </c>
      <c r="N205">
        <f>VALUE(IF(AND(ISERR(FIND(".",'Raw Data'!N205)),LEN('Raw Data'!N205)=5), IF(YEAR('Raw Data'!N205)=2026,CONCATENATE(DAY('Raw Data'!N205),".",IF(LEN(MONTH('Raw Data'!N205))=2,MONTH('Raw Data'!N205),CONCATENATE("0",MONTH('Raw Data'!N205)))),CONCATENATE(MONTH('Raw Data'!N205),".",RIGHT(YEAR('Raw Data'!N205),2))),'Raw Data'!N205))</f>
        <v>259</v>
      </c>
      <c r="O205" s="6">
        <f t="shared" si="10"/>
        <v>4.7619047619047583</v>
      </c>
      <c r="P205" s="6">
        <f t="shared" si="11"/>
        <v>12.949999999999989</v>
      </c>
      <c r="Q205">
        <f>VALUE(IF(AND(ISERR(FIND(".",'Raw Data'!Q205)),LEN('Raw Data'!Q205)=5), IF(YEAR('Raw Data'!Q205)=2026,CONCATENATE(DAY('Raw Data'!Q205),".",IF(LEN(MONTH('Raw Data'!Q205))=2,MONTH('Raw Data'!Q205),CONCATENATE(MONTH('Raw Data'!Q205)))),CONCATENATE(MONTH('Raw Data'!Q205),".",RIGHT(YEAR('Raw Data'!Q205),2))),'Raw Data'!Q205))</f>
        <v>8.6999999999999993</v>
      </c>
    </row>
    <row r="206" spans="1:17">
      <c r="A206" t="s">
        <v>285</v>
      </c>
      <c r="B206" t="s">
        <v>34</v>
      </c>
      <c r="C206" t="s">
        <v>35</v>
      </c>
      <c r="D206" t="s">
        <v>20</v>
      </c>
      <c r="E206" t="s">
        <v>30</v>
      </c>
      <c r="F206" t="s">
        <v>32</v>
      </c>
      <c r="G206">
        <f>VALUE(IF(AND(ISERR(FIND(".",'Raw Data'!G206)),LEN('Raw Data'!G206)=5), IF(YEAR('Raw Data'!G206)=2026,CONCATENATE(DAY('Raw Data'!G206),".",IF(LEN(MONTH('Raw Data'!G206))=2,MONTH('Raw Data'!G206),CONCATENATE("0",MONTH('Raw Data'!G206)))),CONCATENATE(MONTH('Raw Data'!G206),".",RIGHT(YEAR('Raw Data'!G206),2))),'Raw Data'!G206))</f>
        <v>17.77</v>
      </c>
      <c r="H206">
        <f>'Raw Data'!H206</f>
        <v>5</v>
      </c>
      <c r="I206" s="6">
        <f t="shared" si="9"/>
        <v>4.4425000000000097</v>
      </c>
      <c r="J206" s="6">
        <f>'Raw Data'!J206</f>
        <v>93.292500000000004</v>
      </c>
      <c r="K206" s="1">
        <f>VALUE(IFERROR(VALUE('Raw Data'!K206),CONCATENATE(MID('Raw Data'!K206,3,2),".","0",LEFT('Raw Data'!K206,1),".", RIGHT('Raw Data'!K206,4))))</f>
        <v>43511</v>
      </c>
      <c r="L206" s="2">
        <f>'Raw Data'!L206</f>
        <v>0.52916666666666667</v>
      </c>
      <c r="M206" t="s">
        <v>33</v>
      </c>
      <c r="N206">
        <f>VALUE(IF(AND(ISERR(FIND(".",'Raw Data'!N206)),LEN('Raw Data'!N206)=5), IF(YEAR('Raw Data'!N206)=2026,CONCATENATE(DAY('Raw Data'!N206),".",IF(LEN(MONTH('Raw Data'!N206))=2,MONTH('Raw Data'!N206),CONCATENATE("0",MONTH('Raw Data'!N206)))),CONCATENATE(MONTH('Raw Data'!N206),".",RIGHT(YEAR('Raw Data'!N206),2))),'Raw Data'!N206))</f>
        <v>88.85</v>
      </c>
      <c r="O206" s="6">
        <f t="shared" si="10"/>
        <v>4.7619047619047716</v>
      </c>
      <c r="P206" s="6">
        <f t="shared" si="11"/>
        <v>4.4425000000000097</v>
      </c>
      <c r="Q206">
        <f>VALUE(IF(AND(ISERR(FIND(".",'Raw Data'!Q206)),LEN('Raw Data'!Q206)=5), IF(YEAR('Raw Data'!Q206)=2026,CONCATENATE(DAY('Raw Data'!Q206),".",IF(LEN(MONTH('Raw Data'!Q206))=2,MONTH('Raw Data'!Q206),CONCATENATE(MONTH('Raw Data'!Q206)))),CONCATENATE(MONTH('Raw Data'!Q206),".",RIGHT(YEAR('Raw Data'!Q206),2))),'Raw Data'!Q206))</f>
        <v>5.4</v>
      </c>
    </row>
    <row r="207" spans="1:17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f>VALUE(IF(AND(ISERR(FIND(".",'Raw Data'!G207)),LEN('Raw Data'!G207)=5), IF(YEAR('Raw Data'!G207)=2026,CONCATENATE(DAY('Raw Data'!G207),".",IF(LEN(MONTH('Raw Data'!G207))=2,MONTH('Raw Data'!G207),CONCATENATE("0",MONTH('Raw Data'!G207)))),CONCATENATE(MONTH('Raw Data'!G207),".",RIGHT(YEAR('Raw Data'!G207),2))),'Raw Data'!G207))</f>
        <v>23.03</v>
      </c>
      <c r="H207">
        <f>'Raw Data'!H207</f>
        <v>9</v>
      </c>
      <c r="I207" s="6">
        <f t="shared" si="9"/>
        <v>10.363499999999988</v>
      </c>
      <c r="J207" s="6">
        <f>'Raw Data'!J207</f>
        <v>217.6335</v>
      </c>
      <c r="K207" s="1">
        <f>VALUE(IFERROR(VALUE('Raw Data'!K207),CONCATENATE(MID('Raw Data'!K207,3,2),".","0",LEFT('Raw Data'!K207,1),".", RIGHT('Raw Data'!K207,4))))</f>
        <v>43525</v>
      </c>
      <c r="L207" s="2">
        <f>'Raw Data'!L207</f>
        <v>0.50138888888888888</v>
      </c>
      <c r="M207" t="s">
        <v>23</v>
      </c>
      <c r="N207">
        <f>VALUE(IF(AND(ISERR(FIND(".",'Raw Data'!N207)),LEN('Raw Data'!N207)=5), IF(YEAR('Raw Data'!N207)=2026,CONCATENATE(DAY('Raw Data'!N207),".",IF(LEN(MONTH('Raw Data'!N207))=2,MONTH('Raw Data'!N207),CONCATENATE("0",MONTH('Raw Data'!N207)))),CONCATENATE(MONTH('Raw Data'!N207),".",RIGHT(YEAR('Raw Data'!N207),2))),'Raw Data'!N207))</f>
        <v>207.27</v>
      </c>
      <c r="O207" s="6">
        <f t="shared" si="10"/>
        <v>4.7619047619047556</v>
      </c>
      <c r="P207" s="6">
        <f t="shared" si="11"/>
        <v>10.363499999999988</v>
      </c>
      <c r="Q207">
        <f>VALUE(IF(AND(ISERR(FIND(".",'Raw Data'!Q207)),LEN('Raw Data'!Q207)=5), IF(YEAR('Raw Data'!Q207)=2026,CONCATENATE(DAY('Raw Data'!Q207),".",IF(LEN(MONTH('Raw Data'!Q207))=2,MONTH('Raw Data'!Q207),CONCATENATE(MONTH('Raw Data'!Q207)))),CONCATENATE(MONTH('Raw Data'!Q207),".",RIGHT(YEAR('Raw Data'!Q207),2))),'Raw Data'!Q207))</f>
        <v>7.9</v>
      </c>
    </row>
    <row r="208" spans="1:17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f>VALUE(IF(AND(ISERR(FIND(".",'Raw Data'!G208)),LEN('Raw Data'!G208)=5), IF(YEAR('Raw Data'!G208)=2026,CONCATENATE(DAY('Raw Data'!G208),".",IF(LEN(MONTH('Raw Data'!G208))=2,MONTH('Raw Data'!G208),CONCATENATE("0",MONTH('Raw Data'!G208)))),CONCATENATE(MONTH('Raw Data'!G208),".",RIGHT(YEAR('Raw Data'!G208),2))),'Raw Data'!G208))</f>
        <v>66.650000000000006</v>
      </c>
      <c r="H208">
        <f>'Raw Data'!H208</f>
        <v>9</v>
      </c>
      <c r="I208" s="6">
        <f t="shared" si="9"/>
        <v>29.99249999999995</v>
      </c>
      <c r="J208" s="6">
        <f>'Raw Data'!J208</f>
        <v>629.84249999999997</v>
      </c>
      <c r="K208" s="1">
        <f>VALUE(IFERROR(VALUE('Raw Data'!K208),CONCATENATE(MID('Raw Data'!K208,3,2),".","0",LEFT('Raw Data'!K208,1),".", RIGHT('Raw Data'!K208,4))))</f>
        <v>43556</v>
      </c>
      <c r="L208" s="2">
        <f>'Raw Data'!L208</f>
        <v>0.7631944444444444</v>
      </c>
      <c r="M208" t="s">
        <v>33</v>
      </c>
      <c r="N208">
        <f>VALUE(IF(AND(ISERR(FIND(".",'Raw Data'!N208)),LEN('Raw Data'!N208)=5), IF(YEAR('Raw Data'!N208)=2026,CONCATENATE(DAY('Raw Data'!N208),".",IF(LEN(MONTH('Raw Data'!N208))=2,MONTH('Raw Data'!N208),CONCATENATE("0",MONTH('Raw Data'!N208)))),CONCATENATE(MONTH('Raw Data'!N208),".",RIGHT(YEAR('Raw Data'!N208),2))),'Raw Data'!N208))</f>
        <v>599.85</v>
      </c>
      <c r="O208" s="6">
        <f t="shared" si="10"/>
        <v>4.7619047619047539</v>
      </c>
      <c r="P208" s="6">
        <f t="shared" si="11"/>
        <v>29.99249999999995</v>
      </c>
      <c r="Q208">
        <f>VALUE(IF(AND(ISERR(FIND(".",'Raw Data'!Q208)),LEN('Raw Data'!Q208)=5), IF(YEAR('Raw Data'!Q208)=2026,CONCATENATE(DAY('Raw Data'!Q208),".",IF(LEN(MONTH('Raw Data'!Q208))=2,MONTH('Raw Data'!Q208),CONCATENATE(MONTH('Raw Data'!Q208)))),CONCATENATE(MONTH('Raw Data'!Q208),".",RIGHT(YEAR('Raw Data'!Q208),2))),'Raw Data'!Q208))</f>
        <v>9.6999999999999993</v>
      </c>
    </row>
    <row r="209" spans="1:17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f>VALUE(IF(AND(ISERR(FIND(".",'Raw Data'!G209)),LEN('Raw Data'!G209)=5), IF(YEAR('Raw Data'!G209)=2026,CONCATENATE(DAY('Raw Data'!G209),".",IF(LEN(MONTH('Raw Data'!G209))=2,MONTH('Raw Data'!G209),CONCATENATE("0",MONTH('Raw Data'!G209)))),CONCATENATE(MONTH('Raw Data'!G209),".",RIGHT(YEAR('Raw Data'!G209),2))),'Raw Data'!G209))</f>
        <v>28.53</v>
      </c>
      <c r="H209">
        <f>'Raw Data'!H209</f>
        <v>10</v>
      </c>
      <c r="I209" s="6">
        <f t="shared" si="9"/>
        <v>14.264999999999986</v>
      </c>
      <c r="J209" s="6">
        <f>'Raw Data'!J209</f>
        <v>299.565</v>
      </c>
      <c r="K209" s="1">
        <f>VALUE(IFERROR(VALUE('Raw Data'!K209),CONCATENATE(MID('Raw Data'!K209,3,2),".","0",LEFT('Raw Data'!K209,1),".", RIGHT('Raw Data'!K209,4))))</f>
        <v>43542</v>
      </c>
      <c r="L209" s="2">
        <f>'Raw Data'!L209</f>
        <v>0.73472222222222217</v>
      </c>
      <c r="M209" t="s">
        <v>23</v>
      </c>
      <c r="N209">
        <f>VALUE(IF(AND(ISERR(FIND(".",'Raw Data'!N209)),LEN('Raw Data'!N209)=5), IF(YEAR('Raw Data'!N209)=2026,CONCATENATE(DAY('Raw Data'!N209),".",IF(LEN(MONTH('Raw Data'!N209))=2,MONTH('Raw Data'!N209),CONCATENATE("0",MONTH('Raw Data'!N209)))),CONCATENATE(MONTH('Raw Data'!N209),".",RIGHT(YEAR('Raw Data'!N209),2))),'Raw Data'!N209))</f>
        <v>285.3</v>
      </c>
      <c r="O209" s="6">
        <f t="shared" si="10"/>
        <v>4.7619047619047574</v>
      </c>
      <c r="P209" s="6">
        <f t="shared" si="11"/>
        <v>14.264999999999986</v>
      </c>
      <c r="Q209">
        <f>VALUE(IF(AND(ISERR(FIND(".",'Raw Data'!Q209)),LEN('Raw Data'!Q209)=5), IF(YEAR('Raw Data'!Q209)=2026,CONCATENATE(DAY('Raw Data'!Q209),".",IF(LEN(MONTH('Raw Data'!Q209))=2,MONTH('Raw Data'!Q209),CONCATENATE(MONTH('Raw Data'!Q209)))),CONCATENATE(MONTH('Raw Data'!Q209),".",RIGHT(YEAR('Raw Data'!Q209),2))),'Raw Data'!Q209))</f>
        <v>7.8</v>
      </c>
    </row>
    <row r="210" spans="1:17">
      <c r="A210" t="s">
        <v>290</v>
      </c>
      <c r="B210" t="s">
        <v>34</v>
      </c>
      <c r="C210" t="s">
        <v>35</v>
      </c>
      <c r="D210" t="s">
        <v>27</v>
      </c>
      <c r="E210" t="s">
        <v>21</v>
      </c>
      <c r="F210" t="s">
        <v>43</v>
      </c>
      <c r="G210">
        <f>VALUE(IF(AND(ISERR(FIND(".",'Raw Data'!G210)),LEN('Raw Data'!G210)=5), IF(YEAR('Raw Data'!G210)=2026,CONCATENATE(DAY('Raw Data'!G210),".",IF(LEN(MONTH('Raw Data'!G210))=2,MONTH('Raw Data'!G210),CONCATENATE("0",MONTH('Raw Data'!G210)))),CONCATENATE(MONTH('Raw Data'!G210),".",RIGHT(YEAR('Raw Data'!G210),2))),'Raw Data'!G210))</f>
        <v>30.37</v>
      </c>
      <c r="H210">
        <f>'Raw Data'!H210</f>
        <v>3</v>
      </c>
      <c r="I210" s="6">
        <f t="shared" si="9"/>
        <v>4.555499999999995</v>
      </c>
      <c r="J210" s="6">
        <f>'Raw Data'!J210</f>
        <v>95.665499999999994</v>
      </c>
      <c r="K210" s="1">
        <f>VALUE(IFERROR(VALUE('Raw Data'!K210),CONCATENATE(MID('Raw Data'!K210,3,2),".","0",LEFT('Raw Data'!K210,1),".", RIGHT('Raw Data'!K210,4))))</f>
        <v>43552</v>
      </c>
      <c r="L210" s="2">
        <f>'Raw Data'!L210</f>
        <v>0.57013888888888886</v>
      </c>
      <c r="M210" t="s">
        <v>23</v>
      </c>
      <c r="N210">
        <f>VALUE(IF(AND(ISERR(FIND(".",'Raw Data'!N210)),LEN('Raw Data'!N210)=5), IF(YEAR('Raw Data'!N210)=2026,CONCATENATE(DAY('Raw Data'!N210),".",IF(LEN(MONTH('Raw Data'!N210))=2,MONTH('Raw Data'!N210),CONCATENATE("0",MONTH('Raw Data'!N210)))),CONCATENATE(MONTH('Raw Data'!N210),".",RIGHT(YEAR('Raw Data'!N210),2))),'Raw Data'!N210))</f>
        <v>91.11</v>
      </c>
      <c r="O210" s="6">
        <f t="shared" si="10"/>
        <v>4.7619047619047565</v>
      </c>
      <c r="P210" s="6">
        <f t="shared" si="11"/>
        <v>4.555499999999995</v>
      </c>
      <c r="Q210">
        <f>VALUE(IF(AND(ISERR(FIND(".",'Raw Data'!Q210)),LEN('Raw Data'!Q210)=5), IF(YEAR('Raw Data'!Q210)=2026,CONCATENATE(DAY('Raw Data'!Q210),".",IF(LEN(MONTH('Raw Data'!Q210))=2,MONTH('Raw Data'!Q210),CONCATENATE(MONTH('Raw Data'!Q210)))),CONCATENATE(MONTH('Raw Data'!Q210),".",RIGHT(YEAR('Raw Data'!Q210),2))),'Raw Data'!Q210))</f>
        <v>5.0999999999999996</v>
      </c>
    </row>
    <row r="211" spans="1:17">
      <c r="A211" t="s">
        <v>291</v>
      </c>
      <c r="B211" t="s">
        <v>34</v>
      </c>
      <c r="C211" t="s">
        <v>35</v>
      </c>
      <c r="D211" t="s">
        <v>27</v>
      </c>
      <c r="E211" t="s">
        <v>21</v>
      </c>
      <c r="F211" t="s">
        <v>28</v>
      </c>
      <c r="G211">
        <f>VALUE(IF(AND(ISERR(FIND(".",'Raw Data'!G211)),LEN('Raw Data'!G211)=5), IF(YEAR('Raw Data'!G211)=2026,CONCATENATE(DAY('Raw Data'!G211),".",IF(LEN(MONTH('Raw Data'!G211))=2,MONTH('Raw Data'!G211),CONCATENATE("0",MONTH('Raw Data'!G211)))),CONCATENATE(MONTH('Raw Data'!G211),".",RIGHT(YEAR('Raw Data'!G211),2))),'Raw Data'!G211))</f>
        <v>99.73</v>
      </c>
      <c r="H211">
        <f>'Raw Data'!H211</f>
        <v>9</v>
      </c>
      <c r="I211" s="6">
        <f t="shared" si="9"/>
        <v>44.878499999999917</v>
      </c>
      <c r="J211" s="6">
        <f>'Raw Data'!J211</f>
        <v>942.44849999999997</v>
      </c>
      <c r="K211" s="1">
        <f>VALUE(IFERROR(VALUE('Raw Data'!K211),CONCATENATE(MID('Raw Data'!K211,3,2),".","0",LEFT('Raw Data'!K211,1),".", RIGHT('Raw Data'!K211,4))))</f>
        <v>43499</v>
      </c>
      <c r="L211" s="2">
        <f>'Raw Data'!L211</f>
        <v>0.8208333333333333</v>
      </c>
      <c r="M211" t="s">
        <v>33</v>
      </c>
      <c r="N211">
        <f>VALUE(IF(AND(ISERR(FIND(".",'Raw Data'!N211)),LEN('Raw Data'!N211)=5), IF(YEAR('Raw Data'!N211)=2026,CONCATENATE(DAY('Raw Data'!N211),".",IF(LEN(MONTH('Raw Data'!N211))=2,MONTH('Raw Data'!N211),CONCATENATE("0",MONTH('Raw Data'!N211)))),CONCATENATE(MONTH('Raw Data'!N211),".",RIGHT(YEAR('Raw Data'!N211),2))),'Raw Data'!N211))</f>
        <v>897.57</v>
      </c>
      <c r="O211" s="6">
        <f t="shared" si="10"/>
        <v>4.761904761904753</v>
      </c>
      <c r="P211" s="6">
        <f t="shared" si="11"/>
        <v>44.878499999999917</v>
      </c>
      <c r="Q211">
        <f>VALUE(IF(AND(ISERR(FIND(".",'Raw Data'!Q211)),LEN('Raw Data'!Q211)=5), IF(YEAR('Raw Data'!Q211)=2026,CONCATENATE(DAY('Raw Data'!Q211),".",IF(LEN(MONTH('Raw Data'!Q211))=2,MONTH('Raw Data'!Q211),CONCATENATE(MONTH('Raw Data'!Q211)))),CONCATENATE(MONTH('Raw Data'!Q211),".",RIGHT(YEAR('Raw Data'!Q211),2))),'Raw Data'!Q211))</f>
        <v>6.5</v>
      </c>
    </row>
    <row r="212" spans="1:17">
      <c r="A212" t="s">
        <v>292</v>
      </c>
      <c r="B212" t="s">
        <v>18</v>
      </c>
      <c r="C212" t="s">
        <v>19</v>
      </c>
      <c r="D212" t="s">
        <v>27</v>
      </c>
      <c r="E212" t="s">
        <v>30</v>
      </c>
      <c r="F212" t="s">
        <v>28</v>
      </c>
      <c r="G212">
        <f>VALUE(IF(AND(ISERR(FIND(".",'Raw Data'!G212)),LEN('Raw Data'!G212)=5), IF(YEAR('Raw Data'!G212)=2026,CONCATENATE(DAY('Raw Data'!G212),".",IF(LEN(MONTH('Raw Data'!G212))=2,MONTH('Raw Data'!G212),CONCATENATE("0",MONTH('Raw Data'!G212)))),CONCATENATE(MONTH('Raw Data'!G212),".",RIGHT(YEAR('Raw Data'!G212),2))),'Raw Data'!G212))</f>
        <v>26.23</v>
      </c>
      <c r="H212">
        <f>'Raw Data'!H212</f>
        <v>9</v>
      </c>
      <c r="I212" s="6">
        <f t="shared" si="9"/>
        <v>11.803500000000014</v>
      </c>
      <c r="J212" s="6">
        <f>'Raw Data'!J212</f>
        <v>247.87350000000001</v>
      </c>
      <c r="K212" s="1">
        <f>VALUE(IFERROR(VALUE('Raw Data'!K212),CONCATENATE(MID('Raw Data'!K212,3,2),".","0",LEFT('Raw Data'!K212,1),".", RIGHT('Raw Data'!K212,4))))</f>
        <v>43490</v>
      </c>
      <c r="L212" s="2">
        <f>'Raw Data'!L212</f>
        <v>0.85</v>
      </c>
      <c r="M212" t="s">
        <v>23</v>
      </c>
      <c r="N212">
        <f>VALUE(IF(AND(ISERR(FIND(".",'Raw Data'!N212)),LEN('Raw Data'!N212)=5), IF(YEAR('Raw Data'!N212)=2026,CONCATENATE(DAY('Raw Data'!N212),".",IF(LEN(MONTH('Raw Data'!N212))=2,MONTH('Raw Data'!N212),CONCATENATE("0",MONTH('Raw Data'!N212)))),CONCATENATE(MONTH('Raw Data'!N212),".",RIGHT(YEAR('Raw Data'!N212),2))),'Raw Data'!N212))</f>
        <v>236.07</v>
      </c>
      <c r="O212" s="6">
        <f t="shared" si="10"/>
        <v>4.7619047619047672</v>
      </c>
      <c r="P212" s="6">
        <f t="shared" si="11"/>
        <v>11.803500000000014</v>
      </c>
      <c r="Q212">
        <f>VALUE(IF(AND(ISERR(FIND(".",'Raw Data'!Q212)),LEN('Raw Data'!Q212)=5), IF(YEAR('Raw Data'!Q212)=2026,CONCATENATE(DAY('Raw Data'!Q212),".",IF(LEN(MONTH('Raw Data'!Q212))=2,MONTH('Raw Data'!Q212),CONCATENATE(MONTH('Raw Data'!Q212)))),CONCATENATE(MONTH('Raw Data'!Q212),".",RIGHT(YEAR('Raw Data'!Q212),2))),'Raw Data'!Q212))</f>
        <v>5.9</v>
      </c>
    </row>
    <row r="213" spans="1:17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40</v>
      </c>
      <c r="G213">
        <f>VALUE(IF(AND(ISERR(FIND(".",'Raw Data'!G213)),LEN('Raw Data'!G213)=5), IF(YEAR('Raw Data'!G213)=2026,CONCATENATE(DAY('Raw Data'!G213),".",IF(LEN(MONTH('Raw Data'!G213))=2,MONTH('Raw Data'!G213),CONCATENATE("0",MONTH('Raw Data'!G213)))),CONCATENATE(MONTH('Raw Data'!G213),".",RIGHT(YEAR('Raw Data'!G213),2))),'Raw Data'!G213))</f>
        <v>93.26</v>
      </c>
      <c r="H213">
        <f>'Raw Data'!H213</f>
        <v>9</v>
      </c>
      <c r="I213" s="6">
        <f t="shared" si="9"/>
        <v>41.966999999999985</v>
      </c>
      <c r="J213" s="6">
        <f>'Raw Data'!J213</f>
        <v>881.30700000000002</v>
      </c>
      <c r="K213" s="1">
        <f>VALUE(IFERROR(VALUE('Raw Data'!K213),CONCATENATE(MID('Raw Data'!K213,3,2),".","0",LEFT('Raw Data'!K213,1),".", RIGHT('Raw Data'!K213,4))))</f>
        <v>43481</v>
      </c>
      <c r="L213" s="2">
        <f>'Raw Data'!L213</f>
        <v>0.75555555555555554</v>
      </c>
      <c r="M213" t="s">
        <v>29</v>
      </c>
      <c r="N213">
        <f>VALUE(IF(AND(ISERR(FIND(".",'Raw Data'!N213)),LEN('Raw Data'!N213)=5), IF(YEAR('Raw Data'!N213)=2026,CONCATENATE(DAY('Raw Data'!N213),".",IF(LEN(MONTH('Raw Data'!N213))=2,MONTH('Raw Data'!N213),CONCATENATE("0",MONTH('Raw Data'!N213)))),CONCATENATE(MONTH('Raw Data'!N213),".",RIGHT(YEAR('Raw Data'!N213),2))),'Raw Data'!N213))</f>
        <v>839.34</v>
      </c>
      <c r="O213" s="6">
        <f t="shared" si="10"/>
        <v>4.7619047619047601</v>
      </c>
      <c r="P213" s="6">
        <f t="shared" si="11"/>
        <v>41.966999999999985</v>
      </c>
      <c r="Q213">
        <f>VALUE(IF(AND(ISERR(FIND(".",'Raw Data'!Q213)),LEN('Raw Data'!Q213)=5), IF(YEAR('Raw Data'!Q213)=2026,CONCATENATE(DAY('Raw Data'!Q213),".",IF(LEN(MONTH('Raw Data'!Q213))=2,MONTH('Raw Data'!Q213),CONCATENATE(MONTH('Raw Data'!Q213)))),CONCATENATE(MONTH('Raw Data'!Q213),".",RIGHT(YEAR('Raw Data'!Q213),2))),'Raw Data'!Q213))</f>
        <v>8.8000000000000007</v>
      </c>
    </row>
    <row r="214" spans="1:17">
      <c r="A214" t="s">
        <v>294</v>
      </c>
      <c r="B214" t="s">
        <v>34</v>
      </c>
      <c r="C214" t="s">
        <v>35</v>
      </c>
      <c r="D214" t="s">
        <v>27</v>
      </c>
      <c r="E214" t="s">
        <v>30</v>
      </c>
      <c r="F214" t="s">
        <v>32</v>
      </c>
      <c r="G214">
        <f>VALUE(IF(AND(ISERR(FIND(".",'Raw Data'!G214)),LEN('Raw Data'!G214)=5), IF(YEAR('Raw Data'!G214)=2026,CONCATENATE(DAY('Raw Data'!G214),".",IF(LEN(MONTH('Raw Data'!G214))=2,MONTH('Raw Data'!G214),CONCATENATE("0",MONTH('Raw Data'!G214)))),CONCATENATE(MONTH('Raw Data'!G214),".",RIGHT(YEAR('Raw Data'!G214),2))),'Raw Data'!G214))</f>
        <v>92.36</v>
      </c>
      <c r="H214">
        <f>'Raw Data'!H214</f>
        <v>5</v>
      </c>
      <c r="I214" s="6">
        <f t="shared" si="9"/>
        <v>23.089999999999975</v>
      </c>
      <c r="J214" s="6">
        <f>'Raw Data'!J214</f>
        <v>484.89</v>
      </c>
      <c r="K214" s="1">
        <f>VALUE(IFERROR(VALUE('Raw Data'!K214),CONCATENATE(MID('Raw Data'!K214,3,2),".","0",LEFT('Raw Data'!K214,1),".", RIGHT('Raw Data'!K214,4))))</f>
        <v>43544</v>
      </c>
      <c r="L214" s="2">
        <f>'Raw Data'!L214</f>
        <v>0.80347222222222225</v>
      </c>
      <c r="M214" t="s">
        <v>23</v>
      </c>
      <c r="N214">
        <f>VALUE(IF(AND(ISERR(FIND(".",'Raw Data'!N214)),LEN('Raw Data'!N214)=5), IF(YEAR('Raw Data'!N214)=2026,CONCATENATE(DAY('Raw Data'!N214),".",IF(LEN(MONTH('Raw Data'!N214))=2,MONTH('Raw Data'!N214),CONCATENATE("0",MONTH('Raw Data'!N214)))),CONCATENATE(MONTH('Raw Data'!N214),".",RIGHT(YEAR('Raw Data'!N214),2))),'Raw Data'!N214))</f>
        <v>461.8</v>
      </c>
      <c r="O214" s="6">
        <f t="shared" si="10"/>
        <v>4.7619047619047565</v>
      </c>
      <c r="P214" s="6">
        <f t="shared" si="11"/>
        <v>23.089999999999975</v>
      </c>
      <c r="Q214">
        <f>VALUE(IF(AND(ISERR(FIND(".",'Raw Data'!Q214)),LEN('Raw Data'!Q214)=5), IF(YEAR('Raw Data'!Q214)=2026,CONCATENATE(DAY('Raw Data'!Q214),".",IF(LEN(MONTH('Raw Data'!Q214))=2,MONTH('Raw Data'!Q214),CONCATENATE(MONTH('Raw Data'!Q214)))),CONCATENATE(MONTH('Raw Data'!Q214),".",RIGHT(YEAR('Raw Data'!Q214),2))),'Raw Data'!Q214))</f>
        <v>4.9000000000000004</v>
      </c>
    </row>
    <row r="215" spans="1:17">
      <c r="A215" t="s">
        <v>296</v>
      </c>
      <c r="B215" t="s">
        <v>34</v>
      </c>
      <c r="C215" t="s">
        <v>35</v>
      </c>
      <c r="D215" t="s">
        <v>27</v>
      </c>
      <c r="E215" t="s">
        <v>30</v>
      </c>
      <c r="F215" t="s">
        <v>38</v>
      </c>
      <c r="G215">
        <f>VALUE(IF(AND(ISERR(FIND(".",'Raw Data'!G215)),LEN('Raw Data'!G215)=5), IF(YEAR('Raw Data'!G215)=2026,CONCATENATE(DAY('Raw Data'!G215),".",IF(LEN(MONTH('Raw Data'!G215))=2,MONTH('Raw Data'!G215),CONCATENATE("0",MONTH('Raw Data'!G215)))),CONCATENATE(MONTH('Raw Data'!G215),".",RIGHT(YEAR('Raw Data'!G215),2))),'Raw Data'!G215))</f>
        <v>46.42</v>
      </c>
      <c r="H215">
        <f>'Raw Data'!H215</f>
        <v>3</v>
      </c>
      <c r="I215" s="6">
        <f t="shared" si="9"/>
        <v>6.9630000000000223</v>
      </c>
      <c r="J215" s="6">
        <f>'Raw Data'!J215</f>
        <v>146.22300000000001</v>
      </c>
      <c r="K215" s="1">
        <f>VALUE(IFERROR(VALUE('Raw Data'!K215),CONCATENATE(MID('Raw Data'!K215,3,2),".","0",LEFT('Raw Data'!K215,1),".", RIGHT('Raw Data'!K215,4))))</f>
        <v>43556</v>
      </c>
      <c r="L215" s="2">
        <f>'Raw Data'!L215</f>
        <v>0.55833333333333335</v>
      </c>
      <c r="M215" t="s">
        <v>33</v>
      </c>
      <c r="N215">
        <f>VALUE(IF(AND(ISERR(FIND(".",'Raw Data'!N215)),LEN('Raw Data'!N215)=5), IF(YEAR('Raw Data'!N215)=2026,CONCATENATE(DAY('Raw Data'!N215),".",IF(LEN(MONTH('Raw Data'!N215))=2,MONTH('Raw Data'!N215),CONCATENATE("0",MONTH('Raw Data'!N215)))),CONCATENATE(MONTH('Raw Data'!N215),".",RIGHT(YEAR('Raw Data'!N215),2))),'Raw Data'!N215))</f>
        <v>139.26</v>
      </c>
      <c r="O215" s="6">
        <f t="shared" si="10"/>
        <v>4.761904761904777</v>
      </c>
      <c r="P215" s="6">
        <f t="shared" si="11"/>
        <v>6.9630000000000223</v>
      </c>
      <c r="Q215">
        <f>VALUE(IF(AND(ISERR(FIND(".",'Raw Data'!Q215)),LEN('Raw Data'!Q215)=5), IF(YEAR('Raw Data'!Q215)=2026,CONCATENATE(DAY('Raw Data'!Q215),".",IF(LEN(MONTH('Raw Data'!Q215))=2,MONTH('Raw Data'!Q215),CONCATENATE(MONTH('Raw Data'!Q215)))),CONCATENATE(MONTH('Raw Data'!Q215),".",RIGHT(YEAR('Raw Data'!Q215),2))),'Raw Data'!Q215))</f>
        <v>4.4000000000000004</v>
      </c>
    </row>
    <row r="216" spans="1:17">
      <c r="A216" t="s">
        <v>297</v>
      </c>
      <c r="B216" t="s">
        <v>34</v>
      </c>
      <c r="C216" t="s">
        <v>35</v>
      </c>
      <c r="D216" t="s">
        <v>20</v>
      </c>
      <c r="E216" t="s">
        <v>21</v>
      </c>
      <c r="F216" t="s">
        <v>38</v>
      </c>
      <c r="G216">
        <f>VALUE(IF(AND(ISERR(FIND(".",'Raw Data'!G216)),LEN('Raw Data'!G216)=5), IF(YEAR('Raw Data'!G216)=2026,CONCATENATE(DAY('Raw Data'!G216),".",IF(LEN(MONTH('Raw Data'!G216))=2,MONTH('Raw Data'!G216),CONCATENATE("0",MONTH('Raw Data'!G216)))),CONCATENATE(MONTH('Raw Data'!G216),".",RIGHT(YEAR('Raw Data'!G216),2))),'Raw Data'!G216))</f>
        <v>29.61</v>
      </c>
      <c r="H216">
        <f>'Raw Data'!H216</f>
        <v>7</v>
      </c>
      <c r="I216" s="6">
        <f t="shared" si="9"/>
        <v>10.363500000000016</v>
      </c>
      <c r="J216" s="6">
        <f>'Raw Data'!J216</f>
        <v>217.6335</v>
      </c>
      <c r="K216" s="1">
        <f>VALUE(IFERROR(VALUE('Raw Data'!K216),CONCATENATE(MID('Raw Data'!K216,3,2),".","0",LEFT('Raw Data'!K216,1),".", RIGHT('Raw Data'!K216,4))))</f>
        <v>43772</v>
      </c>
      <c r="L216" s="2">
        <f>'Raw Data'!L216</f>
        <v>0.66180555555555554</v>
      </c>
      <c r="M216" t="s">
        <v>29</v>
      </c>
      <c r="N216">
        <f>VALUE(IF(AND(ISERR(FIND(".",'Raw Data'!N216)),LEN('Raw Data'!N216)=5), IF(YEAR('Raw Data'!N216)=2026,CONCATENATE(DAY('Raw Data'!N216),".",IF(LEN(MONTH('Raw Data'!N216))=2,MONTH('Raw Data'!N216),CONCATENATE("0",MONTH('Raw Data'!N216)))),CONCATENATE(MONTH('Raw Data'!N216),".",RIGHT(YEAR('Raw Data'!N216),2))),'Raw Data'!N216))</f>
        <v>207.27</v>
      </c>
      <c r="O216" s="6">
        <f t="shared" si="10"/>
        <v>4.7619047619047556</v>
      </c>
      <c r="P216" s="6">
        <f t="shared" si="11"/>
        <v>10.363499999999988</v>
      </c>
      <c r="Q216">
        <f>VALUE(IF(AND(ISERR(FIND(".",'Raw Data'!Q216)),LEN('Raw Data'!Q216)=5), IF(YEAR('Raw Data'!Q216)=2026,CONCATENATE(DAY('Raw Data'!Q216),".",IF(LEN(MONTH('Raw Data'!Q216))=2,MONTH('Raw Data'!Q216),CONCATENATE(MONTH('Raw Data'!Q216)))),CONCATENATE(MONTH('Raw Data'!Q216),".",RIGHT(YEAR('Raw Data'!Q216),2))),'Raw Data'!Q216))</f>
        <v>6.5</v>
      </c>
    </row>
    <row r="217" spans="1:17">
      <c r="A217" t="s">
        <v>298</v>
      </c>
      <c r="B217" t="s">
        <v>18</v>
      </c>
      <c r="C217" t="s">
        <v>19</v>
      </c>
      <c r="D217" t="s">
        <v>27</v>
      </c>
      <c r="E217" t="s">
        <v>30</v>
      </c>
      <c r="F217" t="s">
        <v>32</v>
      </c>
      <c r="G217">
        <f>VALUE(IF(AND(ISERR(FIND(".",'Raw Data'!G217)),LEN('Raw Data'!G217)=5), IF(YEAR('Raw Data'!G217)=2026,CONCATENATE(DAY('Raw Data'!G217),".",IF(LEN(MONTH('Raw Data'!G217))=2,MONTH('Raw Data'!G217),CONCATENATE("0",MONTH('Raw Data'!G217)))),CONCATENATE(MONTH('Raw Data'!G217),".",RIGHT(YEAR('Raw Data'!G217),2))),'Raw Data'!G217))</f>
        <v>18.28</v>
      </c>
      <c r="H217">
        <f>'Raw Data'!H217</f>
        <v>1</v>
      </c>
      <c r="I217" s="6">
        <f t="shared" si="9"/>
        <v>0.91399999999999793</v>
      </c>
      <c r="J217" s="6">
        <f>'Raw Data'!J217</f>
        <v>19.193999999999999</v>
      </c>
      <c r="K217" s="1">
        <f>VALUE(IFERROR(VALUE('Raw Data'!K217),CONCATENATE(MID('Raw Data'!K217,3,2),".","0",LEFT('Raw Data'!K217,1),".", RIGHT('Raw Data'!K217,4))))</f>
        <v>43546</v>
      </c>
      <c r="L217" s="2">
        <f>'Raw Data'!L217</f>
        <v>0.62847222222222221</v>
      </c>
      <c r="M217" t="s">
        <v>33</v>
      </c>
      <c r="N217">
        <f>VALUE(IF(AND(ISERR(FIND(".",'Raw Data'!N217)),LEN('Raw Data'!N217)=5), IF(YEAR('Raw Data'!N217)=2026,CONCATENATE(DAY('Raw Data'!N217),".",IF(LEN(MONTH('Raw Data'!N217))=2,MONTH('Raw Data'!N217),CONCATENATE("0",MONTH('Raw Data'!N217)))),CONCATENATE(MONTH('Raw Data'!N217),".",RIGHT(YEAR('Raw Data'!N217),2))),'Raw Data'!N217))</f>
        <v>18.28</v>
      </c>
      <c r="O217" s="6">
        <f t="shared" si="10"/>
        <v>4.7619047619047512</v>
      </c>
      <c r="P217" s="6">
        <f t="shared" si="11"/>
        <v>0.91399999999999793</v>
      </c>
      <c r="Q217">
        <f>VALUE(IF(AND(ISERR(FIND(".",'Raw Data'!Q217)),LEN('Raw Data'!Q217)=5), IF(YEAR('Raw Data'!Q217)=2026,CONCATENATE(DAY('Raw Data'!Q217),".",IF(LEN(MONTH('Raw Data'!Q217))=2,MONTH('Raw Data'!Q217),CONCATENATE(MONTH('Raw Data'!Q217)))),CONCATENATE(MONTH('Raw Data'!Q217),".",RIGHT(YEAR('Raw Data'!Q217),2))),'Raw Data'!Q217))</f>
        <v>8.3000000000000007</v>
      </c>
    </row>
    <row r="218" spans="1:17">
      <c r="A218" t="s">
        <v>299</v>
      </c>
      <c r="B218" t="s">
        <v>34</v>
      </c>
      <c r="C218" t="s">
        <v>35</v>
      </c>
      <c r="D218" t="s">
        <v>27</v>
      </c>
      <c r="E218" t="s">
        <v>21</v>
      </c>
      <c r="F218" t="s">
        <v>38</v>
      </c>
      <c r="G218">
        <f>VALUE(IF(AND(ISERR(FIND(".",'Raw Data'!G218)),LEN('Raw Data'!G218)=5), IF(YEAR('Raw Data'!G218)=2026,CONCATENATE(DAY('Raw Data'!G218),".",IF(LEN(MONTH('Raw Data'!G218))=2,MONTH('Raw Data'!G218),CONCATENATE("0",MONTH('Raw Data'!G218)))),CONCATENATE(MONTH('Raw Data'!G218),".",RIGHT(YEAR('Raw Data'!G218),2))),'Raw Data'!G218))</f>
        <v>24.77</v>
      </c>
      <c r="H218">
        <f>'Raw Data'!H218</f>
        <v>5</v>
      </c>
      <c r="I218" s="6">
        <f t="shared" si="9"/>
        <v>6.1924999999999955</v>
      </c>
      <c r="J218" s="6">
        <f>'Raw Data'!J218</f>
        <v>130.04249999999999</v>
      </c>
      <c r="K218" s="1">
        <f>VALUE(IFERROR(VALUE('Raw Data'!K218),CONCATENATE(MID('Raw Data'!K218,3,2),".","0",LEFT('Raw Data'!K218,1),".", RIGHT('Raw Data'!K218,4))))</f>
        <v>43548</v>
      </c>
      <c r="L218" s="2">
        <f>'Raw Data'!L218</f>
        <v>0.76874999999999993</v>
      </c>
      <c r="M218" t="s">
        <v>29</v>
      </c>
      <c r="N218">
        <f>VALUE(IF(AND(ISERR(FIND(".",'Raw Data'!N218)),LEN('Raw Data'!N218)=5), IF(YEAR('Raw Data'!N218)=2026,CONCATENATE(DAY('Raw Data'!N218),".",IF(LEN(MONTH('Raw Data'!N218))=2,MONTH('Raw Data'!N218),CONCATENATE("0",MONTH('Raw Data'!N218)))),CONCATENATE(MONTH('Raw Data'!N218),".",RIGHT(YEAR('Raw Data'!N218),2))),'Raw Data'!N218))</f>
        <v>123.85</v>
      </c>
      <c r="O218" s="6">
        <f t="shared" si="10"/>
        <v>4.7619047619047592</v>
      </c>
      <c r="P218" s="6">
        <f t="shared" si="11"/>
        <v>6.1924999999999955</v>
      </c>
      <c r="Q218">
        <f>VALUE(IF(AND(ISERR(FIND(".",'Raw Data'!Q218)),LEN('Raw Data'!Q218)=5), IF(YEAR('Raw Data'!Q218)=2026,CONCATENATE(DAY('Raw Data'!Q218),".",IF(LEN(MONTH('Raw Data'!Q218))=2,MONTH('Raw Data'!Q218),CONCATENATE(MONTH('Raw Data'!Q218)))),CONCATENATE(MONTH('Raw Data'!Q218),".",RIGHT(YEAR('Raw Data'!Q218),2))),'Raw Data'!Q218))</f>
        <v>8.5</v>
      </c>
    </row>
    <row r="219" spans="1:17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f>VALUE(IF(AND(ISERR(FIND(".",'Raw Data'!G219)),LEN('Raw Data'!G219)=5), IF(YEAR('Raw Data'!G219)=2026,CONCATENATE(DAY('Raw Data'!G219),".",IF(LEN(MONTH('Raw Data'!G219))=2,MONTH('Raw Data'!G219),CONCATENATE("0",MONTH('Raw Data'!G219)))),CONCATENATE(MONTH('Raw Data'!G219),".",RIGHT(YEAR('Raw Data'!G219),2))),'Raw Data'!G219))</f>
        <v>94.64</v>
      </c>
      <c r="H219">
        <f>'Raw Data'!H219</f>
        <v>3</v>
      </c>
      <c r="I219" s="6">
        <f t="shared" si="9"/>
        <v>14.19599999999997</v>
      </c>
      <c r="J219" s="6">
        <f>'Raw Data'!J219</f>
        <v>298.11599999999999</v>
      </c>
      <c r="K219" s="1">
        <f>VALUE(IFERROR(VALUE('Raw Data'!K219),CONCATENATE(MID('Raw Data'!K219,3,2),".","0",LEFT('Raw Data'!K219,1),".", RIGHT('Raw Data'!K219,4))))</f>
        <v>43517</v>
      </c>
      <c r="L219" s="2">
        <f>'Raw Data'!L219</f>
        <v>0.70486111111111116</v>
      </c>
      <c r="M219" t="s">
        <v>29</v>
      </c>
      <c r="N219">
        <f>VALUE(IF(AND(ISERR(FIND(".",'Raw Data'!N219)),LEN('Raw Data'!N219)=5), IF(YEAR('Raw Data'!N219)=2026,CONCATENATE(DAY('Raw Data'!N219),".",IF(LEN(MONTH('Raw Data'!N219))=2,MONTH('Raw Data'!N219),CONCATENATE("0",MONTH('Raw Data'!N219)))),CONCATENATE(MONTH('Raw Data'!N219),".",RIGHT(YEAR('Raw Data'!N219),2))),'Raw Data'!N219))</f>
        <v>283.92</v>
      </c>
      <c r="O219" s="6">
        <f t="shared" si="10"/>
        <v>4.7619047619047521</v>
      </c>
      <c r="P219" s="6">
        <f t="shared" si="11"/>
        <v>14.19599999999997</v>
      </c>
      <c r="Q219">
        <f>VALUE(IF(AND(ISERR(FIND(".",'Raw Data'!Q219)),LEN('Raw Data'!Q219)=5), IF(YEAR('Raw Data'!Q219)=2026,CONCATENATE(DAY('Raw Data'!Q219),".",IF(LEN(MONTH('Raw Data'!Q219))=2,MONTH('Raw Data'!Q219),CONCATENATE(MONTH('Raw Data'!Q219)))),CONCATENATE(MONTH('Raw Data'!Q219),".",RIGHT(YEAR('Raw Data'!Q219),2))),'Raw Data'!Q219))</f>
        <v>5.5</v>
      </c>
    </row>
    <row r="220" spans="1:17">
      <c r="A220" t="s">
        <v>302</v>
      </c>
      <c r="B220" t="s">
        <v>34</v>
      </c>
      <c r="C220" t="s">
        <v>35</v>
      </c>
      <c r="D220" t="s">
        <v>27</v>
      </c>
      <c r="E220" t="s">
        <v>30</v>
      </c>
      <c r="F220" t="s">
        <v>43</v>
      </c>
      <c r="G220">
        <f>VALUE(IF(AND(ISERR(FIND(".",'Raw Data'!G220)),LEN('Raw Data'!G220)=5), IF(YEAR('Raw Data'!G220)=2026,CONCATENATE(DAY('Raw Data'!G220),".",IF(LEN(MONTH('Raw Data'!G220))=2,MONTH('Raw Data'!G220),CONCATENATE("0",MONTH('Raw Data'!G220)))),CONCATENATE(MONTH('Raw Data'!G220),".",RIGHT(YEAR('Raw Data'!G220),2))),'Raw Data'!G220))</f>
        <v>94.87</v>
      </c>
      <c r="H220">
        <f>'Raw Data'!H220</f>
        <v>8</v>
      </c>
      <c r="I220" s="6">
        <f t="shared" si="9"/>
        <v>37.947999999999979</v>
      </c>
      <c r="J220" s="6">
        <f>'Raw Data'!J220</f>
        <v>796.90800000000002</v>
      </c>
      <c r="K220" s="1">
        <f>VALUE(IFERROR(VALUE('Raw Data'!K220),CONCATENATE(MID('Raw Data'!K220,3,2),".","0",LEFT('Raw Data'!K220,1),".", RIGHT('Raw Data'!K220,4))))</f>
        <v>43801</v>
      </c>
      <c r="L220" s="2">
        <f>'Raw Data'!L220</f>
        <v>0.54027777777777775</v>
      </c>
      <c r="M220" t="s">
        <v>23</v>
      </c>
      <c r="N220">
        <f>VALUE(IF(AND(ISERR(FIND(".",'Raw Data'!N220)),LEN('Raw Data'!N220)=5), IF(YEAR('Raw Data'!N220)=2026,CONCATENATE(DAY('Raw Data'!N220),".",IF(LEN(MONTH('Raw Data'!N220))=2,MONTH('Raw Data'!N220),CONCATENATE("0",MONTH('Raw Data'!N220)))),CONCATENATE(MONTH('Raw Data'!N220),".",RIGHT(YEAR('Raw Data'!N220),2))),'Raw Data'!N220))</f>
        <v>758.96</v>
      </c>
      <c r="O220" s="6">
        <f t="shared" si="10"/>
        <v>4.7619047619047592</v>
      </c>
      <c r="P220" s="6">
        <f t="shared" si="11"/>
        <v>37.947999999999979</v>
      </c>
      <c r="Q220">
        <f>VALUE(IF(AND(ISERR(FIND(".",'Raw Data'!Q220)),LEN('Raw Data'!Q220)=5), IF(YEAR('Raw Data'!Q220)=2026,CONCATENATE(DAY('Raw Data'!Q220),".",IF(LEN(MONTH('Raw Data'!Q220))=2,MONTH('Raw Data'!Q220),CONCATENATE(MONTH('Raw Data'!Q220)))),CONCATENATE(MONTH('Raw Data'!Q220),".",RIGHT(YEAR('Raw Data'!Q220),2))),'Raw Data'!Q220))</f>
        <v>8.6999999999999993</v>
      </c>
    </row>
    <row r="221" spans="1:17">
      <c r="A221" t="s">
        <v>303</v>
      </c>
      <c r="B221" t="s">
        <v>34</v>
      </c>
      <c r="C221" t="s">
        <v>35</v>
      </c>
      <c r="D221" t="s">
        <v>27</v>
      </c>
      <c r="E221" t="s">
        <v>21</v>
      </c>
      <c r="F221" t="s">
        <v>40</v>
      </c>
      <c r="G221">
        <f>VALUE(IF(AND(ISERR(FIND(".",'Raw Data'!G221)),LEN('Raw Data'!G221)=5), IF(YEAR('Raw Data'!G221)=2026,CONCATENATE(DAY('Raw Data'!G221),".",IF(LEN(MONTH('Raw Data'!G221))=2,MONTH('Raw Data'!G221),CONCATENATE("0",MONTH('Raw Data'!G221)))),CONCATENATE(MONTH('Raw Data'!G221),".",RIGHT(YEAR('Raw Data'!G221),2))),'Raw Data'!G221))</f>
        <v>57.34</v>
      </c>
      <c r="H221">
        <f>'Raw Data'!H221</f>
        <v>3</v>
      </c>
      <c r="I221" s="6">
        <f t="shared" si="9"/>
        <v>8.6009999999999991</v>
      </c>
      <c r="J221" s="6">
        <f>'Raw Data'!J221</f>
        <v>180.62100000000001</v>
      </c>
      <c r="K221" s="1">
        <f>VALUE(IFERROR(VALUE('Raw Data'!K221),CONCATENATE(MID('Raw Data'!K221,3,2),".","0",LEFT('Raw Data'!K221,1),".", RIGHT('Raw Data'!K221,4))))</f>
        <v>43741</v>
      </c>
      <c r="L221" s="2">
        <f>'Raw Data'!L221</f>
        <v>0.7909722222222223</v>
      </c>
      <c r="M221" t="s">
        <v>33</v>
      </c>
      <c r="N221">
        <f>VALUE(IF(AND(ISERR(FIND(".",'Raw Data'!N221)),LEN('Raw Data'!N221)=5), IF(YEAR('Raw Data'!N221)=2026,CONCATENATE(DAY('Raw Data'!N221),".",IF(LEN(MONTH('Raw Data'!N221))=2,MONTH('Raw Data'!N221),CONCATENATE("0",MONTH('Raw Data'!N221)))),CONCATENATE(MONTH('Raw Data'!N221),".",RIGHT(YEAR('Raw Data'!N221),2))),'Raw Data'!N221))</f>
        <v>172.02</v>
      </c>
      <c r="O221" s="6">
        <f t="shared" si="10"/>
        <v>4.761904761904761</v>
      </c>
      <c r="P221" s="6">
        <f t="shared" si="11"/>
        <v>8.6009999999999991</v>
      </c>
      <c r="Q221">
        <f>VALUE(IF(AND(ISERR(FIND(".",'Raw Data'!Q221)),LEN('Raw Data'!Q221)=5), IF(YEAR('Raw Data'!Q221)=2026,CONCATENATE(DAY('Raw Data'!Q221),".",IF(LEN(MONTH('Raw Data'!Q221))=2,MONTH('Raw Data'!Q221),CONCATENATE(MONTH('Raw Data'!Q221)))),CONCATENATE(MONTH('Raw Data'!Q221),".",RIGHT(YEAR('Raw Data'!Q221),2))),'Raw Data'!Q221))</f>
        <v>7.9</v>
      </c>
    </row>
    <row r="222" spans="1:17">
      <c r="A222" t="s">
        <v>304</v>
      </c>
      <c r="B222" t="s">
        <v>34</v>
      </c>
      <c r="C222" t="s">
        <v>35</v>
      </c>
      <c r="D222" t="s">
        <v>27</v>
      </c>
      <c r="E222" t="s">
        <v>30</v>
      </c>
      <c r="F222" t="s">
        <v>28</v>
      </c>
      <c r="G222">
        <f>VALUE(IF(AND(ISERR(FIND(".",'Raw Data'!G222)),LEN('Raw Data'!G222)=5), IF(YEAR('Raw Data'!G222)=2026,CONCATENATE(DAY('Raw Data'!G222),".",IF(LEN(MONTH('Raw Data'!G222))=2,MONTH('Raw Data'!G222),CONCATENATE("0",MONTH('Raw Data'!G222)))),CONCATENATE(MONTH('Raw Data'!G222),".",RIGHT(YEAR('Raw Data'!G222),2))),'Raw Data'!G222))</f>
        <v>45.35</v>
      </c>
      <c r="H222">
        <f>'Raw Data'!H222</f>
        <v>6</v>
      </c>
      <c r="I222" s="6">
        <f t="shared" si="9"/>
        <v>13.604999999999961</v>
      </c>
      <c r="J222" s="6">
        <f>'Raw Data'!J222</f>
        <v>285.70499999999998</v>
      </c>
      <c r="K222" s="1">
        <f>VALUE(IFERROR(VALUE('Raw Data'!K222),CONCATENATE(MID('Raw Data'!K222,3,2),".","0",LEFT('Raw Data'!K222,1),".", RIGHT('Raw Data'!K222,4))))</f>
        <v>43496</v>
      </c>
      <c r="L222" s="2">
        <f>'Raw Data'!L222</f>
        <v>0.57222222222222219</v>
      </c>
      <c r="M222" t="s">
        <v>23</v>
      </c>
      <c r="N222">
        <f>VALUE(IF(AND(ISERR(FIND(".",'Raw Data'!N222)),LEN('Raw Data'!N222)=5), IF(YEAR('Raw Data'!N222)=2026,CONCATENATE(DAY('Raw Data'!N222),".",IF(LEN(MONTH('Raw Data'!N222))=2,MONTH('Raw Data'!N222),CONCATENATE("0",MONTH('Raw Data'!N222)))),CONCATENATE(MONTH('Raw Data'!N222),".",RIGHT(YEAR('Raw Data'!N222),2))),'Raw Data'!N222))</f>
        <v>272.10000000000002</v>
      </c>
      <c r="O222" s="6">
        <f t="shared" si="10"/>
        <v>4.7619047619047485</v>
      </c>
      <c r="P222" s="6">
        <f t="shared" si="11"/>
        <v>13.604999999999961</v>
      </c>
      <c r="Q222">
        <f>VALUE(IF(AND(ISERR(FIND(".",'Raw Data'!Q222)),LEN('Raw Data'!Q222)=5), IF(YEAR('Raw Data'!Q222)=2026,CONCATENATE(DAY('Raw Data'!Q222),".",IF(LEN(MONTH('Raw Data'!Q222))=2,MONTH('Raw Data'!Q222),CONCATENATE(MONTH('Raw Data'!Q222)))),CONCATENATE(MONTH('Raw Data'!Q222),".",RIGHT(YEAR('Raw Data'!Q222),2))),'Raw Data'!Q222))</f>
        <v>6.1</v>
      </c>
    </row>
    <row r="223" spans="1:17">
      <c r="A223" t="s">
        <v>306</v>
      </c>
      <c r="B223" t="s">
        <v>34</v>
      </c>
      <c r="C223" t="s">
        <v>35</v>
      </c>
      <c r="D223" t="s">
        <v>27</v>
      </c>
      <c r="E223" t="s">
        <v>30</v>
      </c>
      <c r="F223" t="s">
        <v>40</v>
      </c>
      <c r="G223">
        <f>VALUE(IF(AND(ISERR(FIND(".",'Raw Data'!G223)),LEN('Raw Data'!G223)=5), IF(YEAR('Raw Data'!G223)=2026,CONCATENATE(DAY('Raw Data'!G223),".",IF(LEN(MONTH('Raw Data'!G223))=2,MONTH('Raw Data'!G223),CONCATENATE("0",MONTH('Raw Data'!G223)))),CONCATENATE(MONTH('Raw Data'!G223),".",RIGHT(YEAR('Raw Data'!G223),2))),'Raw Data'!G223))</f>
        <v>62.08</v>
      </c>
      <c r="H223">
        <f>'Raw Data'!H223</f>
        <v>7</v>
      </c>
      <c r="I223" s="6">
        <f t="shared" si="9"/>
        <v>21.728000000000009</v>
      </c>
      <c r="J223" s="6">
        <f>'Raw Data'!J223</f>
        <v>456.28800000000001</v>
      </c>
      <c r="K223" s="1">
        <f>VALUE(IFERROR(VALUE('Raw Data'!K223),CONCATENATE(MID('Raw Data'!K223,3,2),".","0",LEFT('Raw Data'!K223,1),".", RIGHT('Raw Data'!K223,4))))</f>
        <v>43619</v>
      </c>
      <c r="L223" s="2">
        <f>'Raw Data'!L223</f>
        <v>0.57361111111111118</v>
      </c>
      <c r="M223" t="s">
        <v>23</v>
      </c>
      <c r="N223">
        <f>VALUE(IF(AND(ISERR(FIND(".",'Raw Data'!N223)),LEN('Raw Data'!N223)=5), IF(YEAR('Raw Data'!N223)=2026,CONCATENATE(DAY('Raw Data'!N223),".",IF(LEN(MONTH('Raw Data'!N223))=2,MONTH('Raw Data'!N223),CONCATENATE("0",MONTH('Raw Data'!N223)))),CONCATENATE(MONTH('Raw Data'!N223),".",RIGHT(YEAR('Raw Data'!N223),2))),'Raw Data'!N223))</f>
        <v>434.56</v>
      </c>
      <c r="O223" s="6">
        <f t="shared" si="10"/>
        <v>4.7619047619047636</v>
      </c>
      <c r="P223" s="6">
        <f t="shared" si="11"/>
        <v>21.728000000000009</v>
      </c>
      <c r="Q223">
        <f>VALUE(IF(AND(ISERR(FIND(".",'Raw Data'!Q223)),LEN('Raw Data'!Q223)=5), IF(YEAR('Raw Data'!Q223)=2026,CONCATENATE(DAY('Raw Data'!Q223),".",IF(LEN(MONTH('Raw Data'!Q223))=2,MONTH('Raw Data'!Q223),CONCATENATE(MONTH('Raw Data'!Q223)))),CONCATENATE(MONTH('Raw Data'!Q223),".",RIGHT(YEAR('Raw Data'!Q223),2))),'Raw Data'!Q223))</f>
        <v>5.4</v>
      </c>
    </row>
    <row r="224" spans="1:17">
      <c r="A224" t="s">
        <v>307</v>
      </c>
      <c r="B224" t="s">
        <v>25</v>
      </c>
      <c r="C224" t="s">
        <v>26</v>
      </c>
      <c r="D224" t="s">
        <v>27</v>
      </c>
      <c r="E224" t="s">
        <v>30</v>
      </c>
      <c r="F224" t="s">
        <v>28</v>
      </c>
      <c r="G224">
        <f>VALUE(IF(AND(ISERR(FIND(".",'Raw Data'!G224)),LEN('Raw Data'!G224)=5), IF(YEAR('Raw Data'!G224)=2026,CONCATENATE(DAY('Raw Data'!G224),".",IF(LEN(MONTH('Raw Data'!G224))=2,MONTH('Raw Data'!G224),CONCATENATE("0",MONTH('Raw Data'!G224)))),CONCATENATE(MONTH('Raw Data'!G224),".",RIGHT(YEAR('Raw Data'!G224),2))),'Raw Data'!G224))</f>
        <v>11.81</v>
      </c>
      <c r="H224">
        <f>'Raw Data'!H224</f>
        <v>5</v>
      </c>
      <c r="I224" s="6">
        <f t="shared" si="9"/>
        <v>2.9524999999999935</v>
      </c>
      <c r="J224" s="6">
        <f>'Raw Data'!J224</f>
        <v>62.002499999999998</v>
      </c>
      <c r="K224" s="1">
        <f>VALUE(IFERROR(VALUE('Raw Data'!K224),CONCATENATE(MID('Raw Data'!K224,3,2),".","0",LEFT('Raw Data'!K224,1),".", RIGHT('Raw Data'!K224,4))))</f>
        <v>43513</v>
      </c>
      <c r="L224" s="2">
        <f>'Raw Data'!L224</f>
        <v>0.75416666666666676</v>
      </c>
      <c r="M224" t="s">
        <v>29</v>
      </c>
      <c r="N224">
        <f>VALUE(IF(AND(ISERR(FIND(".",'Raw Data'!N224)),LEN('Raw Data'!N224)=5), IF(YEAR('Raw Data'!N224)=2026,CONCATENATE(DAY('Raw Data'!N224),".",IF(LEN(MONTH('Raw Data'!N224))=2,MONTH('Raw Data'!N224),CONCATENATE("0",MONTH('Raw Data'!N224)))),CONCATENATE(MONTH('Raw Data'!N224),".",RIGHT(YEAR('Raw Data'!N224),2))),'Raw Data'!N224))</f>
        <v>59.05</v>
      </c>
      <c r="O224" s="6">
        <f t="shared" si="10"/>
        <v>4.7619047619047628</v>
      </c>
      <c r="P224" s="6">
        <f t="shared" si="11"/>
        <v>2.9525000000000006</v>
      </c>
      <c r="Q224">
        <f>VALUE(IF(AND(ISERR(FIND(".",'Raw Data'!Q224)),LEN('Raw Data'!Q224)=5), IF(YEAR('Raw Data'!Q224)=2026,CONCATENATE(DAY('Raw Data'!Q224),".",IF(LEN(MONTH('Raw Data'!Q224))=2,MONTH('Raw Data'!Q224),CONCATENATE(MONTH('Raw Data'!Q224)))),CONCATENATE(MONTH('Raw Data'!Q224),".",RIGHT(YEAR('Raw Data'!Q224),2))),'Raw Data'!Q224))</f>
        <v>9.4</v>
      </c>
    </row>
    <row r="225" spans="1:17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43</v>
      </c>
      <c r="G225">
        <f>VALUE(IF(AND(ISERR(FIND(".",'Raw Data'!G225)),LEN('Raw Data'!G225)=5), IF(YEAR('Raw Data'!G225)=2026,CONCATENATE(DAY('Raw Data'!G225),".",IF(LEN(MONTH('Raw Data'!G225))=2,MONTH('Raw Data'!G225),CONCATENATE("0",MONTH('Raw Data'!G225)))),CONCATENATE(MONTH('Raw Data'!G225),".",RIGHT(YEAR('Raw Data'!G225),2))),'Raw Data'!G225))</f>
        <v>12.54</v>
      </c>
      <c r="H225">
        <f>'Raw Data'!H225</f>
        <v>1</v>
      </c>
      <c r="I225" s="6">
        <f t="shared" si="9"/>
        <v>0.62700000000000067</v>
      </c>
      <c r="J225" s="6">
        <f>'Raw Data'!J225</f>
        <v>13.167</v>
      </c>
      <c r="K225" s="1">
        <f>VALUE(IFERROR(VALUE('Raw Data'!K225),CONCATENATE(MID('Raw Data'!K225,3,2),".","0",LEFT('Raw Data'!K225,1),".", RIGHT('Raw Data'!K225,4))))</f>
        <v>43517</v>
      </c>
      <c r="L225" s="2">
        <f>'Raw Data'!L225</f>
        <v>0.52638888888888891</v>
      </c>
      <c r="M225" t="s">
        <v>29</v>
      </c>
      <c r="N225">
        <f>VALUE(IF(AND(ISERR(FIND(".",'Raw Data'!N225)),LEN('Raw Data'!N225)=5), IF(YEAR('Raw Data'!N225)=2026,CONCATENATE(DAY('Raw Data'!N225),".",IF(LEN(MONTH('Raw Data'!N225))=2,MONTH('Raw Data'!N225),CONCATENATE("0",MONTH('Raw Data'!N225)))),CONCATENATE(MONTH('Raw Data'!N225),".",RIGHT(YEAR('Raw Data'!N225),2))),'Raw Data'!N225))</f>
        <v>12.54</v>
      </c>
      <c r="O225" s="6">
        <f t="shared" si="10"/>
        <v>4.7619047619047672</v>
      </c>
      <c r="P225" s="6">
        <f t="shared" si="11"/>
        <v>0.62700000000000067</v>
      </c>
      <c r="Q225">
        <f>VALUE(IF(AND(ISERR(FIND(".",'Raw Data'!Q225)),LEN('Raw Data'!Q225)=5), IF(YEAR('Raw Data'!Q225)=2026,CONCATENATE(DAY('Raw Data'!Q225),".",IF(LEN(MONTH('Raw Data'!Q225))=2,MONTH('Raw Data'!Q225),CONCATENATE(MONTH('Raw Data'!Q225)))),CONCATENATE(MONTH('Raw Data'!Q225),".",RIGHT(YEAR('Raw Data'!Q225),2))),'Raw Data'!Q225))</f>
        <v>8.1999999999999993</v>
      </c>
    </row>
    <row r="226" spans="1:17">
      <c r="A226" t="s">
        <v>309</v>
      </c>
      <c r="B226" t="s">
        <v>18</v>
      </c>
      <c r="C226" t="s">
        <v>19</v>
      </c>
      <c r="D226" t="s">
        <v>27</v>
      </c>
      <c r="E226" t="s">
        <v>30</v>
      </c>
      <c r="F226" t="s">
        <v>40</v>
      </c>
      <c r="G226">
        <f>VALUE(IF(AND(ISERR(FIND(".",'Raw Data'!G226)),LEN('Raw Data'!G226)=5), IF(YEAR('Raw Data'!G226)=2026,CONCATENATE(DAY('Raw Data'!G226),".",IF(LEN(MONTH('Raw Data'!G226))=2,MONTH('Raw Data'!G226),CONCATENATE("0",MONTH('Raw Data'!G226)))),CONCATENATE(MONTH('Raw Data'!G226),".",RIGHT(YEAR('Raw Data'!G226),2))),'Raw Data'!G226))</f>
        <v>43.25</v>
      </c>
      <c r="H226">
        <f>'Raw Data'!H226</f>
        <v>2</v>
      </c>
      <c r="I226" s="6">
        <f t="shared" si="9"/>
        <v>4.3250000000000028</v>
      </c>
      <c r="J226" s="6">
        <f>'Raw Data'!J226</f>
        <v>90.825000000000003</v>
      </c>
      <c r="K226" s="1">
        <f>VALUE(IFERROR(VALUE('Raw Data'!K226),CONCATENATE(MID('Raw Data'!K226,3,2),".","0",LEFT('Raw Data'!K226,1),".", RIGHT('Raw Data'!K226,4))))</f>
        <v>43544</v>
      </c>
      <c r="L226" s="2">
        <f>'Raw Data'!L226</f>
        <v>0.66388888888888886</v>
      </c>
      <c r="M226" t="s">
        <v>29</v>
      </c>
      <c r="N226">
        <f>VALUE(IF(AND(ISERR(FIND(".",'Raw Data'!N226)),LEN('Raw Data'!N226)=5), IF(YEAR('Raw Data'!N226)=2026,CONCATENATE(DAY('Raw Data'!N226),".",IF(LEN(MONTH('Raw Data'!N226))=2,MONTH('Raw Data'!N226),CONCATENATE("0",MONTH('Raw Data'!N226)))),CONCATENATE(MONTH('Raw Data'!N226),".",RIGHT(YEAR('Raw Data'!N226),2))),'Raw Data'!N226))</f>
        <v>86.5</v>
      </c>
      <c r="O226" s="6">
        <f t="shared" si="10"/>
        <v>4.7619047619047654</v>
      </c>
      <c r="P226" s="6">
        <f t="shared" si="11"/>
        <v>4.3250000000000028</v>
      </c>
      <c r="Q226">
        <f>VALUE(IF(AND(ISERR(FIND(".",'Raw Data'!Q226)),LEN('Raw Data'!Q226)=5), IF(YEAR('Raw Data'!Q226)=2026,CONCATENATE(DAY('Raw Data'!Q226),".",IF(LEN(MONTH('Raw Data'!Q226))=2,MONTH('Raw Data'!Q226),CONCATENATE(MONTH('Raw Data'!Q226)))),CONCATENATE(MONTH('Raw Data'!Q226),".",RIGHT(YEAR('Raw Data'!Q226),2))),'Raw Data'!Q226))</f>
        <v>6.2</v>
      </c>
    </row>
    <row r="227" spans="1:17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38</v>
      </c>
      <c r="G227">
        <f>VALUE(IF(AND(ISERR(FIND(".",'Raw Data'!G227)),LEN('Raw Data'!G227)=5), IF(YEAR('Raw Data'!G227)=2026,CONCATENATE(DAY('Raw Data'!G227),".",IF(LEN(MONTH('Raw Data'!G227))=2,MONTH('Raw Data'!G227),CONCATENATE("0",MONTH('Raw Data'!G227)))),CONCATENATE(MONTH('Raw Data'!G227),".",RIGHT(YEAR('Raw Data'!G227),2))),'Raw Data'!G227))</f>
        <v>87.16</v>
      </c>
      <c r="H227">
        <f>'Raw Data'!H227</f>
        <v>2</v>
      </c>
      <c r="I227" s="6">
        <f t="shared" si="9"/>
        <v>8.7160000000000082</v>
      </c>
      <c r="J227" s="6">
        <f>'Raw Data'!J227</f>
        <v>183.036</v>
      </c>
      <c r="K227" s="1">
        <f>VALUE(IFERROR(VALUE('Raw Data'!K227),CONCATENATE(MID('Raw Data'!K227,3,2),".","0",LEFT('Raw Data'!K227,1),".", RIGHT('Raw Data'!K227,4))))</f>
        <v>43770</v>
      </c>
      <c r="L227" s="2">
        <f>'Raw Data'!L227</f>
        <v>0.60347222222222219</v>
      </c>
      <c r="M227" t="s">
        <v>33</v>
      </c>
      <c r="N227">
        <f>VALUE(IF(AND(ISERR(FIND(".",'Raw Data'!N227)),LEN('Raw Data'!N227)=5), IF(YEAR('Raw Data'!N227)=2026,CONCATENATE(DAY('Raw Data'!N227),".",IF(LEN(MONTH('Raw Data'!N227))=2,MONTH('Raw Data'!N227),CONCATENATE("0",MONTH('Raw Data'!N227)))),CONCATENATE(MONTH('Raw Data'!N227),".",RIGHT(YEAR('Raw Data'!N227),2))),'Raw Data'!N227))</f>
        <v>174.32</v>
      </c>
      <c r="O227" s="6">
        <f t="shared" si="10"/>
        <v>4.7619047619047663</v>
      </c>
      <c r="P227" s="6">
        <f t="shared" si="11"/>
        <v>8.7160000000000082</v>
      </c>
      <c r="Q227">
        <f>VALUE(IF(AND(ISERR(FIND(".",'Raw Data'!Q227)),LEN('Raw Data'!Q227)=5), IF(YEAR('Raw Data'!Q227)=2026,CONCATENATE(DAY('Raw Data'!Q227),".",IF(LEN(MONTH('Raw Data'!Q227))=2,MONTH('Raw Data'!Q227),CONCATENATE(MONTH('Raw Data'!Q227)))),CONCATENATE(MONTH('Raw Data'!Q227),".",RIGHT(YEAR('Raw Data'!Q227),2))),'Raw Data'!Q227))</f>
        <v>9.6999999999999993</v>
      </c>
    </row>
    <row r="228" spans="1:17">
      <c r="A228" t="s">
        <v>311</v>
      </c>
      <c r="B228" t="s">
        <v>34</v>
      </c>
      <c r="C228" t="s">
        <v>35</v>
      </c>
      <c r="D228" t="s">
        <v>20</v>
      </c>
      <c r="E228" t="s">
        <v>30</v>
      </c>
      <c r="F228" t="s">
        <v>22</v>
      </c>
      <c r="G228">
        <f>VALUE(IF(AND(ISERR(FIND(".",'Raw Data'!G228)),LEN('Raw Data'!G228)=5), IF(YEAR('Raw Data'!G228)=2026,CONCATENATE(DAY('Raw Data'!G228),".",IF(LEN(MONTH('Raw Data'!G228))=2,MONTH('Raw Data'!G228),CONCATENATE("0",MONTH('Raw Data'!G228)))),CONCATENATE(MONTH('Raw Data'!G228),".",RIGHT(YEAR('Raw Data'!G228),2))),'Raw Data'!G228))</f>
        <v>69.37</v>
      </c>
      <c r="H228">
        <f>'Raw Data'!H228</f>
        <v>9</v>
      </c>
      <c r="I228" s="6">
        <f t="shared" si="9"/>
        <v>31.216499999999996</v>
      </c>
      <c r="J228" s="6">
        <f>'Raw Data'!J228</f>
        <v>655.54650000000004</v>
      </c>
      <c r="K228" s="1">
        <f>VALUE(IFERROR(VALUE('Raw Data'!K228),CONCATENATE(MID('Raw Data'!K228,3,2),".","0",LEFT('Raw Data'!K228,1),".", RIGHT('Raw Data'!K228,4))))</f>
        <v>43491</v>
      </c>
      <c r="L228" s="2">
        <f>'Raw Data'!L228</f>
        <v>0.80138888888888893</v>
      </c>
      <c r="M228" t="s">
        <v>23</v>
      </c>
      <c r="N228">
        <f>VALUE(IF(AND(ISERR(FIND(".",'Raw Data'!N228)),LEN('Raw Data'!N228)=5), IF(YEAR('Raw Data'!N228)=2026,CONCATENATE(DAY('Raw Data'!N228),".",IF(LEN(MONTH('Raw Data'!N228))=2,MONTH('Raw Data'!N228),CONCATENATE("0",MONTH('Raw Data'!N228)))),CONCATENATE(MONTH('Raw Data'!N228),".",RIGHT(YEAR('Raw Data'!N228),2))),'Raw Data'!N228))</f>
        <v>624.33000000000004</v>
      </c>
      <c r="O228" s="6">
        <f t="shared" si="10"/>
        <v>4.761904761904761</v>
      </c>
      <c r="P228" s="6">
        <f t="shared" si="11"/>
        <v>31.216499999999996</v>
      </c>
      <c r="Q228">
        <f>VALUE(IF(AND(ISERR(FIND(".",'Raw Data'!Q228)),LEN('Raw Data'!Q228)=5), IF(YEAR('Raw Data'!Q228)=2026,CONCATENATE(DAY('Raw Data'!Q228),".",IF(LEN(MONTH('Raw Data'!Q228))=2,MONTH('Raw Data'!Q228),CONCATENATE(MONTH('Raw Data'!Q228)))),CONCATENATE(MONTH('Raw Data'!Q228),".",RIGHT(YEAR('Raw Data'!Q228),2))),'Raw Data'!Q228))</f>
        <v>4</v>
      </c>
    </row>
    <row r="229" spans="1:17">
      <c r="A229" t="s">
        <v>312</v>
      </c>
      <c r="B229" t="s">
        <v>25</v>
      </c>
      <c r="C229" t="s">
        <v>26</v>
      </c>
      <c r="D229" t="s">
        <v>20</v>
      </c>
      <c r="E229" t="s">
        <v>30</v>
      </c>
      <c r="F229" t="s">
        <v>28</v>
      </c>
      <c r="G229">
        <f>VALUE(IF(AND(ISERR(FIND(".",'Raw Data'!G229)),LEN('Raw Data'!G229)=5), IF(YEAR('Raw Data'!G229)=2026,CONCATENATE(DAY('Raw Data'!G229),".",IF(LEN(MONTH('Raw Data'!G229))=2,MONTH('Raw Data'!G229),CONCATENATE("0",MONTH('Raw Data'!G229)))),CONCATENATE(MONTH('Raw Data'!G229),".",RIGHT(YEAR('Raw Data'!G229),2))),'Raw Data'!G229))</f>
        <v>37.06</v>
      </c>
      <c r="H229">
        <f>'Raw Data'!H229</f>
        <v>4</v>
      </c>
      <c r="I229" s="6">
        <f t="shared" si="9"/>
        <v>7.4119999999999777</v>
      </c>
      <c r="J229" s="6">
        <f>'Raw Data'!J229</f>
        <v>155.65199999999999</v>
      </c>
      <c r="K229" s="1">
        <f>VALUE(IFERROR(VALUE('Raw Data'!K229),CONCATENATE(MID('Raw Data'!K229,3,2),".","0",LEFT('Raw Data'!K229,1),".", RIGHT('Raw Data'!K229,4))))</f>
        <v>43496</v>
      </c>
      <c r="L229" s="2">
        <f>'Raw Data'!L229</f>
        <v>0.68333333333333324</v>
      </c>
      <c r="M229" t="s">
        <v>23</v>
      </c>
      <c r="N229">
        <f>VALUE(IF(AND(ISERR(FIND(".",'Raw Data'!N229)),LEN('Raw Data'!N229)=5), IF(YEAR('Raw Data'!N229)=2026,CONCATENATE(DAY('Raw Data'!N229),".",IF(LEN(MONTH('Raw Data'!N229))=2,MONTH('Raw Data'!N229),CONCATENATE("0",MONTH('Raw Data'!N229)))),CONCATENATE(MONTH('Raw Data'!N229),".",RIGHT(YEAR('Raw Data'!N229),2))),'Raw Data'!N229))</f>
        <v>148.24</v>
      </c>
      <c r="O229" s="6">
        <f t="shared" si="10"/>
        <v>4.7619047619047477</v>
      </c>
      <c r="P229" s="6">
        <f t="shared" si="11"/>
        <v>7.4119999999999777</v>
      </c>
      <c r="Q229">
        <f>VALUE(IF(AND(ISERR(FIND(".",'Raw Data'!Q229)),LEN('Raw Data'!Q229)=5), IF(YEAR('Raw Data'!Q229)=2026,CONCATENATE(DAY('Raw Data'!Q229),".",IF(LEN(MONTH('Raw Data'!Q229))=2,MONTH('Raw Data'!Q229),CONCATENATE(MONTH('Raw Data'!Q229)))),CONCATENATE(MONTH('Raw Data'!Q229),".",RIGHT(YEAR('Raw Data'!Q229),2))),'Raw Data'!Q229))</f>
        <v>9.6999999999999993</v>
      </c>
    </row>
    <row r="230" spans="1:17">
      <c r="A230" t="s">
        <v>313</v>
      </c>
      <c r="B230" t="s">
        <v>34</v>
      </c>
      <c r="C230" t="s">
        <v>35</v>
      </c>
      <c r="D230" t="s">
        <v>20</v>
      </c>
      <c r="E230" t="s">
        <v>21</v>
      </c>
      <c r="F230" t="s">
        <v>28</v>
      </c>
      <c r="G230">
        <f>VALUE(IF(AND(ISERR(FIND(".",'Raw Data'!G230)),LEN('Raw Data'!G230)=5), IF(YEAR('Raw Data'!G230)=2026,CONCATENATE(DAY('Raw Data'!G230),".",IF(LEN(MONTH('Raw Data'!G230))=2,MONTH('Raw Data'!G230),CONCATENATE("0",MONTH('Raw Data'!G230)))),CONCATENATE(MONTH('Raw Data'!G230),".",RIGHT(YEAR('Raw Data'!G230),2))),'Raw Data'!G230))</f>
        <v>90.7</v>
      </c>
      <c r="H230">
        <f>'Raw Data'!H230</f>
        <v>6</v>
      </c>
      <c r="I230" s="6">
        <f t="shared" si="9"/>
        <v>27.209999999999923</v>
      </c>
      <c r="J230" s="6">
        <f>'Raw Data'!J230</f>
        <v>571.41</v>
      </c>
      <c r="K230" s="1">
        <f>VALUE(IFERROR(VALUE('Raw Data'!K230),CONCATENATE(MID('Raw Data'!K230,3,2),".","0",LEFT('Raw Data'!K230,1),".", RIGHT('Raw Data'!K230,4))))</f>
        <v>43522</v>
      </c>
      <c r="L230" s="2">
        <f>'Raw Data'!L230</f>
        <v>0.45277777777777778</v>
      </c>
      <c r="M230" t="s">
        <v>29</v>
      </c>
      <c r="N230">
        <f>VALUE(IF(AND(ISERR(FIND(".",'Raw Data'!N230)),LEN('Raw Data'!N230)=5), IF(YEAR('Raw Data'!N230)=2026,CONCATENATE(DAY('Raw Data'!N230),".",IF(LEN(MONTH('Raw Data'!N230))=2,MONTH('Raw Data'!N230),CONCATENATE("0",MONTH('Raw Data'!N230)))),CONCATENATE(MONTH('Raw Data'!N230),".",RIGHT(YEAR('Raw Data'!N230),2))),'Raw Data'!N230))</f>
        <v>544.20000000000005</v>
      </c>
      <c r="O230" s="6">
        <f t="shared" si="10"/>
        <v>4.7619047619047485</v>
      </c>
      <c r="P230" s="6">
        <f t="shared" si="11"/>
        <v>27.209999999999923</v>
      </c>
      <c r="Q230">
        <f>VALUE(IF(AND(ISERR(FIND(".",'Raw Data'!Q230)),LEN('Raw Data'!Q230)=5), IF(YEAR('Raw Data'!Q230)=2026,CONCATENATE(DAY('Raw Data'!Q230),".",IF(LEN(MONTH('Raw Data'!Q230))=2,MONTH('Raw Data'!Q230),CONCATENATE(MONTH('Raw Data'!Q230)))),CONCATENATE(MONTH('Raw Data'!Q230),".",RIGHT(YEAR('Raw Data'!Q230),2))),'Raw Data'!Q230))</f>
        <v>5.3</v>
      </c>
    </row>
    <row r="231" spans="1:17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f>VALUE(IF(AND(ISERR(FIND(".",'Raw Data'!G231)),LEN('Raw Data'!G231)=5), IF(YEAR('Raw Data'!G231)=2026,CONCATENATE(DAY('Raw Data'!G231),".",IF(LEN(MONTH('Raw Data'!G231))=2,MONTH('Raw Data'!G231),CONCATENATE("0",MONTH('Raw Data'!G231)))),CONCATENATE(MONTH('Raw Data'!G231),".",RIGHT(YEAR('Raw Data'!G231),2))),'Raw Data'!G231))</f>
        <v>63.42</v>
      </c>
      <c r="H231">
        <f>'Raw Data'!H231</f>
        <v>8</v>
      </c>
      <c r="I231" s="6">
        <f t="shared" si="9"/>
        <v>25.367999999999938</v>
      </c>
      <c r="J231" s="6">
        <f>'Raw Data'!J231</f>
        <v>532.72799999999995</v>
      </c>
      <c r="K231" s="1">
        <f>VALUE(IFERROR(VALUE('Raw Data'!K231),CONCATENATE(MID('Raw Data'!K231,3,2),".","0",LEFT('Raw Data'!K231,1),".", RIGHT('Raw Data'!K231,4))))</f>
        <v>43772</v>
      </c>
      <c r="L231" s="2">
        <f>'Raw Data'!L231</f>
        <v>0.53819444444444442</v>
      </c>
      <c r="M231" t="s">
        <v>23</v>
      </c>
      <c r="N231">
        <f>VALUE(IF(AND(ISERR(FIND(".",'Raw Data'!N231)),LEN('Raw Data'!N231)=5), IF(YEAR('Raw Data'!N231)=2026,CONCATENATE(DAY('Raw Data'!N231),".",IF(LEN(MONTH('Raw Data'!N231))=2,MONTH('Raw Data'!N231),CONCATENATE("0",MONTH('Raw Data'!N231)))),CONCATENATE(MONTH('Raw Data'!N231),".",RIGHT(YEAR('Raw Data'!N231),2))),'Raw Data'!N231))</f>
        <v>507.36</v>
      </c>
      <c r="O231" s="6">
        <f t="shared" si="10"/>
        <v>4.7619047619047503</v>
      </c>
      <c r="P231" s="6">
        <f t="shared" si="11"/>
        <v>25.367999999999938</v>
      </c>
      <c r="Q231">
        <f>VALUE(IF(AND(ISERR(FIND(".",'Raw Data'!Q231)),LEN('Raw Data'!Q231)=5), IF(YEAR('Raw Data'!Q231)=2026,CONCATENATE(DAY('Raw Data'!Q231),".",IF(LEN(MONTH('Raw Data'!Q231))=2,MONTH('Raw Data'!Q231),CONCATENATE(MONTH('Raw Data'!Q231)))),CONCATENATE(MONTH('Raw Data'!Q231),".",RIGHT(YEAR('Raw Data'!Q231),2))),'Raw Data'!Q231))</f>
        <v>7.4</v>
      </c>
    </row>
    <row r="232" spans="1:17">
      <c r="A232" t="s">
        <v>316</v>
      </c>
      <c r="B232" t="s">
        <v>34</v>
      </c>
      <c r="C232" t="s">
        <v>35</v>
      </c>
      <c r="D232" t="s">
        <v>27</v>
      </c>
      <c r="E232" t="s">
        <v>21</v>
      </c>
      <c r="F232" t="s">
        <v>43</v>
      </c>
      <c r="G232">
        <f>VALUE(IF(AND(ISERR(FIND(".",'Raw Data'!G232)),LEN('Raw Data'!G232)=5), IF(YEAR('Raw Data'!G232)=2026,CONCATENATE(DAY('Raw Data'!G232),".",IF(LEN(MONTH('Raw Data'!G232))=2,MONTH('Raw Data'!G232),CONCATENATE("0",MONTH('Raw Data'!G232)))),CONCATENATE(MONTH('Raw Data'!G232),".",RIGHT(YEAR('Raw Data'!G232),2))),'Raw Data'!G232))</f>
        <v>81.37</v>
      </c>
      <c r="H232">
        <f>'Raw Data'!H232</f>
        <v>2</v>
      </c>
      <c r="I232" s="6">
        <f t="shared" si="9"/>
        <v>8.1370000000000005</v>
      </c>
      <c r="J232" s="6">
        <f>'Raw Data'!J232</f>
        <v>170.87700000000001</v>
      </c>
      <c r="K232" s="1">
        <f>VALUE(IFERROR(VALUE('Raw Data'!K232),CONCATENATE(MID('Raw Data'!K232,3,2),".","0",LEFT('Raw Data'!K232,1),".", RIGHT('Raw Data'!K232,4))))</f>
        <v>43491</v>
      </c>
      <c r="L232" s="2">
        <f>'Raw Data'!L232</f>
        <v>0.81111111111111101</v>
      </c>
      <c r="M232" t="s">
        <v>29</v>
      </c>
      <c r="N232">
        <f>VALUE(IF(AND(ISERR(FIND(".",'Raw Data'!N232)),LEN('Raw Data'!N232)=5), IF(YEAR('Raw Data'!N232)=2026,CONCATENATE(DAY('Raw Data'!N232),".",IF(LEN(MONTH('Raw Data'!N232))=2,MONTH('Raw Data'!N232),CONCATENATE("0",MONTH('Raw Data'!N232)))),CONCATENATE(MONTH('Raw Data'!N232),".",RIGHT(YEAR('Raw Data'!N232),2))),'Raw Data'!N232))</f>
        <v>162.74</v>
      </c>
      <c r="O232" s="6">
        <f t="shared" si="10"/>
        <v>4.7619047619047619</v>
      </c>
      <c r="P232" s="6">
        <f t="shared" si="11"/>
        <v>8.1370000000000005</v>
      </c>
      <c r="Q232">
        <f>VALUE(IF(AND(ISERR(FIND(".",'Raw Data'!Q232)),LEN('Raw Data'!Q232)=5), IF(YEAR('Raw Data'!Q232)=2026,CONCATENATE(DAY('Raw Data'!Q232),".",IF(LEN(MONTH('Raw Data'!Q232))=2,MONTH('Raw Data'!Q232),CONCATENATE(MONTH('Raw Data'!Q232)))),CONCATENATE(MONTH('Raw Data'!Q232),".",RIGHT(YEAR('Raw Data'!Q232),2))),'Raw Data'!Q232))</f>
        <v>6.5</v>
      </c>
    </row>
    <row r="233" spans="1:17">
      <c r="A233" t="s">
        <v>317</v>
      </c>
      <c r="B233" t="s">
        <v>34</v>
      </c>
      <c r="C233" t="s">
        <v>35</v>
      </c>
      <c r="D233" t="s">
        <v>20</v>
      </c>
      <c r="E233" t="s">
        <v>21</v>
      </c>
      <c r="F233" t="s">
        <v>28</v>
      </c>
      <c r="G233">
        <f>VALUE(IF(AND(ISERR(FIND(".",'Raw Data'!G233)),LEN('Raw Data'!G233)=5), IF(YEAR('Raw Data'!G233)=2026,CONCATENATE(DAY('Raw Data'!G233),".",IF(LEN(MONTH('Raw Data'!G233))=2,MONTH('Raw Data'!G233),CONCATENATE("0",MONTH('Raw Data'!G233)))),CONCATENATE(MONTH('Raw Data'!G233),".",RIGHT(YEAR('Raw Data'!G233),2))),'Raw Data'!G233))</f>
        <v>10.59</v>
      </c>
      <c r="H233">
        <f>'Raw Data'!H233</f>
        <v>3</v>
      </c>
      <c r="I233" s="6">
        <f t="shared" si="9"/>
        <v>1.5884999999999998</v>
      </c>
      <c r="J233" s="6">
        <f>'Raw Data'!J233</f>
        <v>33.358499999999999</v>
      </c>
      <c r="K233" s="1">
        <f>VALUE(IFERROR(VALUE('Raw Data'!K233),CONCATENATE(MID('Raw Data'!K233,3,2),".","0",LEFT('Raw Data'!K233,1),".", RIGHT('Raw Data'!K233,4))))</f>
        <v>43802</v>
      </c>
      <c r="L233" s="2">
        <f>'Raw Data'!L233</f>
        <v>0.57777777777777783</v>
      </c>
      <c r="M233" t="s">
        <v>33</v>
      </c>
      <c r="N233">
        <f>VALUE(IF(AND(ISERR(FIND(".",'Raw Data'!N233)),LEN('Raw Data'!N233)=5), IF(YEAR('Raw Data'!N233)=2026,CONCATENATE(DAY('Raw Data'!N233),".",IF(LEN(MONTH('Raw Data'!N233))=2,MONTH('Raw Data'!N233),CONCATENATE("0",MONTH('Raw Data'!N233)))),CONCATENATE(MONTH('Raw Data'!N233),".",RIGHT(YEAR('Raw Data'!N233),2))),'Raw Data'!N233))</f>
        <v>31.77</v>
      </c>
      <c r="O233" s="6">
        <f t="shared" si="10"/>
        <v>4.7619047619047619</v>
      </c>
      <c r="P233" s="6">
        <f t="shared" si="11"/>
        <v>1.5884999999999998</v>
      </c>
      <c r="Q233">
        <f>VALUE(IF(AND(ISERR(FIND(".",'Raw Data'!Q233)),LEN('Raw Data'!Q233)=5), IF(YEAR('Raw Data'!Q233)=2026,CONCATENATE(DAY('Raw Data'!Q233),".",IF(LEN(MONTH('Raw Data'!Q233))=2,MONTH('Raw Data'!Q233),CONCATENATE(MONTH('Raw Data'!Q233)))),CONCATENATE(MONTH('Raw Data'!Q233),".",RIGHT(YEAR('Raw Data'!Q233),2))),'Raw Data'!Q233))</f>
        <v>8.6999999999999993</v>
      </c>
    </row>
    <row r="234" spans="1:17">
      <c r="A234" t="s">
        <v>318</v>
      </c>
      <c r="B234" t="s">
        <v>34</v>
      </c>
      <c r="C234" t="s">
        <v>35</v>
      </c>
      <c r="D234" t="s">
        <v>27</v>
      </c>
      <c r="E234" t="s">
        <v>21</v>
      </c>
      <c r="F234" t="s">
        <v>22</v>
      </c>
      <c r="G234">
        <f>VALUE(IF(AND(ISERR(FIND(".",'Raw Data'!G234)),LEN('Raw Data'!G234)=5), IF(YEAR('Raw Data'!G234)=2026,CONCATENATE(DAY('Raw Data'!G234),".",IF(LEN(MONTH('Raw Data'!G234))=2,MONTH('Raw Data'!G234),CONCATENATE("0",MONTH('Raw Data'!G234)))),CONCATENATE(MONTH('Raw Data'!G234),".",RIGHT(YEAR('Raw Data'!G234),2))),'Raw Data'!G234))</f>
        <v>84.09</v>
      </c>
      <c r="H234">
        <f>'Raw Data'!H234</f>
        <v>9</v>
      </c>
      <c r="I234" s="6">
        <f t="shared" si="9"/>
        <v>37.840499999999906</v>
      </c>
      <c r="J234" s="6">
        <f>'Raw Data'!J234</f>
        <v>794.65049999999997</v>
      </c>
      <c r="K234" s="1">
        <f>VALUE(IFERROR(VALUE('Raw Data'!K234),CONCATENATE(MID('Raw Data'!K234,3,2),".","0",LEFT('Raw Data'!K234,1),".", RIGHT('Raw Data'!K234,4))))</f>
        <v>43771</v>
      </c>
      <c r="L234" s="2">
        <f>'Raw Data'!L234</f>
        <v>0.45416666666666666</v>
      </c>
      <c r="M234" t="s">
        <v>29</v>
      </c>
      <c r="N234">
        <f>VALUE(IF(AND(ISERR(FIND(".",'Raw Data'!N234)),LEN('Raw Data'!N234)=5), IF(YEAR('Raw Data'!N234)=2026,CONCATENATE(DAY('Raw Data'!N234),".",IF(LEN(MONTH('Raw Data'!N234))=2,MONTH('Raw Data'!N234),CONCATENATE("0",MONTH('Raw Data'!N234)))),CONCATENATE(MONTH('Raw Data'!N234),".",RIGHT(YEAR('Raw Data'!N234),2))),'Raw Data'!N234))</f>
        <v>756.81</v>
      </c>
      <c r="O234" s="6">
        <f t="shared" si="10"/>
        <v>4.7619047619047645</v>
      </c>
      <c r="P234" s="6">
        <f t="shared" si="11"/>
        <v>37.84050000000002</v>
      </c>
      <c r="Q234">
        <f>VALUE(IF(AND(ISERR(FIND(".",'Raw Data'!Q234)),LEN('Raw Data'!Q234)=5), IF(YEAR('Raw Data'!Q234)=2026,CONCATENATE(DAY('Raw Data'!Q234),".",IF(LEN(MONTH('Raw Data'!Q234))=2,MONTH('Raw Data'!Q234),CONCATENATE(MONTH('Raw Data'!Q234)))),CONCATENATE(MONTH('Raw Data'!Q234),".",RIGHT(YEAR('Raw Data'!Q234),2))),'Raw Data'!Q234))</f>
        <v>8</v>
      </c>
    </row>
    <row r="235" spans="1:17">
      <c r="A235" t="s">
        <v>319</v>
      </c>
      <c r="B235" t="s">
        <v>34</v>
      </c>
      <c r="C235" t="s">
        <v>35</v>
      </c>
      <c r="D235" t="s">
        <v>20</v>
      </c>
      <c r="E235" t="s">
        <v>30</v>
      </c>
      <c r="F235" t="s">
        <v>43</v>
      </c>
      <c r="G235">
        <f>VALUE(IF(AND(ISERR(FIND(".",'Raw Data'!G235)),LEN('Raw Data'!G235)=5), IF(YEAR('Raw Data'!G235)=2026,CONCATENATE(DAY('Raw Data'!G235),".",IF(LEN(MONTH('Raw Data'!G235))=2,MONTH('Raw Data'!G235),CONCATENATE("0",MONTH('Raw Data'!G235)))),CONCATENATE(MONTH('Raw Data'!G235),".",RIGHT(YEAR('Raw Data'!G235),2))),'Raw Data'!G235))</f>
        <v>73.819999999999993</v>
      </c>
      <c r="H235">
        <f>'Raw Data'!H235</f>
        <v>4</v>
      </c>
      <c r="I235" s="6">
        <f t="shared" si="9"/>
        <v>14.76400000000001</v>
      </c>
      <c r="J235" s="6">
        <f>'Raw Data'!J235</f>
        <v>310.04399999999998</v>
      </c>
      <c r="K235" s="1">
        <f>VALUE(IFERROR(VALUE('Raw Data'!K235),CONCATENATE(MID('Raw Data'!K235,3,2),".","0",LEFT('Raw Data'!K235,1),".", RIGHT('Raw Data'!K235,4))))</f>
        <v>43517</v>
      </c>
      <c r="L235" s="2">
        <f>'Raw Data'!L235</f>
        <v>0.7715277777777777</v>
      </c>
      <c r="M235" t="s">
        <v>29</v>
      </c>
      <c r="N235">
        <f>VALUE(IF(AND(ISERR(FIND(".",'Raw Data'!N235)),LEN('Raw Data'!N235)=5), IF(YEAR('Raw Data'!N235)=2026,CONCATENATE(DAY('Raw Data'!N235),".",IF(LEN(MONTH('Raw Data'!N235))=2,MONTH('Raw Data'!N235),CONCATENATE("0",MONTH('Raw Data'!N235)))),CONCATENATE(MONTH('Raw Data'!N235),".",RIGHT(YEAR('Raw Data'!N235),2))),'Raw Data'!N235))</f>
        <v>295.27999999999997</v>
      </c>
      <c r="O235" s="6">
        <f t="shared" si="10"/>
        <v>4.7619047619047654</v>
      </c>
      <c r="P235" s="6">
        <f t="shared" si="11"/>
        <v>14.76400000000001</v>
      </c>
      <c r="Q235">
        <f>VALUE(IF(AND(ISERR(FIND(".",'Raw Data'!Q235)),LEN('Raw Data'!Q235)=5), IF(YEAR('Raw Data'!Q235)=2026,CONCATENATE(DAY('Raw Data'!Q235),".",IF(LEN(MONTH('Raw Data'!Q235))=2,MONTH('Raw Data'!Q235),CONCATENATE(MONTH('Raw Data'!Q235)))),CONCATENATE(MONTH('Raw Data'!Q235),".",RIGHT(YEAR('Raw Data'!Q235),2))),'Raw Data'!Q235))</f>
        <v>6.7</v>
      </c>
    </row>
    <row r="236" spans="1:17">
      <c r="A236" t="s">
        <v>320</v>
      </c>
      <c r="B236" t="s">
        <v>18</v>
      </c>
      <c r="C236" t="s">
        <v>19</v>
      </c>
      <c r="D236" t="s">
        <v>20</v>
      </c>
      <c r="E236" t="s">
        <v>30</v>
      </c>
      <c r="F236" t="s">
        <v>22</v>
      </c>
      <c r="G236">
        <f>VALUE(IF(AND(ISERR(FIND(".",'Raw Data'!G236)),LEN('Raw Data'!G236)=5), IF(YEAR('Raw Data'!G236)=2026,CONCATENATE(DAY('Raw Data'!G236),".",IF(LEN(MONTH('Raw Data'!G236))=2,MONTH('Raw Data'!G236),CONCATENATE("0",MONTH('Raw Data'!G236)))),CONCATENATE(MONTH('Raw Data'!G236),".",RIGHT(YEAR('Raw Data'!G236),2))),'Raw Data'!G236))</f>
        <v>51.94</v>
      </c>
      <c r="H236">
        <f>'Raw Data'!H236</f>
        <v>10</v>
      </c>
      <c r="I236" s="6">
        <f t="shared" si="9"/>
        <v>25.970000000000027</v>
      </c>
      <c r="J236" s="6">
        <f>'Raw Data'!J236</f>
        <v>545.37</v>
      </c>
      <c r="K236" s="1">
        <f>VALUE(IFERROR(VALUE('Raw Data'!K236),CONCATENATE(MID('Raw Data'!K236,3,2),".","0",LEFT('Raw Data'!K236,1),".", RIGHT('Raw Data'!K236,4))))</f>
        <v>43711</v>
      </c>
      <c r="L236" s="2">
        <f>'Raw Data'!L236</f>
        <v>0.76666666666666661</v>
      </c>
      <c r="M236" t="s">
        <v>23</v>
      </c>
      <c r="N236">
        <f>VALUE(IF(AND(ISERR(FIND(".",'Raw Data'!N236)),LEN('Raw Data'!N236)=5), IF(YEAR('Raw Data'!N236)=2026,CONCATENATE(DAY('Raw Data'!N236),".",IF(LEN(MONTH('Raw Data'!N236))=2,MONTH('Raw Data'!N236),CONCATENATE("0",MONTH('Raw Data'!N236)))),CONCATENATE(MONTH('Raw Data'!N236),".",RIGHT(YEAR('Raw Data'!N236),2))),'Raw Data'!N236))</f>
        <v>519.4</v>
      </c>
      <c r="O236" s="6">
        <f t="shared" si="10"/>
        <v>4.7619047619047672</v>
      </c>
      <c r="P236" s="6">
        <f t="shared" si="11"/>
        <v>25.970000000000027</v>
      </c>
      <c r="Q236">
        <f>VALUE(IF(AND(ISERR(FIND(".",'Raw Data'!Q236)),LEN('Raw Data'!Q236)=5), IF(YEAR('Raw Data'!Q236)=2026,CONCATENATE(DAY('Raw Data'!Q236),".",IF(LEN(MONTH('Raw Data'!Q236))=2,MONTH('Raw Data'!Q236),CONCATENATE(MONTH('Raw Data'!Q236)))),CONCATENATE(MONTH('Raw Data'!Q236),".",RIGHT(YEAR('Raw Data'!Q236),2))),'Raw Data'!Q236))</f>
        <v>6.5</v>
      </c>
    </row>
    <row r="237" spans="1:17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38</v>
      </c>
      <c r="G237">
        <f>VALUE(IF(AND(ISERR(FIND(".",'Raw Data'!G237)),LEN('Raw Data'!G237)=5), IF(YEAR('Raw Data'!G237)=2026,CONCATENATE(DAY('Raw Data'!G237),".",IF(LEN(MONTH('Raw Data'!G237))=2,MONTH('Raw Data'!G237),CONCATENATE("0",MONTH('Raw Data'!G237)))),CONCATENATE(MONTH('Raw Data'!G237),".",RIGHT(YEAR('Raw Data'!G237),2))),'Raw Data'!G237))</f>
        <v>93.14</v>
      </c>
      <c r="H237">
        <f>'Raw Data'!H237</f>
        <v>2</v>
      </c>
      <c r="I237" s="6">
        <f t="shared" si="9"/>
        <v>9.313999999999993</v>
      </c>
      <c r="J237" s="6">
        <f>'Raw Data'!J237</f>
        <v>195.59399999999999</v>
      </c>
      <c r="K237" s="1">
        <f>VALUE(IFERROR(VALUE('Raw Data'!K237),CONCATENATE(MID('Raw Data'!K237,3,2),".","0",LEFT('Raw Data'!K237,1),".", RIGHT('Raw Data'!K237,4))))</f>
        <v>43485</v>
      </c>
      <c r="L237" s="2">
        <f>'Raw Data'!L237</f>
        <v>0.75624999999999998</v>
      </c>
      <c r="M237" t="s">
        <v>23</v>
      </c>
      <c r="N237">
        <f>VALUE(IF(AND(ISERR(FIND(".",'Raw Data'!N237)),LEN('Raw Data'!N237)=5), IF(YEAR('Raw Data'!N237)=2026,CONCATENATE(DAY('Raw Data'!N237),".",IF(LEN(MONTH('Raw Data'!N237))=2,MONTH('Raw Data'!N237),CONCATENATE("0",MONTH('Raw Data'!N237)))),CONCATENATE(MONTH('Raw Data'!N237),".",RIGHT(YEAR('Raw Data'!N237),2))),'Raw Data'!N237))</f>
        <v>186.28</v>
      </c>
      <c r="O237" s="6">
        <f t="shared" si="10"/>
        <v>4.7619047619047583</v>
      </c>
      <c r="P237" s="6">
        <f t="shared" si="11"/>
        <v>9.313999999999993</v>
      </c>
      <c r="Q237">
        <f>VALUE(IF(AND(ISERR(FIND(".",'Raw Data'!Q237)),LEN('Raw Data'!Q237)=5), IF(YEAR('Raw Data'!Q237)=2026,CONCATENATE(DAY('Raw Data'!Q237),".",IF(LEN(MONTH('Raw Data'!Q237))=2,MONTH('Raw Data'!Q237),CONCATENATE(MONTH('Raw Data'!Q237)))),CONCATENATE(MONTH('Raw Data'!Q237),".",RIGHT(YEAR('Raw Data'!Q237),2))),'Raw Data'!Q237))</f>
        <v>4.0999999999999996</v>
      </c>
    </row>
    <row r="238" spans="1:17">
      <c r="A238" t="s">
        <v>322</v>
      </c>
      <c r="B238" t="s">
        <v>25</v>
      </c>
      <c r="C238" t="s">
        <v>26</v>
      </c>
      <c r="D238" t="s">
        <v>27</v>
      </c>
      <c r="E238" t="s">
        <v>30</v>
      </c>
      <c r="F238" t="s">
        <v>22</v>
      </c>
      <c r="G238">
        <f>VALUE(IF(AND(ISERR(FIND(".",'Raw Data'!G238)),LEN('Raw Data'!G238)=5), IF(YEAR('Raw Data'!G238)=2026,CONCATENATE(DAY('Raw Data'!G238),".",IF(LEN(MONTH('Raw Data'!G238))=2,MONTH('Raw Data'!G238),CONCATENATE("0",MONTH('Raw Data'!G238)))),CONCATENATE(MONTH('Raw Data'!G238),".",RIGHT(YEAR('Raw Data'!G238),2))),'Raw Data'!G238))</f>
        <v>17.41</v>
      </c>
      <c r="H238">
        <f>'Raw Data'!H238</f>
        <v>5</v>
      </c>
      <c r="I238" s="6">
        <f t="shared" si="9"/>
        <v>4.3525000000000063</v>
      </c>
      <c r="J238" s="6">
        <f>'Raw Data'!J238</f>
        <v>91.402500000000003</v>
      </c>
      <c r="K238" s="1">
        <f>VALUE(IFERROR(VALUE('Raw Data'!K238),CONCATENATE(MID('Raw Data'!K238,3,2),".","0",LEFT('Raw Data'!K238,1),".", RIGHT('Raw Data'!K238,4))))</f>
        <v>43493</v>
      </c>
      <c r="L238" s="2">
        <f>'Raw Data'!L238</f>
        <v>0.63611111111111118</v>
      </c>
      <c r="M238" t="s">
        <v>33</v>
      </c>
      <c r="N238">
        <f>VALUE(IF(AND(ISERR(FIND(".",'Raw Data'!N238)),LEN('Raw Data'!N238)=5), IF(YEAR('Raw Data'!N238)=2026,CONCATENATE(DAY('Raw Data'!N238),".",IF(LEN(MONTH('Raw Data'!N238))=2,MONTH('Raw Data'!N238),CONCATENATE("0",MONTH('Raw Data'!N238)))),CONCATENATE(MONTH('Raw Data'!N238),".",RIGHT(YEAR('Raw Data'!N238),2))),'Raw Data'!N238))</f>
        <v>87.05</v>
      </c>
      <c r="O238" s="6">
        <f t="shared" si="10"/>
        <v>4.761904761904769</v>
      </c>
      <c r="P238" s="6">
        <f t="shared" si="11"/>
        <v>4.3525000000000063</v>
      </c>
      <c r="Q238">
        <f>VALUE(IF(AND(ISERR(FIND(".",'Raw Data'!Q238)),LEN('Raw Data'!Q238)=5), IF(YEAR('Raw Data'!Q238)=2026,CONCATENATE(DAY('Raw Data'!Q238),".",IF(LEN(MONTH('Raw Data'!Q238))=2,MONTH('Raw Data'!Q238),CONCATENATE(MONTH('Raw Data'!Q238)))),CONCATENATE(MONTH('Raw Data'!Q238),".",RIGHT(YEAR('Raw Data'!Q238),2))),'Raw Data'!Q238))</f>
        <v>4.9000000000000004</v>
      </c>
    </row>
    <row r="239" spans="1:17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43</v>
      </c>
      <c r="G239">
        <f>VALUE(IF(AND(ISERR(FIND(".",'Raw Data'!G239)),LEN('Raw Data'!G239)=5), IF(YEAR('Raw Data'!G239)=2026,CONCATENATE(DAY('Raw Data'!G239),".",IF(LEN(MONTH('Raw Data'!G239))=2,MONTH('Raw Data'!G239),CONCATENATE("0",MONTH('Raw Data'!G239)))),CONCATENATE(MONTH('Raw Data'!G239),".",RIGHT(YEAR('Raw Data'!G239),2))),'Raw Data'!G239))</f>
        <v>44.22</v>
      </c>
      <c r="H239">
        <f>'Raw Data'!H239</f>
        <v>5</v>
      </c>
      <c r="I239" s="6">
        <f t="shared" si="9"/>
        <v>11.055000000000007</v>
      </c>
      <c r="J239" s="6">
        <f>'Raw Data'!J239</f>
        <v>232.155</v>
      </c>
      <c r="K239" s="1">
        <f>VALUE(IFERROR(VALUE('Raw Data'!K239),CONCATENATE(MID('Raw Data'!K239,3,2),".","0",LEFT('Raw Data'!K239,1),".", RIGHT('Raw Data'!K239,4))))</f>
        <v>43588</v>
      </c>
      <c r="L239" s="2">
        <f>'Raw Data'!L239</f>
        <v>0.71319444444444446</v>
      </c>
      <c r="M239" t="s">
        <v>33</v>
      </c>
      <c r="N239">
        <f>VALUE(IF(AND(ISERR(FIND(".",'Raw Data'!N239)),LEN('Raw Data'!N239)=5), IF(YEAR('Raw Data'!N239)=2026,CONCATENATE(DAY('Raw Data'!N239),".",IF(LEN(MONTH('Raw Data'!N239))=2,MONTH('Raw Data'!N239),CONCATENATE("0",MONTH('Raw Data'!N239)))),CONCATENATE(MONTH('Raw Data'!N239),".",RIGHT(YEAR('Raw Data'!N239),2))),'Raw Data'!N239))</f>
        <v>221.1</v>
      </c>
      <c r="O239" s="6">
        <f t="shared" si="10"/>
        <v>4.7619047619047654</v>
      </c>
      <c r="P239" s="6">
        <f t="shared" si="11"/>
        <v>11.055000000000007</v>
      </c>
      <c r="Q239">
        <f>VALUE(IF(AND(ISERR(FIND(".",'Raw Data'!Q239)),LEN('Raw Data'!Q239)=5), IF(YEAR('Raw Data'!Q239)=2026,CONCATENATE(DAY('Raw Data'!Q239),".",IF(LEN(MONTH('Raw Data'!Q239))=2,MONTH('Raw Data'!Q239),CONCATENATE(MONTH('Raw Data'!Q239)))),CONCATENATE(MONTH('Raw Data'!Q239),".",RIGHT(YEAR('Raw Data'!Q239),2))),'Raw Data'!Q239))</f>
        <v>8.6</v>
      </c>
    </row>
    <row r="240" spans="1:17">
      <c r="A240" t="s">
        <v>324</v>
      </c>
      <c r="B240" t="s">
        <v>34</v>
      </c>
      <c r="C240" t="s">
        <v>35</v>
      </c>
      <c r="D240" t="s">
        <v>20</v>
      </c>
      <c r="E240" t="s">
        <v>21</v>
      </c>
      <c r="F240" t="s">
        <v>28</v>
      </c>
      <c r="G240">
        <f>VALUE(IF(AND(ISERR(FIND(".",'Raw Data'!G240)),LEN('Raw Data'!G240)=5), IF(YEAR('Raw Data'!G240)=2026,CONCATENATE(DAY('Raw Data'!G240),".",IF(LEN(MONTH('Raw Data'!G240))=2,MONTH('Raw Data'!G240),CONCATENATE("0",MONTH('Raw Data'!G240)))),CONCATENATE(MONTH('Raw Data'!G240),".",RIGHT(YEAR('Raw Data'!G240),2))),'Raw Data'!G240))</f>
        <v>13.22</v>
      </c>
      <c r="H240">
        <f>'Raw Data'!H240</f>
        <v>5</v>
      </c>
      <c r="I240" s="6">
        <f t="shared" si="9"/>
        <v>3.3049999999999926</v>
      </c>
      <c r="J240" s="6">
        <f>'Raw Data'!J240</f>
        <v>69.405000000000001</v>
      </c>
      <c r="K240" s="1">
        <f>VALUE(IFERROR(VALUE('Raw Data'!K240),CONCATENATE(MID('Raw Data'!K240,3,2),".","0",LEFT('Raw Data'!K240,1),".", RIGHT('Raw Data'!K240,4))))</f>
        <v>43499</v>
      </c>
      <c r="L240" s="2">
        <f>'Raw Data'!L240</f>
        <v>0.80972222222222223</v>
      </c>
      <c r="M240" t="s">
        <v>29</v>
      </c>
      <c r="N240">
        <f>VALUE(IF(AND(ISERR(FIND(".",'Raw Data'!N240)),LEN('Raw Data'!N240)=5), IF(YEAR('Raw Data'!N240)=2026,CONCATENATE(DAY('Raw Data'!N240),".",IF(LEN(MONTH('Raw Data'!N240))=2,MONTH('Raw Data'!N240),CONCATENATE("0",MONTH('Raw Data'!N240)))),CONCATENATE(MONTH('Raw Data'!N240),".",RIGHT(YEAR('Raw Data'!N240),2))),'Raw Data'!N240))</f>
        <v>66.099999999999994</v>
      </c>
      <c r="O240" s="6">
        <f t="shared" si="10"/>
        <v>4.7619047619047716</v>
      </c>
      <c r="P240" s="6">
        <f t="shared" si="11"/>
        <v>3.3050000000000068</v>
      </c>
      <c r="Q240">
        <f>VALUE(IF(AND(ISERR(FIND(".",'Raw Data'!Q240)),LEN('Raw Data'!Q240)=5), IF(YEAR('Raw Data'!Q240)=2026,CONCATENATE(DAY('Raw Data'!Q240),".",IF(LEN(MONTH('Raw Data'!Q240))=2,MONTH('Raw Data'!Q240),CONCATENATE(MONTH('Raw Data'!Q240)))),CONCATENATE(MONTH('Raw Data'!Q240),".",RIGHT(YEAR('Raw Data'!Q240),2))),'Raw Data'!Q240))</f>
        <v>4.3</v>
      </c>
    </row>
    <row r="241" spans="1:17">
      <c r="A241" t="s">
        <v>325</v>
      </c>
      <c r="B241" t="s">
        <v>18</v>
      </c>
      <c r="C241" t="s">
        <v>19</v>
      </c>
      <c r="D241" t="s">
        <v>27</v>
      </c>
      <c r="E241" t="s">
        <v>30</v>
      </c>
      <c r="F241" t="s">
        <v>43</v>
      </c>
      <c r="G241">
        <f>VALUE(IF(AND(ISERR(FIND(".",'Raw Data'!G241)),LEN('Raw Data'!G241)=5), IF(YEAR('Raw Data'!G241)=2026,CONCATENATE(DAY('Raw Data'!G241),".",IF(LEN(MONTH('Raw Data'!G241))=2,MONTH('Raw Data'!G241),CONCATENATE("0",MONTH('Raw Data'!G241)))),CONCATENATE(MONTH('Raw Data'!G241),".",RIGHT(YEAR('Raw Data'!G241),2))),'Raw Data'!G241))</f>
        <v>89.69</v>
      </c>
      <c r="H241">
        <f>'Raw Data'!H241</f>
        <v>1</v>
      </c>
      <c r="I241" s="6">
        <f t="shared" si="9"/>
        <v>4.484499999999997</v>
      </c>
      <c r="J241" s="6">
        <f>'Raw Data'!J241</f>
        <v>94.174499999999995</v>
      </c>
      <c r="K241" s="1">
        <f>VALUE(IFERROR(VALUE('Raw Data'!K241),CONCATENATE(MID('Raw Data'!K241,3,2),".","0",LEFT('Raw Data'!K241,1),".", RIGHT('Raw Data'!K241,4))))</f>
        <v>43770</v>
      </c>
      <c r="L241" s="2">
        <f>'Raw Data'!L241</f>
        <v>0.47222222222222227</v>
      </c>
      <c r="M241" t="s">
        <v>23</v>
      </c>
      <c r="N241">
        <f>VALUE(IF(AND(ISERR(FIND(".",'Raw Data'!N241)),LEN('Raw Data'!N241)=5), IF(YEAR('Raw Data'!N241)=2026,CONCATENATE(DAY('Raw Data'!N241),".",IF(LEN(MONTH('Raw Data'!N241))=2,MONTH('Raw Data'!N241),CONCATENATE("0",MONTH('Raw Data'!N241)))),CONCATENATE(MONTH('Raw Data'!N241),".",RIGHT(YEAR('Raw Data'!N241),2))),'Raw Data'!N241))</f>
        <v>89.69</v>
      </c>
      <c r="O241" s="6">
        <f t="shared" si="10"/>
        <v>4.7619047619047592</v>
      </c>
      <c r="P241" s="6">
        <f t="shared" si="11"/>
        <v>4.484499999999997</v>
      </c>
      <c r="Q241">
        <f>VALUE(IF(AND(ISERR(FIND(".",'Raw Data'!Q241)),LEN('Raw Data'!Q241)=5), IF(YEAR('Raw Data'!Q241)=2026,CONCATENATE(DAY('Raw Data'!Q241),".",IF(LEN(MONTH('Raw Data'!Q241))=2,MONTH('Raw Data'!Q241),CONCATENATE(MONTH('Raw Data'!Q241)))),CONCATENATE(MONTH('Raw Data'!Q241),".",RIGHT(YEAR('Raw Data'!Q241),2))),'Raw Data'!Q241))</f>
        <v>4.9000000000000004</v>
      </c>
    </row>
    <row r="242" spans="1:17">
      <c r="A242" t="s">
        <v>326</v>
      </c>
      <c r="B242" t="s">
        <v>18</v>
      </c>
      <c r="C242" t="s">
        <v>19</v>
      </c>
      <c r="D242" t="s">
        <v>27</v>
      </c>
      <c r="E242" t="s">
        <v>30</v>
      </c>
      <c r="F242" t="s">
        <v>40</v>
      </c>
      <c r="G242">
        <f>VALUE(IF(AND(ISERR(FIND(".",'Raw Data'!G242)),LEN('Raw Data'!G242)=5), IF(YEAR('Raw Data'!G242)=2026,CONCATENATE(DAY('Raw Data'!G242),".",IF(LEN(MONTH('Raw Data'!G242))=2,MONTH('Raw Data'!G242),CONCATENATE("0",MONTH('Raw Data'!G242)))),CONCATENATE(MONTH('Raw Data'!G242),".",RIGHT(YEAR('Raw Data'!G242),2))),'Raw Data'!G242))</f>
        <v>24.94</v>
      </c>
      <c r="H242">
        <f>'Raw Data'!H242</f>
        <v>9</v>
      </c>
      <c r="I242" s="6">
        <f t="shared" si="9"/>
        <v>11.222999999999985</v>
      </c>
      <c r="J242" s="6">
        <f>'Raw Data'!J242</f>
        <v>235.68299999999999</v>
      </c>
      <c r="K242" s="1">
        <f>VALUE(IFERROR(VALUE('Raw Data'!K242),CONCATENATE(MID('Raw Data'!K242,3,2),".","0",LEFT('Raw Data'!K242,1),".", RIGHT('Raw Data'!K242,4))))</f>
        <v>43770</v>
      </c>
      <c r="L242" s="2">
        <f>'Raw Data'!L242</f>
        <v>0.7006944444444444</v>
      </c>
      <c r="M242" t="s">
        <v>33</v>
      </c>
      <c r="N242">
        <f>VALUE(IF(AND(ISERR(FIND(".",'Raw Data'!N242)),LEN('Raw Data'!N242)=5), IF(YEAR('Raw Data'!N242)=2026,CONCATENATE(DAY('Raw Data'!N242),".",IF(LEN(MONTH('Raw Data'!N242))=2,MONTH('Raw Data'!N242),CONCATENATE("0",MONTH('Raw Data'!N242)))),CONCATENATE(MONTH('Raw Data'!N242),".",RIGHT(YEAR('Raw Data'!N242),2))),'Raw Data'!N242))</f>
        <v>224.46</v>
      </c>
      <c r="O242" s="6">
        <f t="shared" si="10"/>
        <v>4.7619047619047556</v>
      </c>
      <c r="P242" s="6">
        <f t="shared" si="11"/>
        <v>11.222999999999985</v>
      </c>
      <c r="Q242">
        <f>VALUE(IF(AND(ISERR(FIND(".",'Raw Data'!Q242)),LEN('Raw Data'!Q242)=5), IF(YEAR('Raw Data'!Q242)=2026,CONCATENATE(DAY('Raw Data'!Q242),".",IF(LEN(MONTH('Raw Data'!Q242))=2,MONTH('Raw Data'!Q242),CONCATENATE(MONTH('Raw Data'!Q242)))),CONCATENATE(MONTH('Raw Data'!Q242),".",RIGHT(YEAR('Raw Data'!Q242),2))),'Raw Data'!Q242))</f>
        <v>5.6</v>
      </c>
    </row>
    <row r="243" spans="1:17">
      <c r="A243" t="s">
        <v>327</v>
      </c>
      <c r="B243" t="s">
        <v>18</v>
      </c>
      <c r="C243" t="s">
        <v>19</v>
      </c>
      <c r="D243" t="s">
        <v>27</v>
      </c>
      <c r="E243" t="s">
        <v>30</v>
      </c>
      <c r="F243" t="s">
        <v>22</v>
      </c>
      <c r="G243">
        <f>VALUE(IF(AND(ISERR(FIND(".",'Raw Data'!G243)),LEN('Raw Data'!G243)=5), IF(YEAR('Raw Data'!G243)=2026,CONCATENATE(DAY('Raw Data'!G243),".",IF(LEN(MONTH('Raw Data'!G243))=2,MONTH('Raw Data'!G243),CONCATENATE("0",MONTH('Raw Data'!G243)))),CONCATENATE(MONTH('Raw Data'!G243),".",RIGHT(YEAR('Raw Data'!G243),2))),'Raw Data'!G243))</f>
        <v>59.77</v>
      </c>
      <c r="H243">
        <f>'Raw Data'!H243</f>
        <v>2</v>
      </c>
      <c r="I243" s="6">
        <f t="shared" si="9"/>
        <v>5.9769999999999897</v>
      </c>
      <c r="J243" s="6">
        <f>'Raw Data'!J243</f>
        <v>125.517</v>
      </c>
      <c r="K243" s="1">
        <f>VALUE(IFERROR(VALUE('Raw Data'!K243),CONCATENATE(MID('Raw Data'!K243,3,2),".","0",LEFT('Raw Data'!K243,1),".", RIGHT('Raw Data'!K243,4))))</f>
        <v>43772</v>
      </c>
      <c r="L243" s="2">
        <f>'Raw Data'!L243</f>
        <v>0.50069444444444444</v>
      </c>
      <c r="M243" t="s">
        <v>33</v>
      </c>
      <c r="N243">
        <f>VALUE(IF(AND(ISERR(FIND(".",'Raw Data'!N243)),LEN('Raw Data'!N243)=5), IF(YEAR('Raw Data'!N243)=2026,CONCATENATE(DAY('Raw Data'!N243),".",IF(LEN(MONTH('Raw Data'!N243))=2,MONTH('Raw Data'!N243),CONCATENATE("0",MONTH('Raw Data'!N243)))),CONCATENATE(MONTH('Raw Data'!N243),".",RIGHT(YEAR('Raw Data'!N243),2))),'Raw Data'!N243))</f>
        <v>119.54</v>
      </c>
      <c r="O243" s="6">
        <f t="shared" si="10"/>
        <v>4.7619047619047539</v>
      </c>
      <c r="P243" s="6">
        <f t="shared" si="11"/>
        <v>5.9769999999999897</v>
      </c>
      <c r="Q243">
        <f>VALUE(IF(AND(ISERR(FIND(".",'Raw Data'!Q243)),LEN('Raw Data'!Q243)=5), IF(YEAR('Raw Data'!Q243)=2026,CONCATENATE(DAY('Raw Data'!Q243),".",IF(LEN(MONTH('Raw Data'!Q243))=2,MONTH('Raw Data'!Q243),CONCATENATE(MONTH('Raw Data'!Q243)))),CONCATENATE(MONTH('Raw Data'!Q243),".",RIGHT(YEAR('Raw Data'!Q243),2))),'Raw Data'!Q243))</f>
        <v>5.8</v>
      </c>
    </row>
    <row r="244" spans="1:17">
      <c r="A244" t="s">
        <v>328</v>
      </c>
      <c r="B244" t="s">
        <v>25</v>
      </c>
      <c r="C244" t="s">
        <v>26</v>
      </c>
      <c r="D244" t="s">
        <v>20</v>
      </c>
      <c r="E244" t="s">
        <v>30</v>
      </c>
      <c r="F244" t="s">
        <v>43</v>
      </c>
      <c r="G244">
        <f>VALUE(IF(AND(ISERR(FIND(".",'Raw Data'!G244)),LEN('Raw Data'!G244)=5), IF(YEAR('Raw Data'!G244)=2026,CONCATENATE(DAY('Raw Data'!G244),".",IF(LEN(MONTH('Raw Data'!G244))=2,MONTH('Raw Data'!G244),CONCATENATE("0",MONTH('Raw Data'!G244)))),CONCATENATE(MONTH('Raw Data'!G244),".",RIGHT(YEAR('Raw Data'!G244),2))),'Raw Data'!G244))</f>
        <v>93.2</v>
      </c>
      <c r="H244">
        <f>'Raw Data'!H244</f>
        <v>2</v>
      </c>
      <c r="I244" s="6">
        <f t="shared" si="9"/>
        <v>9.3199999999999932</v>
      </c>
      <c r="J244" s="6">
        <f>'Raw Data'!J244</f>
        <v>195.72</v>
      </c>
      <c r="K244" s="1">
        <f>VALUE(IFERROR(VALUE('Raw Data'!K244),CONCATENATE(MID('Raw Data'!K244,3,2),".","0",LEFT('Raw Data'!K244,1),".", RIGHT('Raw Data'!K244,4))))</f>
        <v>43524</v>
      </c>
      <c r="L244" s="2">
        <f>'Raw Data'!L244</f>
        <v>0.77569444444444446</v>
      </c>
      <c r="M244" t="s">
        <v>33</v>
      </c>
      <c r="N244">
        <f>VALUE(IF(AND(ISERR(FIND(".",'Raw Data'!N244)),LEN('Raw Data'!N244)=5), IF(YEAR('Raw Data'!N244)=2026,CONCATENATE(DAY('Raw Data'!N244),".",IF(LEN(MONTH('Raw Data'!N244))=2,MONTH('Raw Data'!N244),CONCATENATE("0",MONTH('Raw Data'!N244)))),CONCATENATE(MONTH('Raw Data'!N244),".",RIGHT(YEAR('Raw Data'!N244),2))),'Raw Data'!N244))</f>
        <v>186.4</v>
      </c>
      <c r="O244" s="6">
        <f t="shared" si="10"/>
        <v>4.7619047619047583</v>
      </c>
      <c r="P244" s="6">
        <f t="shared" si="11"/>
        <v>9.3199999999999932</v>
      </c>
      <c r="Q244">
        <f>VALUE(IF(AND(ISERR(FIND(".",'Raw Data'!Q244)),LEN('Raw Data'!Q244)=5), IF(YEAR('Raw Data'!Q244)=2026,CONCATENATE(DAY('Raw Data'!Q244),".",IF(LEN(MONTH('Raw Data'!Q244))=2,MONTH('Raw Data'!Q244),CONCATENATE(MONTH('Raw Data'!Q244)))),CONCATENATE(MONTH('Raw Data'!Q244),".",RIGHT(YEAR('Raw Data'!Q244),2))),'Raw Data'!Q244))</f>
        <v>6</v>
      </c>
    </row>
    <row r="245" spans="1:17">
      <c r="A245" t="s">
        <v>329</v>
      </c>
      <c r="B245" t="s">
        <v>18</v>
      </c>
      <c r="C245" t="s">
        <v>19</v>
      </c>
      <c r="D245" t="s">
        <v>20</v>
      </c>
      <c r="E245" t="s">
        <v>30</v>
      </c>
      <c r="F245" t="s">
        <v>32</v>
      </c>
      <c r="G245">
        <f>VALUE(IF(AND(ISERR(FIND(".",'Raw Data'!G245)),LEN('Raw Data'!G245)=5), IF(YEAR('Raw Data'!G245)=2026,CONCATENATE(DAY('Raw Data'!G245),".",IF(LEN(MONTH('Raw Data'!G245))=2,MONTH('Raw Data'!G245),CONCATENATE("0",MONTH('Raw Data'!G245)))),CONCATENATE(MONTH('Raw Data'!G245),".",RIGHT(YEAR('Raw Data'!G245),2))),'Raw Data'!G245))</f>
        <v>62.65</v>
      </c>
      <c r="H245">
        <f>'Raw Data'!H245</f>
        <v>4</v>
      </c>
      <c r="I245" s="6">
        <f t="shared" si="9"/>
        <v>12.530000000000001</v>
      </c>
      <c r="J245" s="6">
        <f>'Raw Data'!J245</f>
        <v>263.13</v>
      </c>
      <c r="K245" s="1">
        <f>VALUE(IFERROR(VALUE('Raw Data'!K245),CONCATENATE(MID('Raw Data'!K245,3,2),".","0",LEFT('Raw Data'!K245,1),".", RIGHT('Raw Data'!K245,4))))</f>
        <v>43586</v>
      </c>
      <c r="L245" s="2">
        <f>'Raw Data'!L245</f>
        <v>0.47569444444444442</v>
      </c>
      <c r="M245" t="s">
        <v>29</v>
      </c>
      <c r="N245">
        <f>VALUE(IF(AND(ISERR(FIND(".",'Raw Data'!N245)),LEN('Raw Data'!N245)=5), IF(YEAR('Raw Data'!N245)=2026,CONCATENATE(DAY('Raw Data'!N245),".",IF(LEN(MONTH('Raw Data'!N245))=2,MONTH('Raw Data'!N245),CONCATENATE("0",MONTH('Raw Data'!N245)))),CONCATENATE(MONTH('Raw Data'!N245),".",RIGHT(YEAR('Raw Data'!N245),2))),'Raw Data'!N245))</f>
        <v>250.6</v>
      </c>
      <c r="O245" s="6">
        <f t="shared" si="10"/>
        <v>4.7619047619047628</v>
      </c>
      <c r="P245" s="6">
        <f t="shared" si="11"/>
        <v>12.530000000000001</v>
      </c>
      <c r="Q245">
        <f>VALUE(IF(AND(ISERR(FIND(".",'Raw Data'!Q245)),LEN('Raw Data'!Q245)=5), IF(YEAR('Raw Data'!Q245)=2026,CONCATENATE(DAY('Raw Data'!Q245),".",IF(LEN(MONTH('Raw Data'!Q245))=2,MONTH('Raw Data'!Q245),CONCATENATE(MONTH('Raw Data'!Q245)))),CONCATENATE(MONTH('Raw Data'!Q245),".",RIGHT(YEAR('Raw Data'!Q245),2))),'Raw Data'!Q245))</f>
        <v>4.2</v>
      </c>
    </row>
    <row r="246" spans="1:17">
      <c r="A246" t="s">
        <v>330</v>
      </c>
      <c r="B246" t="s">
        <v>34</v>
      </c>
      <c r="C246" t="s">
        <v>35</v>
      </c>
      <c r="D246" t="s">
        <v>27</v>
      </c>
      <c r="E246" t="s">
        <v>30</v>
      </c>
      <c r="F246" t="s">
        <v>32</v>
      </c>
      <c r="G246">
        <f>VALUE(IF(AND(ISERR(FIND(".",'Raw Data'!G246)),LEN('Raw Data'!G246)=5), IF(YEAR('Raw Data'!G246)=2026,CONCATENATE(DAY('Raw Data'!G246),".",IF(LEN(MONTH('Raw Data'!G246))=2,MONTH('Raw Data'!G246),CONCATENATE("0",MONTH('Raw Data'!G246)))),CONCATENATE(MONTH('Raw Data'!G246),".",RIGHT(YEAR('Raw Data'!G246),2))),'Raw Data'!G246))</f>
        <v>93.87</v>
      </c>
      <c r="H246">
        <f>'Raw Data'!H246</f>
        <v>8</v>
      </c>
      <c r="I246" s="6">
        <f t="shared" si="9"/>
        <v>37.548000000000002</v>
      </c>
      <c r="J246" s="6">
        <f>'Raw Data'!J246</f>
        <v>788.50800000000004</v>
      </c>
      <c r="K246" s="1">
        <f>VALUE(IFERROR(VALUE('Raw Data'!K246),CONCATENATE(MID('Raw Data'!K246,3,2),".","0",LEFT('Raw Data'!K246,1),".", RIGHT('Raw Data'!K246,4))))</f>
        <v>43498</v>
      </c>
      <c r="L246" s="2">
        <f>'Raw Data'!L246</f>
        <v>0.77916666666666667</v>
      </c>
      <c r="M246" t="s">
        <v>33</v>
      </c>
      <c r="N246">
        <f>VALUE(IF(AND(ISERR(FIND(".",'Raw Data'!N246)),LEN('Raw Data'!N246)=5), IF(YEAR('Raw Data'!N246)=2026,CONCATENATE(DAY('Raw Data'!N246),".",IF(LEN(MONTH('Raw Data'!N246))=2,MONTH('Raw Data'!N246),CONCATENATE("0",MONTH('Raw Data'!N246)))),CONCATENATE(MONTH('Raw Data'!N246),".",RIGHT(YEAR('Raw Data'!N246),2))),'Raw Data'!N246))</f>
        <v>750.96</v>
      </c>
      <c r="O246" s="6">
        <f t="shared" si="10"/>
        <v>4.7619047619047619</v>
      </c>
      <c r="P246" s="6">
        <f t="shared" si="11"/>
        <v>37.548000000000002</v>
      </c>
      <c r="Q246">
        <f>VALUE(IF(AND(ISERR(FIND(".",'Raw Data'!Q246)),LEN('Raw Data'!Q246)=5), IF(YEAR('Raw Data'!Q246)=2026,CONCATENATE(DAY('Raw Data'!Q246),".",IF(LEN(MONTH('Raw Data'!Q246))=2,MONTH('Raw Data'!Q246),CONCATENATE(MONTH('Raw Data'!Q246)))),CONCATENATE(MONTH('Raw Data'!Q246),".",RIGHT(YEAR('Raw Data'!Q246),2))),'Raw Data'!Q246))</f>
        <v>8.3000000000000007</v>
      </c>
    </row>
    <row r="247" spans="1:17">
      <c r="A247" t="s">
        <v>331</v>
      </c>
      <c r="B247" t="s">
        <v>18</v>
      </c>
      <c r="C247" t="s">
        <v>19</v>
      </c>
      <c r="D247" t="s">
        <v>20</v>
      </c>
      <c r="E247" t="s">
        <v>30</v>
      </c>
      <c r="F247" t="s">
        <v>32</v>
      </c>
      <c r="G247">
        <f>VALUE(IF(AND(ISERR(FIND(".",'Raw Data'!G247)),LEN('Raw Data'!G247)=5), IF(YEAR('Raw Data'!G247)=2026,CONCATENATE(DAY('Raw Data'!G247),".",IF(LEN(MONTH('Raw Data'!G247))=2,MONTH('Raw Data'!G247),CONCATENATE("0",MONTH('Raw Data'!G247)))),CONCATENATE(MONTH('Raw Data'!G247),".",RIGHT(YEAR('Raw Data'!G247),2))),'Raw Data'!G247))</f>
        <v>47.59</v>
      </c>
      <c r="H247">
        <f>'Raw Data'!H247</f>
        <v>8</v>
      </c>
      <c r="I247" s="6">
        <f t="shared" si="9"/>
        <v>19.035999999999945</v>
      </c>
      <c r="J247" s="6">
        <f>'Raw Data'!J247</f>
        <v>399.75599999999997</v>
      </c>
      <c r="K247" s="1">
        <f>VALUE(IFERROR(VALUE('Raw Data'!K247),CONCATENATE(MID('Raw Data'!K247,3,2),".","0",LEFT('Raw Data'!K247,1),".", RIGHT('Raw Data'!K247,4))))</f>
        <v>43466</v>
      </c>
      <c r="L247" s="2">
        <f>'Raw Data'!L247</f>
        <v>0.61597222222222225</v>
      </c>
      <c r="M247" t="s">
        <v>29</v>
      </c>
      <c r="N247">
        <f>VALUE(IF(AND(ISERR(FIND(".",'Raw Data'!N247)),LEN('Raw Data'!N247)=5), IF(YEAR('Raw Data'!N247)=2026,CONCATENATE(DAY('Raw Data'!N247),".",IF(LEN(MONTH('Raw Data'!N247))=2,MONTH('Raw Data'!N247),CONCATENATE("0",MONTH('Raw Data'!N247)))),CONCATENATE(MONTH('Raw Data'!N247),".",RIGHT(YEAR('Raw Data'!N247),2))),'Raw Data'!N247))</f>
        <v>380.72</v>
      </c>
      <c r="O247" s="6">
        <f t="shared" si="10"/>
        <v>4.7619047619047485</v>
      </c>
      <c r="P247" s="6">
        <f t="shared" si="11"/>
        <v>19.035999999999945</v>
      </c>
      <c r="Q247">
        <f>VALUE(IF(AND(ISERR(FIND(".",'Raw Data'!Q247)),LEN('Raw Data'!Q247)=5), IF(YEAR('Raw Data'!Q247)=2026,CONCATENATE(DAY('Raw Data'!Q247),".",IF(LEN(MONTH('Raw Data'!Q247))=2,MONTH('Raw Data'!Q247),CONCATENATE(MONTH('Raw Data'!Q247)))),CONCATENATE(MONTH('Raw Data'!Q247),".",RIGHT(YEAR('Raw Data'!Q247),2))),'Raw Data'!Q247))</f>
        <v>5.7</v>
      </c>
    </row>
    <row r="248" spans="1:17">
      <c r="A248" t="s">
        <v>332</v>
      </c>
      <c r="B248" t="s">
        <v>34</v>
      </c>
      <c r="C248" t="s">
        <v>35</v>
      </c>
      <c r="D248" t="s">
        <v>20</v>
      </c>
      <c r="E248" t="s">
        <v>21</v>
      </c>
      <c r="F248" t="s">
        <v>28</v>
      </c>
      <c r="G248">
        <f>VALUE(IF(AND(ISERR(FIND(".",'Raw Data'!G248)),LEN('Raw Data'!G248)=5), IF(YEAR('Raw Data'!G248)=2026,CONCATENATE(DAY('Raw Data'!G248),".",IF(LEN(MONTH('Raw Data'!G248))=2,MONTH('Raw Data'!G248),CONCATENATE("0",MONTH('Raw Data'!G248)))),CONCATENATE(MONTH('Raw Data'!G248),".",RIGHT(YEAR('Raw Data'!G248),2))),'Raw Data'!G248))</f>
        <v>81.400000000000006</v>
      </c>
      <c r="H248">
        <f>'Raw Data'!H248</f>
        <v>3</v>
      </c>
      <c r="I248" s="6">
        <f t="shared" si="9"/>
        <v>12.210000000000008</v>
      </c>
      <c r="J248" s="6">
        <f>'Raw Data'!J248</f>
        <v>256.41000000000003</v>
      </c>
      <c r="K248" s="1">
        <f>VALUE(IFERROR(VALUE('Raw Data'!K248),CONCATENATE(MID('Raw Data'!K248,3,2),".","0",LEFT('Raw Data'!K248,1),".", RIGHT('Raw Data'!K248,4))))</f>
        <v>43710</v>
      </c>
      <c r="L248" s="2">
        <f>'Raw Data'!L248</f>
        <v>0.82152777777777775</v>
      </c>
      <c r="M248" t="s">
        <v>29</v>
      </c>
      <c r="N248">
        <f>VALUE(IF(AND(ISERR(FIND(".",'Raw Data'!N248)),LEN('Raw Data'!N248)=5), IF(YEAR('Raw Data'!N248)=2026,CONCATENATE(DAY('Raw Data'!N248),".",IF(LEN(MONTH('Raw Data'!N248))=2,MONTH('Raw Data'!N248),CONCATENATE("0",MONTH('Raw Data'!N248)))),CONCATENATE(MONTH('Raw Data'!N248),".",RIGHT(YEAR('Raw Data'!N248),2))),'Raw Data'!N248))</f>
        <v>244.2</v>
      </c>
      <c r="O248" s="6">
        <f t="shared" si="10"/>
        <v>4.7619047619047752</v>
      </c>
      <c r="P248" s="6">
        <f t="shared" si="11"/>
        <v>12.210000000000036</v>
      </c>
      <c r="Q248">
        <f>VALUE(IF(AND(ISERR(FIND(".",'Raw Data'!Q248)),LEN('Raw Data'!Q248)=5), IF(YEAR('Raw Data'!Q248)=2026,CONCATENATE(DAY('Raw Data'!Q248),".",IF(LEN(MONTH('Raw Data'!Q248))=2,MONTH('Raw Data'!Q248),CONCATENATE(MONTH('Raw Data'!Q248)))),CONCATENATE(MONTH('Raw Data'!Q248),".",RIGHT(YEAR('Raw Data'!Q248),2))),'Raw Data'!Q248))</f>
        <v>4.8</v>
      </c>
    </row>
    <row r="249" spans="1:17">
      <c r="A249" t="s">
        <v>333</v>
      </c>
      <c r="B249" t="s">
        <v>18</v>
      </c>
      <c r="C249" t="s">
        <v>19</v>
      </c>
      <c r="D249" t="s">
        <v>20</v>
      </c>
      <c r="E249" t="s">
        <v>30</v>
      </c>
      <c r="F249" t="s">
        <v>43</v>
      </c>
      <c r="G249">
        <f>VALUE(IF(AND(ISERR(FIND(".",'Raw Data'!G249)),LEN('Raw Data'!G249)=5), IF(YEAR('Raw Data'!G249)=2026,CONCATENATE(DAY('Raw Data'!G249),".",IF(LEN(MONTH('Raw Data'!G249))=2,MONTH('Raw Data'!G249),CONCATENATE("0",MONTH('Raw Data'!G249)))),CONCATENATE(MONTH('Raw Data'!G249),".",RIGHT(YEAR('Raw Data'!G249),2))),'Raw Data'!G249))</f>
        <v>17.940000000000001</v>
      </c>
      <c r="H249">
        <f>'Raw Data'!H249</f>
        <v>5</v>
      </c>
      <c r="I249" s="6">
        <f t="shared" si="9"/>
        <v>4.4849999999999994</v>
      </c>
      <c r="J249" s="6">
        <f>'Raw Data'!J249</f>
        <v>94.185000000000002</v>
      </c>
      <c r="K249" s="1">
        <f>VALUE(IFERROR(VALUE('Raw Data'!K249),CONCATENATE(MID('Raw Data'!K249,3,2),".","0",LEFT('Raw Data'!K249,1),".", RIGHT('Raw Data'!K249,4))))</f>
        <v>43488</v>
      </c>
      <c r="L249" s="2">
        <f>'Raw Data'!L249</f>
        <v>0.58611111111111114</v>
      </c>
      <c r="M249" t="s">
        <v>23</v>
      </c>
      <c r="N249">
        <f>VALUE(IF(AND(ISERR(FIND(".",'Raw Data'!N249)),LEN('Raw Data'!N249)=5), IF(YEAR('Raw Data'!N249)=2026,CONCATENATE(DAY('Raw Data'!N249),".",IF(LEN(MONTH('Raw Data'!N249))=2,MONTH('Raw Data'!N249),CONCATENATE("0",MONTH('Raw Data'!N249)))),CONCATENATE(MONTH('Raw Data'!N249),".",RIGHT(YEAR('Raw Data'!N249),2))),'Raw Data'!N249))</f>
        <v>89.7</v>
      </c>
      <c r="O249" s="6">
        <f t="shared" si="10"/>
        <v>4.761904761904761</v>
      </c>
      <c r="P249" s="6">
        <f t="shared" si="11"/>
        <v>4.4849999999999994</v>
      </c>
      <c r="Q249">
        <f>VALUE(IF(AND(ISERR(FIND(".",'Raw Data'!Q249)),LEN('Raw Data'!Q249)=5), IF(YEAR('Raw Data'!Q249)=2026,CONCATENATE(DAY('Raw Data'!Q249),".",IF(LEN(MONTH('Raw Data'!Q249))=2,MONTH('Raw Data'!Q249),CONCATENATE(MONTH('Raw Data'!Q249)))),CONCATENATE(MONTH('Raw Data'!Q249),".",RIGHT(YEAR('Raw Data'!Q249),2))),'Raw Data'!Q249))</f>
        <v>6.8</v>
      </c>
    </row>
    <row r="250" spans="1:17">
      <c r="A250" t="s">
        <v>334</v>
      </c>
      <c r="B250" t="s">
        <v>18</v>
      </c>
      <c r="C250" t="s">
        <v>19</v>
      </c>
      <c r="D250" t="s">
        <v>20</v>
      </c>
      <c r="E250" t="s">
        <v>30</v>
      </c>
      <c r="F250" t="s">
        <v>28</v>
      </c>
      <c r="G250">
        <f>VALUE(IF(AND(ISERR(FIND(".",'Raw Data'!G250)),LEN('Raw Data'!G250)=5), IF(YEAR('Raw Data'!G250)=2026,CONCATENATE(DAY('Raw Data'!G250),".",IF(LEN(MONTH('Raw Data'!G250))=2,MONTH('Raw Data'!G250),CONCATENATE("0",MONTH('Raw Data'!G250)))),CONCATENATE(MONTH('Raw Data'!G250),".",RIGHT(YEAR('Raw Data'!G250),2))),'Raw Data'!G250))</f>
        <v>77.72</v>
      </c>
      <c r="H250">
        <f>'Raw Data'!H250</f>
        <v>4</v>
      </c>
      <c r="I250" s="6">
        <f t="shared" si="9"/>
        <v>15.543999999999983</v>
      </c>
      <c r="J250" s="6">
        <f>'Raw Data'!J250</f>
        <v>326.42399999999998</v>
      </c>
      <c r="K250" s="1">
        <f>VALUE(IFERROR(VALUE('Raw Data'!K250),CONCATENATE(MID('Raw Data'!K250,3,2),".","0",LEFT('Raw Data'!K250,1),".", RIGHT('Raw Data'!K250,4))))</f>
        <v>43647</v>
      </c>
      <c r="L250" s="2">
        <f>'Raw Data'!L250</f>
        <v>0.6743055555555556</v>
      </c>
      <c r="M250" t="s">
        <v>33</v>
      </c>
      <c r="N250">
        <f>VALUE(IF(AND(ISERR(FIND(".",'Raw Data'!N250)),LEN('Raw Data'!N250)=5), IF(YEAR('Raw Data'!N250)=2026,CONCATENATE(DAY('Raw Data'!N250),".",IF(LEN(MONTH('Raw Data'!N250))=2,MONTH('Raw Data'!N250),CONCATENATE("0",MONTH('Raw Data'!N250)))),CONCATENATE(MONTH('Raw Data'!N250),".",RIGHT(YEAR('Raw Data'!N250),2))),'Raw Data'!N250))</f>
        <v>310.88</v>
      </c>
      <c r="O250" s="6">
        <f t="shared" si="10"/>
        <v>4.7619047619047565</v>
      </c>
      <c r="P250" s="6">
        <f t="shared" si="11"/>
        <v>15.543999999999983</v>
      </c>
      <c r="Q250">
        <f>VALUE(IF(AND(ISERR(FIND(".",'Raw Data'!Q250)),LEN('Raw Data'!Q250)=5), IF(YEAR('Raw Data'!Q250)=2026,CONCATENATE(DAY('Raw Data'!Q250),".",IF(LEN(MONTH('Raw Data'!Q250))=2,MONTH('Raw Data'!Q250),CONCATENATE(MONTH('Raw Data'!Q250)))),CONCATENATE(MONTH('Raw Data'!Q250),".",RIGHT(YEAR('Raw Data'!Q250),2))),'Raw Data'!Q250))</f>
        <v>8.8000000000000007</v>
      </c>
    </row>
    <row r="251" spans="1:17">
      <c r="A251" t="s">
        <v>335</v>
      </c>
      <c r="B251" t="s">
        <v>34</v>
      </c>
      <c r="C251" t="s">
        <v>35</v>
      </c>
      <c r="D251" t="s">
        <v>27</v>
      </c>
      <c r="E251" t="s">
        <v>30</v>
      </c>
      <c r="F251" t="s">
        <v>40</v>
      </c>
      <c r="G251">
        <f>VALUE(IF(AND(ISERR(FIND(".",'Raw Data'!G251)),LEN('Raw Data'!G251)=5), IF(YEAR('Raw Data'!G251)=2026,CONCATENATE(DAY('Raw Data'!G251),".",IF(LEN(MONTH('Raw Data'!G251))=2,MONTH('Raw Data'!G251),CONCATENATE("0",MONTH('Raw Data'!G251)))),CONCATENATE(MONTH('Raw Data'!G251),".",RIGHT(YEAR('Raw Data'!G251),2))),'Raw Data'!G251))</f>
        <v>73.06</v>
      </c>
      <c r="H251">
        <f>'Raw Data'!H251</f>
        <v>7</v>
      </c>
      <c r="I251" s="6">
        <f t="shared" si="9"/>
        <v>25.57099999999997</v>
      </c>
      <c r="J251" s="6">
        <f>'Raw Data'!J251</f>
        <v>536.99099999999999</v>
      </c>
      <c r="K251" s="1">
        <f>VALUE(IFERROR(VALUE('Raw Data'!K251),CONCATENATE(MID('Raw Data'!K251,3,2),".","0",LEFT('Raw Data'!K251,1),".", RIGHT('Raw Data'!K251,4))))</f>
        <v>43479</v>
      </c>
      <c r="L251" s="2">
        <f>'Raw Data'!L251</f>
        <v>0.79583333333333339</v>
      </c>
      <c r="M251" t="s">
        <v>33</v>
      </c>
      <c r="N251">
        <f>VALUE(IF(AND(ISERR(FIND(".",'Raw Data'!N251)),LEN('Raw Data'!N251)=5), IF(YEAR('Raw Data'!N251)=2026,CONCATENATE(DAY('Raw Data'!N251),".",IF(LEN(MONTH('Raw Data'!N251))=2,MONTH('Raw Data'!N251),CONCATENATE("0",MONTH('Raw Data'!N251)))),CONCATENATE(MONTH('Raw Data'!N251),".",RIGHT(YEAR('Raw Data'!N251),2))),'Raw Data'!N251))</f>
        <v>511.42</v>
      </c>
      <c r="O251" s="6">
        <f t="shared" si="10"/>
        <v>4.7619047619047556</v>
      </c>
      <c r="P251" s="6">
        <f t="shared" si="11"/>
        <v>25.57099999999997</v>
      </c>
      <c r="Q251">
        <f>VALUE(IF(AND(ISERR(FIND(".",'Raw Data'!Q251)),LEN('Raw Data'!Q251)=5), IF(YEAR('Raw Data'!Q251)=2026,CONCATENATE(DAY('Raw Data'!Q251),".",IF(LEN(MONTH('Raw Data'!Q251))=2,MONTH('Raw Data'!Q251),CONCATENATE(MONTH('Raw Data'!Q251)))),CONCATENATE(MONTH('Raw Data'!Q251),".",RIGHT(YEAR('Raw Data'!Q251),2))),'Raw Data'!Q251))</f>
        <v>4.2</v>
      </c>
    </row>
    <row r="252" spans="1:17">
      <c r="A252" t="s">
        <v>336</v>
      </c>
      <c r="B252" t="s">
        <v>34</v>
      </c>
      <c r="C252" t="s">
        <v>35</v>
      </c>
      <c r="D252" t="s">
        <v>20</v>
      </c>
      <c r="E252" t="s">
        <v>30</v>
      </c>
      <c r="F252" t="s">
        <v>40</v>
      </c>
      <c r="G252">
        <f>VALUE(IF(AND(ISERR(FIND(".",'Raw Data'!G252)),LEN('Raw Data'!G252)=5), IF(YEAR('Raw Data'!G252)=2026,CONCATENATE(DAY('Raw Data'!G252),".",IF(LEN(MONTH('Raw Data'!G252))=2,MONTH('Raw Data'!G252),CONCATENATE("0",MONTH('Raw Data'!G252)))),CONCATENATE(MONTH('Raw Data'!G252),".",RIGHT(YEAR('Raw Data'!G252),2))),'Raw Data'!G252))</f>
        <v>46.55</v>
      </c>
      <c r="H252">
        <f>'Raw Data'!H252</f>
        <v>9</v>
      </c>
      <c r="I252" s="6">
        <f t="shared" si="9"/>
        <v>20.947499999999991</v>
      </c>
      <c r="J252" s="6">
        <f>'Raw Data'!J252</f>
        <v>439.89749999999998</v>
      </c>
      <c r="K252" s="1">
        <f>VALUE(IFERROR(VALUE('Raw Data'!K252),CONCATENATE(MID('Raw Data'!K252,3,2),".","0",LEFT('Raw Data'!K252,1),".", RIGHT('Raw Data'!K252,4))))</f>
        <v>43498</v>
      </c>
      <c r="L252" s="2">
        <f>'Raw Data'!L252</f>
        <v>0.64861111111111114</v>
      </c>
      <c r="M252" t="s">
        <v>23</v>
      </c>
      <c r="N252">
        <f>VALUE(IF(AND(ISERR(FIND(".",'Raw Data'!N252)),LEN('Raw Data'!N252)=5), IF(YEAR('Raw Data'!N252)=2026,CONCATENATE(DAY('Raw Data'!N252),".",IF(LEN(MONTH('Raw Data'!N252))=2,MONTH('Raw Data'!N252),CONCATENATE("0",MONTH('Raw Data'!N252)))),CONCATENATE(MONTH('Raw Data'!N252),".",RIGHT(YEAR('Raw Data'!N252),2))),'Raw Data'!N252))</f>
        <v>418.95</v>
      </c>
      <c r="O252" s="6">
        <f t="shared" si="10"/>
        <v>4.7619047619047601</v>
      </c>
      <c r="P252" s="6">
        <f t="shared" si="11"/>
        <v>20.947499999999991</v>
      </c>
      <c r="Q252">
        <f>VALUE(IF(AND(ISERR(FIND(".",'Raw Data'!Q252)),LEN('Raw Data'!Q252)=5), IF(YEAR('Raw Data'!Q252)=2026,CONCATENATE(DAY('Raw Data'!Q252),".",IF(LEN(MONTH('Raw Data'!Q252))=2,MONTH('Raw Data'!Q252),CONCATENATE(MONTH('Raw Data'!Q252)))),CONCATENATE(MONTH('Raw Data'!Q252),".",RIGHT(YEAR('Raw Data'!Q252),2))),'Raw Data'!Q252))</f>
        <v>6.4</v>
      </c>
    </row>
    <row r="253" spans="1:17">
      <c r="A253" t="s">
        <v>337</v>
      </c>
      <c r="B253" t="s">
        <v>25</v>
      </c>
      <c r="C253" t="s">
        <v>26</v>
      </c>
      <c r="D253" t="s">
        <v>20</v>
      </c>
      <c r="E253" t="s">
        <v>30</v>
      </c>
      <c r="F253" t="s">
        <v>43</v>
      </c>
      <c r="G253">
        <f>VALUE(IF(AND(ISERR(FIND(".",'Raw Data'!G253)),LEN('Raw Data'!G253)=5), IF(YEAR('Raw Data'!G253)=2026,CONCATENATE(DAY('Raw Data'!G253),".",IF(LEN(MONTH('Raw Data'!G253))=2,MONTH('Raw Data'!G253),CONCATENATE("0",MONTH('Raw Data'!G253)))),CONCATENATE(MONTH('Raw Data'!G253),".",RIGHT(YEAR('Raw Data'!G253),2))),'Raw Data'!G253))</f>
        <v>35.19</v>
      </c>
      <c r="H253">
        <f>'Raw Data'!H253</f>
        <v>10</v>
      </c>
      <c r="I253" s="6">
        <f t="shared" si="9"/>
        <v>17.595000000000027</v>
      </c>
      <c r="J253" s="6">
        <f>'Raw Data'!J253</f>
        <v>369.495</v>
      </c>
      <c r="K253" s="1">
        <f>VALUE(IFERROR(VALUE('Raw Data'!K253),CONCATENATE(MID('Raw Data'!K253,3,2),".","0",LEFT('Raw Data'!K253,1),".", RIGHT('Raw Data'!K253,4))))</f>
        <v>43541</v>
      </c>
      <c r="L253" s="2">
        <f>'Raw Data'!L253</f>
        <v>0.79583333333333339</v>
      </c>
      <c r="M253" t="s">
        <v>33</v>
      </c>
      <c r="N253">
        <f>VALUE(IF(AND(ISERR(FIND(".",'Raw Data'!N253)),LEN('Raw Data'!N253)=5), IF(YEAR('Raw Data'!N253)=2026,CONCATENATE(DAY('Raw Data'!N253),".",IF(LEN(MONTH('Raw Data'!N253))=2,MONTH('Raw Data'!N253),CONCATENATE("0",MONTH('Raw Data'!N253)))),CONCATENATE(MONTH('Raw Data'!N253),".",RIGHT(YEAR('Raw Data'!N253),2))),'Raw Data'!N253))</f>
        <v>351.9</v>
      </c>
      <c r="O253" s="6">
        <f t="shared" si="10"/>
        <v>4.761904761904769</v>
      </c>
      <c r="P253" s="6">
        <f t="shared" si="11"/>
        <v>17.595000000000027</v>
      </c>
      <c r="Q253">
        <f>VALUE(IF(AND(ISERR(FIND(".",'Raw Data'!Q253)),LEN('Raw Data'!Q253)=5), IF(YEAR('Raw Data'!Q253)=2026,CONCATENATE(DAY('Raw Data'!Q253),".",IF(LEN(MONTH('Raw Data'!Q253))=2,MONTH('Raw Data'!Q253),CONCATENATE(MONTH('Raw Data'!Q253)))),CONCATENATE(MONTH('Raw Data'!Q253),".",RIGHT(YEAR('Raw Data'!Q253),2))),'Raw Data'!Q253))</f>
        <v>8.4</v>
      </c>
    </row>
    <row r="254" spans="1:17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38</v>
      </c>
      <c r="G254">
        <f>VALUE(IF(AND(ISERR(FIND(".",'Raw Data'!G254)),LEN('Raw Data'!G254)=5), IF(YEAR('Raw Data'!G254)=2026,CONCATENATE(DAY('Raw Data'!G254),".",IF(LEN(MONTH('Raw Data'!G254))=2,MONTH('Raw Data'!G254),CONCATENATE("0",MONTH('Raw Data'!G254)))),CONCATENATE(MONTH('Raw Data'!G254),".",RIGHT(YEAR('Raw Data'!G254),2))),'Raw Data'!G254))</f>
        <v>14.39</v>
      </c>
      <c r="H254">
        <f>'Raw Data'!H254</f>
        <v>2</v>
      </c>
      <c r="I254" s="6">
        <f t="shared" si="9"/>
        <v>1.4390000000000001</v>
      </c>
      <c r="J254" s="6">
        <f>'Raw Data'!J254</f>
        <v>30.219000000000001</v>
      </c>
      <c r="K254" s="1">
        <f>VALUE(IFERROR(VALUE('Raw Data'!K254),CONCATENATE(MID('Raw Data'!K254,3,2),".","0",LEFT('Raw Data'!K254,1),".", RIGHT('Raw Data'!K254,4))))</f>
        <v>43499</v>
      </c>
      <c r="L254" s="2">
        <f>'Raw Data'!L254</f>
        <v>0.8222222222222223</v>
      </c>
      <c r="M254" t="s">
        <v>33</v>
      </c>
      <c r="N254">
        <f>VALUE(IF(AND(ISERR(FIND(".",'Raw Data'!N254)),LEN('Raw Data'!N254)=5), IF(YEAR('Raw Data'!N254)=2026,CONCATENATE(DAY('Raw Data'!N254),".",IF(LEN(MONTH('Raw Data'!N254))=2,MONTH('Raw Data'!N254),CONCATENATE("0",MONTH('Raw Data'!N254)))),CONCATENATE(MONTH('Raw Data'!N254),".",RIGHT(YEAR('Raw Data'!N254),2))),'Raw Data'!N254))</f>
        <v>28.78</v>
      </c>
      <c r="O254" s="6">
        <f t="shared" si="10"/>
        <v>4.7619047619047619</v>
      </c>
      <c r="P254" s="6">
        <f t="shared" si="11"/>
        <v>1.4390000000000001</v>
      </c>
      <c r="Q254">
        <f>VALUE(IF(AND(ISERR(FIND(".",'Raw Data'!Q254)),LEN('Raw Data'!Q254)=5), IF(YEAR('Raw Data'!Q254)=2026,CONCATENATE(DAY('Raw Data'!Q254),".",IF(LEN(MONTH('Raw Data'!Q254))=2,MONTH('Raw Data'!Q254),CONCATENATE(MONTH('Raw Data'!Q254)))),CONCATENATE(MONTH('Raw Data'!Q254),".",RIGHT(YEAR('Raw Data'!Q254),2))),'Raw Data'!Q254))</f>
        <v>7.2</v>
      </c>
    </row>
    <row r="255" spans="1:17">
      <c r="A255" t="s">
        <v>340</v>
      </c>
      <c r="B255" t="s">
        <v>18</v>
      </c>
      <c r="C255" t="s">
        <v>19</v>
      </c>
      <c r="D255" t="s">
        <v>27</v>
      </c>
      <c r="E255" t="s">
        <v>30</v>
      </c>
      <c r="F255" t="s">
        <v>32</v>
      </c>
      <c r="G255">
        <f>VALUE(IF(AND(ISERR(FIND(".",'Raw Data'!G255)),LEN('Raw Data'!G255)=5), IF(YEAR('Raw Data'!G255)=2026,CONCATENATE(DAY('Raw Data'!G255),".",IF(LEN(MONTH('Raw Data'!G255))=2,MONTH('Raw Data'!G255),CONCATENATE("0",MONTH('Raw Data'!G255)))),CONCATENATE(MONTH('Raw Data'!G255),".",RIGHT(YEAR('Raw Data'!G255),2))),'Raw Data'!G255))</f>
        <v>23.75</v>
      </c>
      <c r="H255">
        <f>'Raw Data'!H255</f>
        <v>4</v>
      </c>
      <c r="I255" s="6">
        <f t="shared" si="9"/>
        <v>4.75</v>
      </c>
      <c r="J255" s="6">
        <f>'Raw Data'!J255</f>
        <v>99.75</v>
      </c>
      <c r="K255" s="1">
        <f>VALUE(IFERROR(VALUE('Raw Data'!K255),CONCATENATE(MID('Raw Data'!K255,3,2),".","0",LEFT('Raw Data'!K255,1),".", RIGHT('Raw Data'!K255,4))))</f>
        <v>43540</v>
      </c>
      <c r="L255" s="2">
        <f>'Raw Data'!L255</f>
        <v>0.47361111111111115</v>
      </c>
      <c r="M255" t="s">
        <v>29</v>
      </c>
      <c r="N255">
        <f>VALUE(IF(AND(ISERR(FIND(".",'Raw Data'!N255)),LEN('Raw Data'!N255)=5), IF(YEAR('Raw Data'!N255)=2026,CONCATENATE(DAY('Raw Data'!N255),".",IF(LEN(MONTH('Raw Data'!N255))=2,MONTH('Raw Data'!N255),CONCATENATE("0",MONTH('Raw Data'!N255)))),CONCATENATE(MONTH('Raw Data'!N255),".",RIGHT(YEAR('Raw Data'!N255),2))),'Raw Data'!N255))</f>
        <v>95</v>
      </c>
      <c r="O255" s="6">
        <f t="shared" si="10"/>
        <v>4.7619047619047619</v>
      </c>
      <c r="P255" s="6">
        <f t="shared" si="11"/>
        <v>4.75</v>
      </c>
      <c r="Q255">
        <f>VALUE(IF(AND(ISERR(FIND(".",'Raw Data'!Q255)),LEN('Raw Data'!Q255)=5), IF(YEAR('Raw Data'!Q255)=2026,CONCATENATE(DAY('Raw Data'!Q255),".",IF(LEN(MONTH('Raw Data'!Q255))=2,MONTH('Raw Data'!Q255),CONCATENATE(MONTH('Raw Data'!Q255)))),CONCATENATE(MONTH('Raw Data'!Q255),".",RIGHT(YEAR('Raw Data'!Q255),2))),'Raw Data'!Q255))</f>
        <v>5.2</v>
      </c>
    </row>
    <row r="256" spans="1:17">
      <c r="A256" t="s">
        <v>341</v>
      </c>
      <c r="B256" t="s">
        <v>18</v>
      </c>
      <c r="C256" t="s">
        <v>19</v>
      </c>
      <c r="D256" t="s">
        <v>20</v>
      </c>
      <c r="E256" t="s">
        <v>30</v>
      </c>
      <c r="F256" t="s">
        <v>32</v>
      </c>
      <c r="G256">
        <f>VALUE(IF(AND(ISERR(FIND(".",'Raw Data'!G256)),LEN('Raw Data'!G256)=5), IF(YEAR('Raw Data'!G256)=2026,CONCATENATE(DAY('Raw Data'!G256),".",IF(LEN(MONTH('Raw Data'!G256))=2,MONTH('Raw Data'!G256),CONCATENATE("0",MONTH('Raw Data'!G256)))),CONCATENATE(MONTH('Raw Data'!G256),".",RIGHT(YEAR('Raw Data'!G256),2))),'Raw Data'!G256))</f>
        <v>58.9</v>
      </c>
      <c r="H256">
        <f>'Raw Data'!H256</f>
        <v>8</v>
      </c>
      <c r="I256" s="6">
        <f t="shared" si="9"/>
        <v>23.560000000000002</v>
      </c>
      <c r="J256" s="6">
        <f>'Raw Data'!J256</f>
        <v>494.76</v>
      </c>
      <c r="K256" s="1">
        <f>VALUE(IFERROR(VALUE('Raw Data'!K256),CONCATENATE(MID('Raw Data'!K256,3,2),".","0",LEFT('Raw Data'!K256,1),".", RIGHT('Raw Data'!K256,4))))</f>
        <v>43617</v>
      </c>
      <c r="L256" s="2">
        <f>'Raw Data'!L256</f>
        <v>0.47430555555555554</v>
      </c>
      <c r="M256" t="s">
        <v>29</v>
      </c>
      <c r="N256">
        <f>VALUE(IF(AND(ISERR(FIND(".",'Raw Data'!N256)),LEN('Raw Data'!N256)=5), IF(YEAR('Raw Data'!N256)=2026,CONCATENATE(DAY('Raw Data'!N256),".",IF(LEN(MONTH('Raw Data'!N256))=2,MONTH('Raw Data'!N256),CONCATENATE("0",MONTH('Raw Data'!N256)))),CONCATENATE(MONTH('Raw Data'!N256),".",RIGHT(YEAR('Raw Data'!N256),2))),'Raw Data'!N256))</f>
        <v>471.2</v>
      </c>
      <c r="O256" s="6">
        <f t="shared" si="10"/>
        <v>4.7619047619047628</v>
      </c>
      <c r="P256" s="6">
        <f t="shared" si="11"/>
        <v>23.560000000000002</v>
      </c>
      <c r="Q256">
        <f>VALUE(IF(AND(ISERR(FIND(".",'Raw Data'!Q256)),LEN('Raw Data'!Q256)=5), IF(YEAR('Raw Data'!Q256)=2026,CONCATENATE(DAY('Raw Data'!Q256),".",IF(LEN(MONTH('Raw Data'!Q256))=2,MONTH('Raw Data'!Q256),CONCATENATE(MONTH('Raw Data'!Q256)))),CONCATENATE(MONTH('Raw Data'!Q256),".",RIGHT(YEAR('Raw Data'!Q256),2))),'Raw Data'!Q256))</f>
        <v>8.9</v>
      </c>
    </row>
    <row r="257" spans="1:17">
      <c r="A257" t="s">
        <v>342</v>
      </c>
      <c r="B257" t="s">
        <v>34</v>
      </c>
      <c r="C257" t="s">
        <v>35</v>
      </c>
      <c r="D257" t="s">
        <v>20</v>
      </c>
      <c r="E257" t="s">
        <v>30</v>
      </c>
      <c r="F257" t="s">
        <v>43</v>
      </c>
      <c r="G257">
        <f>VALUE(IF(AND(ISERR(FIND(".",'Raw Data'!G257)),LEN('Raw Data'!G257)=5), IF(YEAR('Raw Data'!G257)=2026,CONCATENATE(DAY('Raw Data'!G257),".",IF(LEN(MONTH('Raw Data'!G257))=2,MONTH('Raw Data'!G257),CONCATENATE("0",MONTH('Raw Data'!G257)))),CONCATENATE(MONTH('Raw Data'!G257),".",RIGHT(YEAR('Raw Data'!G257),2))),'Raw Data'!G257))</f>
        <v>32.619999999999997</v>
      </c>
      <c r="H257">
        <f>'Raw Data'!H257</f>
        <v>4</v>
      </c>
      <c r="I257" s="6">
        <f t="shared" si="9"/>
        <v>6.5240000000000009</v>
      </c>
      <c r="J257" s="6">
        <f>'Raw Data'!J257</f>
        <v>137.00399999999999</v>
      </c>
      <c r="K257" s="1">
        <f>VALUE(IFERROR(VALUE('Raw Data'!K257),CONCATENATE(MID('Raw Data'!K257,3,2),".","0",LEFT('Raw Data'!K257,1),".", RIGHT('Raw Data'!K257,4))))</f>
        <v>43494</v>
      </c>
      <c r="L257" s="2">
        <f>'Raw Data'!L257</f>
        <v>0.59166666666666667</v>
      </c>
      <c r="M257" t="s">
        <v>29</v>
      </c>
      <c r="N257">
        <f>VALUE(IF(AND(ISERR(FIND(".",'Raw Data'!N257)),LEN('Raw Data'!N257)=5), IF(YEAR('Raw Data'!N257)=2026,CONCATENATE(DAY('Raw Data'!N257),".",IF(LEN(MONTH('Raw Data'!N257))=2,MONTH('Raw Data'!N257),CONCATENATE("0",MONTH('Raw Data'!N257)))),CONCATENATE(MONTH('Raw Data'!N257),".",RIGHT(YEAR('Raw Data'!N257),2))),'Raw Data'!N257))</f>
        <v>130.47999999999999</v>
      </c>
      <c r="O257" s="6">
        <f t="shared" si="10"/>
        <v>4.7619047619047628</v>
      </c>
      <c r="P257" s="6">
        <f t="shared" si="11"/>
        <v>6.5240000000000009</v>
      </c>
      <c r="Q257">
        <f>VALUE(IF(AND(ISERR(FIND(".",'Raw Data'!Q257)),LEN('Raw Data'!Q257)=5), IF(YEAR('Raw Data'!Q257)=2026,CONCATENATE(DAY('Raw Data'!Q257),".",IF(LEN(MONTH('Raw Data'!Q257))=2,MONTH('Raw Data'!Q257),CONCATENATE(MONTH('Raw Data'!Q257)))),CONCATENATE(MONTH('Raw Data'!Q257),".",RIGHT(YEAR('Raw Data'!Q257),2))),'Raw Data'!Q257))</f>
        <v>9</v>
      </c>
    </row>
    <row r="258" spans="1:17">
      <c r="A258" t="s">
        <v>343</v>
      </c>
      <c r="B258" t="s">
        <v>18</v>
      </c>
      <c r="C258" t="s">
        <v>19</v>
      </c>
      <c r="D258" t="s">
        <v>20</v>
      </c>
      <c r="E258" t="s">
        <v>30</v>
      </c>
      <c r="F258" t="s">
        <v>28</v>
      </c>
      <c r="G258">
        <f>VALUE(IF(AND(ISERR(FIND(".",'Raw Data'!G258)),LEN('Raw Data'!G258)=5), IF(YEAR('Raw Data'!G258)=2026,CONCATENATE(DAY('Raw Data'!G258),".",IF(LEN(MONTH('Raw Data'!G258))=2,MONTH('Raw Data'!G258),CONCATENATE("0",MONTH('Raw Data'!G258)))),CONCATENATE(MONTH('Raw Data'!G258),".",RIGHT(YEAR('Raw Data'!G258),2))),'Raw Data'!G258))</f>
        <v>66.349999999999994</v>
      </c>
      <c r="H258">
        <f>'Raw Data'!H258</f>
        <v>1</v>
      </c>
      <c r="I258" s="6">
        <f t="shared" si="9"/>
        <v>3.3175000000000097</v>
      </c>
      <c r="J258" s="6">
        <f>'Raw Data'!J258</f>
        <v>69.667500000000004</v>
      </c>
      <c r="K258" s="1">
        <f>VALUE(IFERROR(VALUE('Raw Data'!K258),CONCATENATE(MID('Raw Data'!K258,3,2),".","0",LEFT('Raw Data'!K258,1),".", RIGHT('Raw Data'!K258,4))))</f>
        <v>43496</v>
      </c>
      <c r="L258" s="2">
        <f>'Raw Data'!L258</f>
        <v>0.44861111111111113</v>
      </c>
      <c r="M258" t="s">
        <v>33</v>
      </c>
      <c r="N258">
        <f>VALUE(IF(AND(ISERR(FIND(".",'Raw Data'!N258)),LEN('Raw Data'!N258)=5), IF(YEAR('Raw Data'!N258)=2026,CONCATENATE(DAY('Raw Data'!N258),".",IF(LEN(MONTH('Raw Data'!N258))=2,MONTH('Raw Data'!N258),CONCATENATE("0",MONTH('Raw Data'!N258)))),CONCATENATE(MONTH('Raw Data'!N258),".",RIGHT(YEAR('Raw Data'!N258),2))),'Raw Data'!N258))</f>
        <v>66.349999999999994</v>
      </c>
      <c r="O258" s="6">
        <f t="shared" si="10"/>
        <v>4.7619047619047752</v>
      </c>
      <c r="P258" s="6">
        <f t="shared" si="11"/>
        <v>3.3175000000000097</v>
      </c>
      <c r="Q258">
        <f>VALUE(IF(AND(ISERR(FIND(".",'Raw Data'!Q258)),LEN('Raw Data'!Q258)=5), IF(YEAR('Raw Data'!Q258)=2026,CONCATENATE(DAY('Raw Data'!Q258),".",IF(LEN(MONTH('Raw Data'!Q258))=2,MONTH('Raw Data'!Q258),CONCATENATE(MONTH('Raw Data'!Q258)))),CONCATENATE(MONTH('Raw Data'!Q258),".",RIGHT(YEAR('Raw Data'!Q258),2))),'Raw Data'!Q258))</f>
        <v>9.6999999999999993</v>
      </c>
    </row>
    <row r="259" spans="1:17">
      <c r="A259" t="s">
        <v>344</v>
      </c>
      <c r="B259" t="s">
        <v>18</v>
      </c>
      <c r="C259" t="s">
        <v>19</v>
      </c>
      <c r="D259" t="s">
        <v>20</v>
      </c>
      <c r="E259" t="s">
        <v>30</v>
      </c>
      <c r="F259" t="s">
        <v>32</v>
      </c>
      <c r="G259">
        <f>VALUE(IF(AND(ISERR(FIND(".",'Raw Data'!G259)),LEN('Raw Data'!G259)=5), IF(YEAR('Raw Data'!G259)=2026,CONCATENATE(DAY('Raw Data'!G259),".",IF(LEN(MONTH('Raw Data'!G259))=2,MONTH('Raw Data'!G259),CONCATENATE("0",MONTH('Raw Data'!G259)))),CONCATENATE(MONTH('Raw Data'!G259),".",RIGHT(YEAR('Raw Data'!G259),2))),'Raw Data'!G259))</f>
        <v>25.91</v>
      </c>
      <c r="H259">
        <f>'Raw Data'!H259</f>
        <v>6</v>
      </c>
      <c r="I259" s="6">
        <f t="shared" ref="I259:I322" si="12">J259-G259*H259</f>
        <v>7.7729999999999961</v>
      </c>
      <c r="J259" s="6">
        <f>'Raw Data'!J259</f>
        <v>163.233</v>
      </c>
      <c r="K259" s="1">
        <f>VALUE(IFERROR(VALUE('Raw Data'!K259),CONCATENATE(MID('Raw Data'!K259,3,2),".","0",LEFT('Raw Data'!K259,1),".", RIGHT('Raw Data'!K259,4))))</f>
        <v>43587</v>
      </c>
      <c r="L259" s="2">
        <f>'Raw Data'!L259</f>
        <v>0.42777777777777781</v>
      </c>
      <c r="M259" t="s">
        <v>23</v>
      </c>
      <c r="N259">
        <f>VALUE(IF(AND(ISERR(FIND(".",'Raw Data'!N259)),LEN('Raw Data'!N259)=5), IF(YEAR('Raw Data'!N259)=2026,CONCATENATE(DAY('Raw Data'!N259),".",IF(LEN(MONTH('Raw Data'!N259))=2,MONTH('Raw Data'!N259),CONCATENATE("0",MONTH('Raw Data'!N259)))),CONCATENATE(MONTH('Raw Data'!N259),".",RIGHT(YEAR('Raw Data'!N259),2))),'Raw Data'!N259))</f>
        <v>155.46</v>
      </c>
      <c r="O259" s="6">
        <f t="shared" ref="O259:O322" si="13">P259/J259*100</f>
        <v>4.7619047619047592</v>
      </c>
      <c r="P259" s="6">
        <f t="shared" ref="P259:P322" si="14">J259-N259</f>
        <v>7.7729999999999961</v>
      </c>
      <c r="Q259">
        <f>VALUE(IF(AND(ISERR(FIND(".",'Raw Data'!Q259)),LEN('Raw Data'!Q259)=5), IF(YEAR('Raw Data'!Q259)=2026,CONCATENATE(DAY('Raw Data'!Q259),".",IF(LEN(MONTH('Raw Data'!Q259))=2,MONTH('Raw Data'!Q259),CONCATENATE(MONTH('Raw Data'!Q259)))),CONCATENATE(MONTH('Raw Data'!Q259),".",RIGHT(YEAR('Raw Data'!Q259),2))),'Raw Data'!Q259))</f>
        <v>8.6999999999999993</v>
      </c>
    </row>
    <row r="260" spans="1:17">
      <c r="A260" t="s">
        <v>345</v>
      </c>
      <c r="B260" t="s">
        <v>18</v>
      </c>
      <c r="C260" t="s">
        <v>19</v>
      </c>
      <c r="D260" t="s">
        <v>20</v>
      </c>
      <c r="E260" t="s">
        <v>30</v>
      </c>
      <c r="F260" t="s">
        <v>28</v>
      </c>
      <c r="G260">
        <f>VALUE(IF(AND(ISERR(FIND(".",'Raw Data'!G260)),LEN('Raw Data'!G260)=5), IF(YEAR('Raw Data'!G260)=2026,CONCATENATE(DAY('Raw Data'!G260),".",IF(LEN(MONTH('Raw Data'!G260))=2,MONTH('Raw Data'!G260),CONCATENATE("0",MONTH('Raw Data'!G260)))),CONCATENATE(MONTH('Raw Data'!G260),".",RIGHT(YEAR('Raw Data'!G260),2))),'Raw Data'!G260))</f>
        <v>32.25</v>
      </c>
      <c r="H260">
        <f>'Raw Data'!H260</f>
        <v>4</v>
      </c>
      <c r="I260" s="6">
        <f t="shared" si="12"/>
        <v>6.4499999999999886</v>
      </c>
      <c r="J260" s="6">
        <f>'Raw Data'!J260</f>
        <v>135.44999999999999</v>
      </c>
      <c r="K260" s="1">
        <f>VALUE(IFERROR(VALUE('Raw Data'!K260),CONCATENATE(MID('Raw Data'!K260,3,2),".","0",LEFT('Raw Data'!K260,1),".", RIGHT('Raw Data'!K260,4))))</f>
        <v>43509</v>
      </c>
      <c r="L260" s="2">
        <f>'Raw Data'!L260</f>
        <v>0.52638888888888891</v>
      </c>
      <c r="M260" t="s">
        <v>23</v>
      </c>
      <c r="N260">
        <f>VALUE(IF(AND(ISERR(FIND(".",'Raw Data'!N260)),LEN('Raw Data'!N260)=5), IF(YEAR('Raw Data'!N260)=2026,CONCATENATE(DAY('Raw Data'!N260),".",IF(LEN(MONTH('Raw Data'!N260))=2,MONTH('Raw Data'!N260),CONCATENATE("0",MONTH('Raw Data'!N260)))),CONCATENATE(MONTH('Raw Data'!N260),".",RIGHT(YEAR('Raw Data'!N260),2))),'Raw Data'!N260))</f>
        <v>129</v>
      </c>
      <c r="O260" s="6">
        <f t="shared" si="13"/>
        <v>4.7619047619047539</v>
      </c>
      <c r="P260" s="6">
        <f t="shared" si="14"/>
        <v>6.4499999999999886</v>
      </c>
      <c r="Q260">
        <f>VALUE(IF(AND(ISERR(FIND(".",'Raw Data'!Q260)),LEN('Raw Data'!Q260)=5), IF(YEAR('Raw Data'!Q260)=2026,CONCATENATE(DAY('Raw Data'!Q260),".",IF(LEN(MONTH('Raw Data'!Q260))=2,MONTH('Raw Data'!Q260),CONCATENATE(MONTH('Raw Data'!Q260)))),CONCATENATE(MONTH('Raw Data'!Q260),".",RIGHT(YEAR('Raw Data'!Q260),2))),'Raw Data'!Q260))</f>
        <v>6.5</v>
      </c>
    </row>
    <row r="261" spans="1:17">
      <c r="A261" t="s">
        <v>346</v>
      </c>
      <c r="B261" t="s">
        <v>25</v>
      </c>
      <c r="C261" t="s">
        <v>26</v>
      </c>
      <c r="D261" t="s">
        <v>20</v>
      </c>
      <c r="E261" t="s">
        <v>30</v>
      </c>
      <c r="F261" t="s">
        <v>28</v>
      </c>
      <c r="G261">
        <f>VALUE(IF(AND(ISERR(FIND(".",'Raw Data'!G261)),LEN('Raw Data'!G261)=5), IF(YEAR('Raw Data'!G261)=2026,CONCATENATE(DAY('Raw Data'!G261),".",IF(LEN(MONTH('Raw Data'!G261))=2,MONTH('Raw Data'!G261),CONCATENATE("0",MONTH('Raw Data'!G261)))),CONCATENATE(MONTH('Raw Data'!G261),".",RIGHT(YEAR('Raw Data'!G261),2))),'Raw Data'!G261))</f>
        <v>65.94</v>
      </c>
      <c r="H261">
        <f>'Raw Data'!H261</f>
        <v>4</v>
      </c>
      <c r="I261" s="6">
        <f t="shared" si="12"/>
        <v>13.187999999999988</v>
      </c>
      <c r="J261" s="6">
        <f>'Raw Data'!J261</f>
        <v>276.94799999999998</v>
      </c>
      <c r="K261" s="1">
        <f>VALUE(IFERROR(VALUE('Raw Data'!K261),CONCATENATE(MID('Raw Data'!K261,3,2),".","0",LEFT('Raw Data'!K261,1),".", RIGHT('Raw Data'!K261,4))))</f>
        <v>43648</v>
      </c>
      <c r="L261" s="2">
        <f>'Raw Data'!L261</f>
        <v>0.54513888888888895</v>
      </c>
      <c r="M261" t="s">
        <v>33</v>
      </c>
      <c r="N261">
        <f>VALUE(IF(AND(ISERR(FIND(".",'Raw Data'!N261)),LEN('Raw Data'!N261)=5), IF(YEAR('Raw Data'!N261)=2026,CONCATENATE(DAY('Raw Data'!N261),".",IF(LEN(MONTH('Raw Data'!N261))=2,MONTH('Raw Data'!N261),CONCATENATE("0",MONTH('Raw Data'!N261)))),CONCATENATE(MONTH('Raw Data'!N261),".",RIGHT(YEAR('Raw Data'!N261),2))),'Raw Data'!N261))</f>
        <v>263.76</v>
      </c>
      <c r="O261" s="6">
        <f t="shared" si="13"/>
        <v>4.7619047619047583</v>
      </c>
      <c r="P261" s="6">
        <f t="shared" si="14"/>
        <v>13.187999999999988</v>
      </c>
      <c r="Q261">
        <f>VALUE(IF(AND(ISERR(FIND(".",'Raw Data'!Q261)),LEN('Raw Data'!Q261)=5), IF(YEAR('Raw Data'!Q261)=2026,CONCATENATE(DAY('Raw Data'!Q261),".",IF(LEN(MONTH('Raw Data'!Q261))=2,MONTH('Raw Data'!Q261),CONCATENATE(MONTH('Raw Data'!Q261)))),CONCATENATE(MONTH('Raw Data'!Q261),".",RIGHT(YEAR('Raw Data'!Q261),2))),'Raw Data'!Q261))</f>
        <v>6.9</v>
      </c>
    </row>
    <row r="262" spans="1:17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f>VALUE(IF(AND(ISERR(FIND(".",'Raw Data'!G262)),LEN('Raw Data'!G262)=5), IF(YEAR('Raw Data'!G262)=2026,CONCATENATE(DAY('Raw Data'!G262),".",IF(LEN(MONTH('Raw Data'!G262))=2,MONTH('Raw Data'!G262),CONCATENATE("0",MONTH('Raw Data'!G262)))),CONCATENATE(MONTH('Raw Data'!G262),".",RIGHT(YEAR('Raw Data'!G262),2))),'Raw Data'!G262))</f>
        <v>75.06</v>
      </c>
      <c r="H262">
        <f>'Raw Data'!H262</f>
        <v>9</v>
      </c>
      <c r="I262" s="6">
        <f t="shared" si="12"/>
        <v>33.777000000000044</v>
      </c>
      <c r="J262" s="6">
        <f>'Raw Data'!J262</f>
        <v>709.31700000000001</v>
      </c>
      <c r="K262" s="1">
        <f>VALUE(IFERROR(VALUE('Raw Data'!K262),CONCATENATE(MID('Raw Data'!K262,3,2),".","0",LEFT('Raw Data'!K262,1),".", RIGHT('Raw Data'!K262,4))))</f>
        <v>43543</v>
      </c>
      <c r="L262" s="2">
        <f>'Raw Data'!L262</f>
        <v>0.55902777777777779</v>
      </c>
      <c r="M262" t="s">
        <v>23</v>
      </c>
      <c r="N262">
        <f>VALUE(IF(AND(ISERR(FIND(".",'Raw Data'!N262)),LEN('Raw Data'!N262)=5), IF(YEAR('Raw Data'!N262)=2026,CONCATENATE(DAY('Raw Data'!N262),".",IF(LEN(MONTH('Raw Data'!N262))=2,MONTH('Raw Data'!N262),CONCATENATE("0",MONTH('Raw Data'!N262)))),CONCATENATE(MONTH('Raw Data'!N262),".",RIGHT(YEAR('Raw Data'!N262),2))),'Raw Data'!N262))</f>
        <v>675.54</v>
      </c>
      <c r="O262" s="6">
        <f t="shared" si="13"/>
        <v>4.7619047619047681</v>
      </c>
      <c r="P262" s="6">
        <f t="shared" si="14"/>
        <v>33.777000000000044</v>
      </c>
      <c r="Q262">
        <f>VALUE(IF(AND(ISERR(FIND(".",'Raw Data'!Q262)),LEN('Raw Data'!Q262)=5), IF(YEAR('Raw Data'!Q262)=2026,CONCATENATE(DAY('Raw Data'!Q262),".",IF(LEN(MONTH('Raw Data'!Q262))=2,MONTH('Raw Data'!Q262),CONCATENATE(MONTH('Raw Data'!Q262)))),CONCATENATE(MONTH('Raw Data'!Q262),".",RIGHT(YEAR('Raw Data'!Q262),2))),'Raw Data'!Q262))</f>
        <v>6.2</v>
      </c>
    </row>
    <row r="263" spans="1:17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43</v>
      </c>
      <c r="G263">
        <f>VALUE(IF(AND(ISERR(FIND(".",'Raw Data'!G263)),LEN('Raw Data'!G263)=5), IF(YEAR('Raw Data'!G263)=2026,CONCATENATE(DAY('Raw Data'!G263),".",IF(LEN(MONTH('Raw Data'!G263))=2,MONTH('Raw Data'!G263),CONCATENATE("0",MONTH('Raw Data'!G263)))),CONCATENATE(MONTH('Raw Data'!G263),".",RIGHT(YEAR('Raw Data'!G263),2))),'Raw Data'!G263))</f>
        <v>16.45</v>
      </c>
      <c r="H263">
        <f>'Raw Data'!H263</f>
        <v>4</v>
      </c>
      <c r="I263" s="6">
        <f t="shared" si="12"/>
        <v>3.2900000000000063</v>
      </c>
      <c r="J263" s="6">
        <f>'Raw Data'!J263</f>
        <v>69.09</v>
      </c>
      <c r="K263" s="1">
        <f>VALUE(IFERROR(VALUE('Raw Data'!K263),CONCATENATE(MID('Raw Data'!K263,3,2),".","0",LEFT('Raw Data'!K263,1),".", RIGHT('Raw Data'!K263,4))))</f>
        <v>43649</v>
      </c>
      <c r="L263" s="2">
        <f>'Raw Data'!L263</f>
        <v>0.62013888888888891</v>
      </c>
      <c r="M263" t="s">
        <v>23</v>
      </c>
      <c r="N263">
        <f>VALUE(IF(AND(ISERR(FIND(".",'Raw Data'!N263)),LEN('Raw Data'!N263)=5), IF(YEAR('Raw Data'!N263)=2026,CONCATENATE(DAY('Raw Data'!N263),".",IF(LEN(MONTH('Raw Data'!N263))=2,MONTH('Raw Data'!N263),CONCATENATE("0",MONTH('Raw Data'!N263)))),CONCATENATE(MONTH('Raw Data'!N263),".",RIGHT(YEAR('Raw Data'!N263),2))),'Raw Data'!N263))</f>
        <v>65.8</v>
      </c>
      <c r="O263" s="6">
        <f t="shared" si="13"/>
        <v>4.7619047619047707</v>
      </c>
      <c r="P263" s="6">
        <f t="shared" si="14"/>
        <v>3.2900000000000063</v>
      </c>
      <c r="Q263">
        <f>VALUE(IF(AND(ISERR(FIND(".",'Raw Data'!Q263)),LEN('Raw Data'!Q263)=5), IF(YEAR('Raw Data'!Q263)=2026,CONCATENATE(DAY('Raw Data'!Q263),".",IF(LEN(MONTH('Raw Data'!Q263))=2,MONTH('Raw Data'!Q263),CONCATENATE(MONTH('Raw Data'!Q263)))),CONCATENATE(MONTH('Raw Data'!Q263),".",RIGHT(YEAR('Raw Data'!Q263),2))),'Raw Data'!Q263))</f>
        <v>5.6</v>
      </c>
    </row>
    <row r="264" spans="1:17">
      <c r="A264" t="s">
        <v>349</v>
      </c>
      <c r="B264" t="s">
        <v>34</v>
      </c>
      <c r="C264" t="s">
        <v>35</v>
      </c>
      <c r="D264" t="s">
        <v>20</v>
      </c>
      <c r="E264" t="s">
        <v>21</v>
      </c>
      <c r="F264" t="s">
        <v>43</v>
      </c>
      <c r="G264">
        <f>VALUE(IF(AND(ISERR(FIND(".",'Raw Data'!G264)),LEN('Raw Data'!G264)=5), IF(YEAR('Raw Data'!G264)=2026,CONCATENATE(DAY('Raw Data'!G264),".",IF(LEN(MONTH('Raw Data'!G264))=2,MONTH('Raw Data'!G264),CONCATENATE("0",MONTH('Raw Data'!G264)))),CONCATENATE(MONTH('Raw Data'!G264),".",RIGHT(YEAR('Raw Data'!G264),2))),'Raw Data'!G264))</f>
        <v>38.299999999999997</v>
      </c>
      <c r="H264">
        <f>'Raw Data'!H264</f>
        <v>4</v>
      </c>
      <c r="I264" s="6">
        <f t="shared" si="12"/>
        <v>7.660000000000025</v>
      </c>
      <c r="J264" s="6">
        <f>'Raw Data'!J264</f>
        <v>160.86000000000001</v>
      </c>
      <c r="K264" s="1">
        <f>VALUE(IFERROR(VALUE('Raw Data'!K264),CONCATENATE(MID('Raw Data'!K264,3,2),".","0",LEFT('Raw Data'!K264,1),".", RIGHT('Raw Data'!K264,4))))</f>
        <v>43537</v>
      </c>
      <c r="L264" s="2">
        <f>'Raw Data'!L264</f>
        <v>0.80694444444444446</v>
      </c>
      <c r="M264" t="s">
        <v>29</v>
      </c>
      <c r="N264">
        <f>VALUE(IF(AND(ISERR(FIND(".",'Raw Data'!N264)),LEN('Raw Data'!N264)=5), IF(YEAR('Raw Data'!N264)=2026,CONCATENATE(DAY('Raw Data'!N264),".",IF(LEN(MONTH('Raw Data'!N264))=2,MONTH('Raw Data'!N264),CONCATENATE("0",MONTH('Raw Data'!N264)))),CONCATENATE(MONTH('Raw Data'!N264),".",RIGHT(YEAR('Raw Data'!N264),2))),'Raw Data'!N264))</f>
        <v>153.19999999999999</v>
      </c>
      <c r="O264" s="6">
        <f t="shared" si="13"/>
        <v>4.761904761904777</v>
      </c>
      <c r="P264" s="6">
        <f t="shared" si="14"/>
        <v>7.660000000000025</v>
      </c>
      <c r="Q264">
        <f>VALUE(IF(AND(ISERR(FIND(".",'Raw Data'!Q264)),LEN('Raw Data'!Q264)=5), IF(YEAR('Raw Data'!Q264)=2026,CONCATENATE(DAY('Raw Data'!Q264),".",IF(LEN(MONTH('Raw Data'!Q264))=2,MONTH('Raw Data'!Q264),CONCATENATE(MONTH('Raw Data'!Q264)))),CONCATENATE(MONTH('Raw Data'!Q264),".",RIGHT(YEAR('Raw Data'!Q264),2))),'Raw Data'!Q264))</f>
        <v>5.7</v>
      </c>
    </row>
    <row r="265" spans="1:17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38</v>
      </c>
      <c r="G265">
        <f>VALUE(IF(AND(ISERR(FIND(".",'Raw Data'!G265)),LEN('Raw Data'!G265)=5), IF(YEAR('Raw Data'!G265)=2026,CONCATENATE(DAY('Raw Data'!G265),".",IF(LEN(MONTH('Raw Data'!G265))=2,MONTH('Raw Data'!G265),CONCATENATE("0",MONTH('Raw Data'!G265)))),CONCATENATE(MONTH('Raw Data'!G265),".",RIGHT(YEAR('Raw Data'!G265),2))),'Raw Data'!G265))</f>
        <v>22.24</v>
      </c>
      <c r="H265">
        <f>'Raw Data'!H265</f>
        <v>10</v>
      </c>
      <c r="I265" s="6">
        <f t="shared" si="12"/>
        <v>11.120000000000033</v>
      </c>
      <c r="J265" s="6">
        <f>'Raw Data'!J265</f>
        <v>233.52</v>
      </c>
      <c r="K265" s="1">
        <f>VALUE(IFERROR(VALUE('Raw Data'!K265),CONCATENATE(MID('Raw Data'!K265,3,2),".","0",LEFT('Raw Data'!K265,1),".", RIGHT('Raw Data'!K265,4))))</f>
        <v>43710</v>
      </c>
      <c r="L265" s="2">
        <f>'Raw Data'!L265</f>
        <v>0.45833333333333331</v>
      </c>
      <c r="M265" t="s">
        <v>29</v>
      </c>
      <c r="N265">
        <f>VALUE(IF(AND(ISERR(FIND(".",'Raw Data'!N265)),LEN('Raw Data'!N265)=5), IF(YEAR('Raw Data'!N265)=2026,CONCATENATE(DAY('Raw Data'!N265),".",IF(LEN(MONTH('Raw Data'!N265))=2,MONTH('Raw Data'!N265),CONCATENATE("0",MONTH('Raw Data'!N265)))),CONCATENATE(MONTH('Raw Data'!N265),".",RIGHT(YEAR('Raw Data'!N265),2))),'Raw Data'!N265))</f>
        <v>222.4</v>
      </c>
      <c r="O265" s="6">
        <f t="shared" si="13"/>
        <v>4.7619047619047636</v>
      </c>
      <c r="P265" s="6">
        <f t="shared" si="14"/>
        <v>11.120000000000005</v>
      </c>
      <c r="Q265">
        <f>VALUE(IF(AND(ISERR(FIND(".",'Raw Data'!Q265)),LEN('Raw Data'!Q265)=5), IF(YEAR('Raw Data'!Q265)=2026,CONCATENATE(DAY('Raw Data'!Q265),".",IF(LEN(MONTH('Raw Data'!Q265))=2,MONTH('Raw Data'!Q265),CONCATENATE(MONTH('Raw Data'!Q265)))),CONCATENATE(MONTH('Raw Data'!Q265),".",RIGHT(YEAR('Raw Data'!Q265),2))),'Raw Data'!Q265))</f>
        <v>4.2</v>
      </c>
    </row>
    <row r="266" spans="1:17">
      <c r="A266" t="s">
        <v>351</v>
      </c>
      <c r="B266" t="s">
        <v>34</v>
      </c>
      <c r="C266" t="s">
        <v>35</v>
      </c>
      <c r="D266" t="s">
        <v>27</v>
      </c>
      <c r="E266" t="s">
        <v>30</v>
      </c>
      <c r="F266" t="s">
        <v>38</v>
      </c>
      <c r="G266">
        <f>VALUE(IF(AND(ISERR(FIND(".",'Raw Data'!G266)),LEN('Raw Data'!G266)=5), IF(YEAR('Raw Data'!G266)=2026,CONCATENATE(DAY('Raw Data'!G266),".",IF(LEN(MONTH('Raw Data'!G266))=2,MONTH('Raw Data'!G266),CONCATENATE("0",MONTH('Raw Data'!G266)))),CONCATENATE(MONTH('Raw Data'!G266),".",RIGHT(YEAR('Raw Data'!G266),2))),'Raw Data'!G266))</f>
        <v>54.45</v>
      </c>
      <c r="H266">
        <f>'Raw Data'!H266</f>
        <v>1</v>
      </c>
      <c r="I266" s="6">
        <f t="shared" si="12"/>
        <v>2.7224999999999966</v>
      </c>
      <c r="J266" s="6">
        <f>'Raw Data'!J266</f>
        <v>57.172499999999999</v>
      </c>
      <c r="K266" s="1">
        <f>VALUE(IFERROR(VALUE('Raw Data'!K266),CONCATENATE(MID('Raw Data'!K266,3,2),".","0",LEFT('Raw Data'!K266,1),".", RIGHT('Raw Data'!K266,4))))</f>
        <v>43522</v>
      </c>
      <c r="L266" s="2">
        <f>'Raw Data'!L266</f>
        <v>0.80833333333333324</v>
      </c>
      <c r="M266" t="s">
        <v>23</v>
      </c>
      <c r="N266">
        <f>VALUE(IF(AND(ISERR(FIND(".",'Raw Data'!N266)),LEN('Raw Data'!N266)=5), IF(YEAR('Raw Data'!N266)=2026,CONCATENATE(DAY('Raw Data'!N266),".",IF(LEN(MONTH('Raw Data'!N266))=2,MONTH('Raw Data'!N266),CONCATENATE("0",MONTH('Raw Data'!N266)))),CONCATENATE(MONTH('Raw Data'!N266),".",RIGHT(YEAR('Raw Data'!N266),2))),'Raw Data'!N266))</f>
        <v>54.45</v>
      </c>
      <c r="O266" s="6">
        <f t="shared" si="13"/>
        <v>4.7619047619047556</v>
      </c>
      <c r="P266" s="6">
        <f t="shared" si="14"/>
        <v>2.7224999999999966</v>
      </c>
      <c r="Q266">
        <f>VALUE(IF(AND(ISERR(FIND(".",'Raw Data'!Q266)),LEN('Raw Data'!Q266)=5), IF(YEAR('Raw Data'!Q266)=2026,CONCATENATE(DAY('Raw Data'!Q266),".",IF(LEN(MONTH('Raw Data'!Q266))=2,MONTH('Raw Data'!Q266),CONCATENATE(MONTH('Raw Data'!Q266)))),CONCATENATE(MONTH('Raw Data'!Q266),".",RIGHT(YEAR('Raw Data'!Q266),2))),'Raw Data'!Q266))</f>
        <v>7.9</v>
      </c>
    </row>
    <row r="267" spans="1:17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38</v>
      </c>
      <c r="G267">
        <f>VALUE(IF(AND(ISERR(FIND(".",'Raw Data'!G267)),LEN('Raw Data'!G267)=5), IF(YEAR('Raw Data'!G267)=2026,CONCATENATE(DAY('Raw Data'!G267),".",IF(LEN(MONTH('Raw Data'!G267))=2,MONTH('Raw Data'!G267),CONCATENATE("0",MONTH('Raw Data'!G267)))),CONCATENATE(MONTH('Raw Data'!G267),".",RIGHT(YEAR('Raw Data'!G267),2))),'Raw Data'!G267))</f>
        <v>98.4</v>
      </c>
      <c r="H267">
        <f>'Raw Data'!H267</f>
        <v>7</v>
      </c>
      <c r="I267" s="6">
        <f t="shared" si="12"/>
        <v>34.439999999999941</v>
      </c>
      <c r="J267" s="6">
        <f>'Raw Data'!J267</f>
        <v>723.24</v>
      </c>
      <c r="K267" s="1">
        <f>VALUE(IFERROR(VALUE('Raw Data'!K267),CONCATENATE(MID('Raw Data'!K267,3,2),".","0",LEFT('Raw Data'!K267,1),".", RIGHT('Raw Data'!K267,4))))</f>
        <v>43802</v>
      </c>
      <c r="L267" s="2">
        <f>'Raw Data'!L267</f>
        <v>0.52986111111111112</v>
      </c>
      <c r="M267" t="s">
        <v>33</v>
      </c>
      <c r="N267">
        <f>VALUE(IF(AND(ISERR(FIND(".",'Raw Data'!N267)),LEN('Raw Data'!N267)=5), IF(YEAR('Raw Data'!N267)=2026,CONCATENATE(DAY('Raw Data'!N267),".",IF(LEN(MONTH('Raw Data'!N267))=2,MONTH('Raw Data'!N267),CONCATENATE("0",MONTH('Raw Data'!N267)))),CONCATENATE(MONTH('Raw Data'!N267),".",RIGHT(YEAR('Raw Data'!N267),2))),'Raw Data'!N267))</f>
        <v>688.8</v>
      </c>
      <c r="O267" s="6">
        <f t="shared" si="13"/>
        <v>4.761904761904769</v>
      </c>
      <c r="P267" s="6">
        <f t="shared" si="14"/>
        <v>34.440000000000055</v>
      </c>
      <c r="Q267">
        <f>VALUE(IF(AND(ISERR(FIND(".",'Raw Data'!Q267)),LEN('Raw Data'!Q267)=5), IF(YEAR('Raw Data'!Q267)=2026,CONCATENATE(DAY('Raw Data'!Q267),".",IF(LEN(MONTH('Raw Data'!Q267))=2,MONTH('Raw Data'!Q267),CONCATENATE(MONTH('Raw Data'!Q267)))),CONCATENATE(MONTH('Raw Data'!Q267),".",RIGHT(YEAR('Raw Data'!Q267),2))),'Raw Data'!Q267))</f>
        <v>8.6999999999999993</v>
      </c>
    </row>
    <row r="268" spans="1:17">
      <c r="A268" t="s">
        <v>353</v>
      </c>
      <c r="B268" t="s">
        <v>25</v>
      </c>
      <c r="C268" t="s">
        <v>26</v>
      </c>
      <c r="D268" t="s">
        <v>27</v>
      </c>
      <c r="E268" t="s">
        <v>30</v>
      </c>
      <c r="F268" t="s">
        <v>32</v>
      </c>
      <c r="G268">
        <f>VALUE(IF(AND(ISERR(FIND(".",'Raw Data'!G268)),LEN('Raw Data'!G268)=5), IF(YEAR('Raw Data'!G268)=2026,CONCATENATE(DAY('Raw Data'!G268),".",IF(LEN(MONTH('Raw Data'!G268))=2,MONTH('Raw Data'!G268),CONCATENATE("0",MONTH('Raw Data'!G268)))),CONCATENATE(MONTH('Raw Data'!G268),".",RIGHT(YEAR('Raw Data'!G268),2))),'Raw Data'!G268))</f>
        <v>35.47</v>
      </c>
      <c r="H268">
        <f>'Raw Data'!H268</f>
        <v>4</v>
      </c>
      <c r="I268" s="6">
        <f t="shared" si="12"/>
        <v>7.0939999999999941</v>
      </c>
      <c r="J268" s="6">
        <f>'Raw Data'!J268</f>
        <v>148.97399999999999</v>
      </c>
      <c r="K268" s="1">
        <f>VALUE(IFERROR(VALUE('Raw Data'!K268),CONCATENATE(MID('Raw Data'!K268,3,2),".","0",LEFT('Raw Data'!K268,1),".", RIGHT('Raw Data'!K268,4))))</f>
        <v>43538</v>
      </c>
      <c r="L268" s="2">
        <f>'Raw Data'!L268</f>
        <v>0.72361111111111109</v>
      </c>
      <c r="M268" t="s">
        <v>33</v>
      </c>
      <c r="N268">
        <f>VALUE(IF(AND(ISERR(FIND(".",'Raw Data'!N268)),LEN('Raw Data'!N268)=5), IF(YEAR('Raw Data'!N268)=2026,CONCATENATE(DAY('Raw Data'!N268),".",IF(LEN(MONTH('Raw Data'!N268))=2,MONTH('Raw Data'!N268),CONCATENATE("0",MONTH('Raw Data'!N268)))),CONCATENATE(MONTH('Raw Data'!N268),".",RIGHT(YEAR('Raw Data'!N268),2))),'Raw Data'!N268))</f>
        <v>141.88</v>
      </c>
      <c r="O268" s="6">
        <f t="shared" si="13"/>
        <v>4.7619047619047583</v>
      </c>
      <c r="P268" s="6">
        <f t="shared" si="14"/>
        <v>7.0939999999999941</v>
      </c>
      <c r="Q268">
        <f>VALUE(IF(AND(ISERR(FIND(".",'Raw Data'!Q268)),LEN('Raw Data'!Q268)=5), IF(YEAR('Raw Data'!Q268)=2026,CONCATENATE(DAY('Raw Data'!Q268),".",IF(LEN(MONTH('Raw Data'!Q268))=2,MONTH('Raw Data'!Q268),CONCATENATE(MONTH('Raw Data'!Q268)))),CONCATENATE(MONTH('Raw Data'!Q268),".",RIGHT(YEAR('Raw Data'!Q268),2))),'Raw Data'!Q268))</f>
        <v>6.9</v>
      </c>
    </row>
    <row r="269" spans="1:17">
      <c r="A269" t="s">
        <v>355</v>
      </c>
      <c r="B269" t="s">
        <v>34</v>
      </c>
      <c r="C269" t="s">
        <v>35</v>
      </c>
      <c r="D269" t="s">
        <v>20</v>
      </c>
      <c r="E269" t="s">
        <v>21</v>
      </c>
      <c r="F269" t="s">
        <v>40</v>
      </c>
      <c r="G269">
        <f>VALUE(IF(AND(ISERR(FIND(".",'Raw Data'!G269)),LEN('Raw Data'!G269)=5), IF(YEAR('Raw Data'!G269)=2026,CONCATENATE(DAY('Raw Data'!G269),".",IF(LEN(MONTH('Raw Data'!G269))=2,MONTH('Raw Data'!G269),CONCATENATE("0",MONTH('Raw Data'!G269)))),CONCATENATE(MONTH('Raw Data'!G269),".",RIGHT(YEAR('Raw Data'!G269),2))),'Raw Data'!G269))</f>
        <v>74.599999999999994</v>
      </c>
      <c r="H269">
        <f>'Raw Data'!H269</f>
        <v>10</v>
      </c>
      <c r="I269" s="6">
        <f t="shared" si="12"/>
        <v>37.299999999999955</v>
      </c>
      <c r="J269" s="6">
        <f>'Raw Data'!J269</f>
        <v>783.3</v>
      </c>
      <c r="K269" s="1">
        <f>VALUE(IFERROR(VALUE('Raw Data'!K269),CONCATENATE(MID('Raw Data'!K269,3,2),".","0",LEFT('Raw Data'!K269,1),".", RIGHT('Raw Data'!K269,4))))</f>
        <v>43678</v>
      </c>
      <c r="L269" s="2">
        <f>'Raw Data'!L269</f>
        <v>0.87152777777777779</v>
      </c>
      <c r="M269" t="s">
        <v>29</v>
      </c>
      <c r="N269">
        <f>VALUE(IF(AND(ISERR(FIND(".",'Raw Data'!N269)),LEN('Raw Data'!N269)=5), IF(YEAR('Raw Data'!N269)=2026,CONCATENATE(DAY('Raw Data'!N269),".",IF(LEN(MONTH('Raw Data'!N269))=2,MONTH('Raw Data'!N269),CONCATENATE("0",MONTH('Raw Data'!N269)))),CONCATENATE(MONTH('Raw Data'!N269),".",RIGHT(YEAR('Raw Data'!N269),2))),'Raw Data'!N269))</f>
        <v>746</v>
      </c>
      <c r="O269" s="6">
        <f t="shared" si="13"/>
        <v>4.7619047619047556</v>
      </c>
      <c r="P269" s="6">
        <f t="shared" si="14"/>
        <v>37.299999999999955</v>
      </c>
      <c r="Q269">
        <f>VALUE(IF(AND(ISERR(FIND(".",'Raw Data'!Q269)),LEN('Raw Data'!Q269)=5), IF(YEAR('Raw Data'!Q269)=2026,CONCATENATE(DAY('Raw Data'!Q269),".",IF(LEN(MONTH('Raw Data'!Q269))=2,MONTH('Raw Data'!Q269),CONCATENATE(MONTH('Raw Data'!Q269)))),CONCATENATE(MONTH('Raw Data'!Q269),".",RIGHT(YEAR('Raw Data'!Q269),2))),'Raw Data'!Q269))</f>
        <v>9.5</v>
      </c>
    </row>
    <row r="270" spans="1:17">
      <c r="A270" t="s">
        <v>356</v>
      </c>
      <c r="B270" t="s">
        <v>18</v>
      </c>
      <c r="C270" t="s">
        <v>19</v>
      </c>
      <c r="D270" t="s">
        <v>20</v>
      </c>
      <c r="E270" t="s">
        <v>30</v>
      </c>
      <c r="F270" t="s">
        <v>32</v>
      </c>
      <c r="G270">
        <f>VALUE(IF(AND(ISERR(FIND(".",'Raw Data'!G270)),LEN('Raw Data'!G270)=5), IF(YEAR('Raw Data'!G270)=2026,CONCATENATE(DAY('Raw Data'!G270),".",IF(LEN(MONTH('Raw Data'!G270))=2,MONTH('Raw Data'!G270),CONCATENATE("0",MONTH('Raw Data'!G270)))),CONCATENATE(MONTH('Raw Data'!G270),".",RIGHT(YEAR('Raw Data'!G270),2))),'Raw Data'!G270))</f>
        <v>70.739999999999995</v>
      </c>
      <c r="H270">
        <f>'Raw Data'!H270</f>
        <v>4</v>
      </c>
      <c r="I270" s="6">
        <f t="shared" si="12"/>
        <v>14.148000000000025</v>
      </c>
      <c r="J270" s="6">
        <f>'Raw Data'!J270</f>
        <v>297.108</v>
      </c>
      <c r="K270" s="1">
        <f>VALUE(IFERROR(VALUE('Raw Data'!K270),CONCATENATE(MID('Raw Data'!K270,3,2),".","0",LEFT('Raw Data'!K270,1),".", RIGHT('Raw Data'!K270,4))))</f>
        <v>43586</v>
      </c>
      <c r="L270" s="2">
        <f>'Raw Data'!L270</f>
        <v>0.67013888888888884</v>
      </c>
      <c r="M270" t="s">
        <v>33</v>
      </c>
      <c r="N270">
        <f>VALUE(IF(AND(ISERR(FIND(".",'Raw Data'!N270)),LEN('Raw Data'!N270)=5), IF(YEAR('Raw Data'!N270)=2026,CONCATENATE(DAY('Raw Data'!N270),".",IF(LEN(MONTH('Raw Data'!N270))=2,MONTH('Raw Data'!N270),CONCATENATE("0",MONTH('Raw Data'!N270)))),CONCATENATE(MONTH('Raw Data'!N270),".",RIGHT(YEAR('Raw Data'!N270),2))),'Raw Data'!N270))</f>
        <v>282.95999999999998</v>
      </c>
      <c r="O270" s="6">
        <f t="shared" si="13"/>
        <v>4.7619047619047699</v>
      </c>
      <c r="P270" s="6">
        <f t="shared" si="14"/>
        <v>14.148000000000025</v>
      </c>
      <c r="Q270">
        <f>VALUE(IF(AND(ISERR(FIND(".",'Raw Data'!Q270)),LEN('Raw Data'!Q270)=5), IF(YEAR('Raw Data'!Q270)=2026,CONCATENATE(DAY('Raw Data'!Q270),".",IF(LEN(MONTH('Raw Data'!Q270))=2,MONTH('Raw Data'!Q270),CONCATENATE(MONTH('Raw Data'!Q270)))),CONCATENATE(MONTH('Raw Data'!Q270),".",RIGHT(YEAR('Raw Data'!Q270),2))),'Raw Data'!Q270))</f>
        <v>4.4000000000000004</v>
      </c>
    </row>
    <row r="271" spans="1:17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f>VALUE(IF(AND(ISERR(FIND(".",'Raw Data'!G271)),LEN('Raw Data'!G271)=5), IF(YEAR('Raw Data'!G271)=2026,CONCATENATE(DAY('Raw Data'!G271),".",IF(LEN(MONTH('Raw Data'!G271))=2,MONTH('Raw Data'!G271),CONCATENATE("0",MONTH('Raw Data'!G271)))),CONCATENATE(MONTH('Raw Data'!G271),".",RIGHT(YEAR('Raw Data'!G271),2))),'Raw Data'!G271))</f>
        <v>35.54</v>
      </c>
      <c r="H271">
        <f>'Raw Data'!H271</f>
        <v>10</v>
      </c>
      <c r="I271" s="6">
        <f t="shared" si="12"/>
        <v>17.770000000000039</v>
      </c>
      <c r="J271" s="6">
        <f>'Raw Data'!J271</f>
        <v>373.17</v>
      </c>
      <c r="K271" s="1">
        <f>VALUE(IFERROR(VALUE('Raw Data'!K271),CONCATENATE(MID('Raw Data'!K271,3,2),".","0",LEFT('Raw Data'!K271,1),".", RIGHT('Raw Data'!K271,4))))</f>
        <v>43556</v>
      </c>
      <c r="L271" s="2">
        <f>'Raw Data'!L271</f>
        <v>0.56527777777777777</v>
      </c>
      <c r="M271" t="s">
        <v>23</v>
      </c>
      <c r="N271">
        <f>VALUE(IF(AND(ISERR(FIND(".",'Raw Data'!N271)),LEN('Raw Data'!N271)=5), IF(YEAR('Raw Data'!N271)=2026,CONCATENATE(DAY('Raw Data'!N271),".",IF(LEN(MONTH('Raw Data'!N271))=2,MONTH('Raw Data'!N271),CONCATENATE("0",MONTH('Raw Data'!N271)))),CONCATENATE(MONTH('Raw Data'!N271),".",RIGHT(YEAR('Raw Data'!N271),2))),'Raw Data'!N271))</f>
        <v>355.4</v>
      </c>
      <c r="O271" s="6">
        <f t="shared" si="13"/>
        <v>4.7619047619047716</v>
      </c>
      <c r="P271" s="6">
        <f t="shared" si="14"/>
        <v>17.770000000000039</v>
      </c>
      <c r="Q271">
        <f>VALUE(IF(AND(ISERR(FIND(".",'Raw Data'!Q271)),LEN('Raw Data'!Q271)=5), IF(YEAR('Raw Data'!Q271)=2026,CONCATENATE(DAY('Raw Data'!Q271),".",IF(LEN(MONTH('Raw Data'!Q271))=2,MONTH('Raw Data'!Q271),CONCATENATE(MONTH('Raw Data'!Q271)))),CONCATENATE(MONTH('Raw Data'!Q271),".",RIGHT(YEAR('Raw Data'!Q271),2))),'Raw Data'!Q271))</f>
        <v>7</v>
      </c>
    </row>
    <row r="272" spans="1:17">
      <c r="A272" t="s">
        <v>358</v>
      </c>
      <c r="B272" t="s">
        <v>34</v>
      </c>
      <c r="C272" t="s">
        <v>35</v>
      </c>
      <c r="D272" t="s">
        <v>27</v>
      </c>
      <c r="E272" t="s">
        <v>21</v>
      </c>
      <c r="F272" t="s">
        <v>38</v>
      </c>
      <c r="G272">
        <f>VALUE(IF(AND(ISERR(FIND(".",'Raw Data'!G272)),LEN('Raw Data'!G272)=5), IF(YEAR('Raw Data'!G272)=2026,CONCATENATE(DAY('Raw Data'!G272),".",IF(LEN(MONTH('Raw Data'!G272))=2,MONTH('Raw Data'!G272),CONCATENATE("0",MONTH('Raw Data'!G272)))),CONCATENATE(MONTH('Raw Data'!G272),".",RIGHT(YEAR('Raw Data'!G272),2))),'Raw Data'!G272))</f>
        <v>67.430000000000007</v>
      </c>
      <c r="H272">
        <f>'Raw Data'!H272</f>
        <v>5</v>
      </c>
      <c r="I272" s="6">
        <f t="shared" si="12"/>
        <v>16.857499999999959</v>
      </c>
      <c r="J272" s="6">
        <f>'Raw Data'!J272</f>
        <v>354.00749999999999</v>
      </c>
      <c r="K272" s="1">
        <f>VALUE(IFERROR(VALUE('Raw Data'!K272),CONCATENATE(MID('Raw Data'!K272,3,2),".","0",LEFT('Raw Data'!K272,1),".", RIGHT('Raw Data'!K272,4))))</f>
        <v>43619</v>
      </c>
      <c r="L272" s="2">
        <f>'Raw Data'!L272</f>
        <v>0.75902777777777775</v>
      </c>
      <c r="M272" t="s">
        <v>23</v>
      </c>
      <c r="N272">
        <f>VALUE(IF(AND(ISERR(FIND(".",'Raw Data'!N272)),LEN('Raw Data'!N272)=5), IF(YEAR('Raw Data'!N272)=2026,CONCATENATE(DAY('Raw Data'!N272),".",IF(LEN(MONTH('Raw Data'!N272))=2,MONTH('Raw Data'!N272),CONCATENATE("0",MONTH('Raw Data'!N272)))),CONCATENATE(MONTH('Raw Data'!N272),".",RIGHT(YEAR('Raw Data'!N272),2))),'Raw Data'!N272))</f>
        <v>337.15</v>
      </c>
      <c r="O272" s="6">
        <f t="shared" si="13"/>
        <v>4.7619047619047663</v>
      </c>
      <c r="P272" s="6">
        <f t="shared" si="14"/>
        <v>16.857500000000016</v>
      </c>
      <c r="Q272">
        <f>VALUE(IF(AND(ISERR(FIND(".",'Raw Data'!Q272)),LEN('Raw Data'!Q272)=5), IF(YEAR('Raw Data'!Q272)=2026,CONCATENATE(DAY('Raw Data'!Q272),".",IF(LEN(MONTH('Raw Data'!Q272))=2,MONTH('Raw Data'!Q272),CONCATENATE(MONTH('Raw Data'!Q272)))),CONCATENATE(MONTH('Raw Data'!Q272),".",RIGHT(YEAR('Raw Data'!Q272),2))),'Raw Data'!Q272))</f>
        <v>6.3</v>
      </c>
    </row>
    <row r="273" spans="1:17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f>VALUE(IF(AND(ISERR(FIND(".",'Raw Data'!G273)),LEN('Raw Data'!G273)=5), IF(YEAR('Raw Data'!G273)=2026,CONCATENATE(DAY('Raw Data'!G273),".",IF(LEN(MONTH('Raw Data'!G273))=2,MONTH('Raw Data'!G273),CONCATENATE("0",MONTH('Raw Data'!G273)))),CONCATENATE(MONTH('Raw Data'!G273),".",RIGHT(YEAR('Raw Data'!G273),2))),'Raw Data'!G273))</f>
        <v>21.12</v>
      </c>
      <c r="H273">
        <f>'Raw Data'!H273</f>
        <v>2</v>
      </c>
      <c r="I273" s="6">
        <f t="shared" si="12"/>
        <v>2.1119999999999948</v>
      </c>
      <c r="J273" s="6">
        <f>'Raw Data'!J273</f>
        <v>44.351999999999997</v>
      </c>
      <c r="K273" s="1">
        <f>VALUE(IFERROR(VALUE('Raw Data'!K273),CONCATENATE(MID('Raw Data'!K273,3,2),".","0",LEFT('Raw Data'!K273,1),".", RIGHT('Raw Data'!K273,4))))</f>
        <v>43525</v>
      </c>
      <c r="L273" s="2">
        <f>'Raw Data'!L273</f>
        <v>0.80347222222222225</v>
      </c>
      <c r="M273" t="s">
        <v>29</v>
      </c>
      <c r="N273">
        <f>VALUE(IF(AND(ISERR(FIND(".",'Raw Data'!N273)),LEN('Raw Data'!N273)=5), IF(YEAR('Raw Data'!N273)=2026,CONCATENATE(DAY('Raw Data'!N273),".",IF(LEN(MONTH('Raw Data'!N273))=2,MONTH('Raw Data'!N273),CONCATENATE("0",MONTH('Raw Data'!N273)))),CONCATENATE(MONTH('Raw Data'!N273),".",RIGHT(YEAR('Raw Data'!N273),2))),'Raw Data'!N273))</f>
        <v>42.24</v>
      </c>
      <c r="O273" s="6">
        <f t="shared" si="13"/>
        <v>4.7619047619047503</v>
      </c>
      <c r="P273" s="6">
        <f t="shared" si="14"/>
        <v>2.1119999999999948</v>
      </c>
      <c r="Q273">
        <f>VALUE(IF(AND(ISERR(FIND(".",'Raw Data'!Q273)),LEN('Raw Data'!Q273)=5), IF(YEAR('Raw Data'!Q273)=2026,CONCATENATE(DAY('Raw Data'!Q273),".",IF(LEN(MONTH('Raw Data'!Q273))=2,MONTH('Raw Data'!Q273),CONCATENATE(MONTH('Raw Data'!Q273)))),CONCATENATE(MONTH('Raw Data'!Q273),".",RIGHT(YEAR('Raw Data'!Q273),2))),'Raw Data'!Q273))</f>
        <v>9.6999999999999993</v>
      </c>
    </row>
    <row r="274" spans="1:17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f>VALUE(IF(AND(ISERR(FIND(".",'Raw Data'!G274)),LEN('Raw Data'!G274)=5), IF(YEAR('Raw Data'!G274)=2026,CONCATENATE(DAY('Raw Data'!G274),".",IF(LEN(MONTH('Raw Data'!G274))=2,MONTH('Raw Data'!G274),CONCATENATE("0",MONTH('Raw Data'!G274)))),CONCATENATE(MONTH('Raw Data'!G274),".",RIGHT(YEAR('Raw Data'!G274),2))),'Raw Data'!G274))</f>
        <v>21.54</v>
      </c>
      <c r="H274">
        <f>'Raw Data'!H274</f>
        <v>9</v>
      </c>
      <c r="I274" s="6">
        <f t="shared" si="12"/>
        <v>9.6930000000000121</v>
      </c>
      <c r="J274" s="6">
        <f>'Raw Data'!J274</f>
        <v>203.553</v>
      </c>
      <c r="K274" s="1">
        <f>VALUE(IFERROR(VALUE('Raw Data'!K274),CONCATENATE(MID('Raw Data'!K274,3,2),".","0",LEFT('Raw Data'!K274,1),".", RIGHT('Raw Data'!K274,4))))</f>
        <v>43647</v>
      </c>
      <c r="L274" s="2">
        <f>'Raw Data'!L274</f>
        <v>0.48888888888888887</v>
      </c>
      <c r="M274" t="s">
        <v>33</v>
      </c>
      <c r="N274">
        <f>VALUE(IF(AND(ISERR(FIND(".",'Raw Data'!N274)),LEN('Raw Data'!N274)=5), IF(YEAR('Raw Data'!N274)=2026,CONCATENATE(DAY('Raw Data'!N274),".",IF(LEN(MONTH('Raw Data'!N274))=2,MONTH('Raw Data'!N274),CONCATENATE("0",MONTH('Raw Data'!N274)))),CONCATENATE(MONTH('Raw Data'!N274),".",RIGHT(YEAR('Raw Data'!N274),2))),'Raw Data'!N274))</f>
        <v>193.86</v>
      </c>
      <c r="O274" s="6">
        <f t="shared" si="13"/>
        <v>4.7619047619047539</v>
      </c>
      <c r="P274" s="6">
        <f t="shared" si="14"/>
        <v>9.6929999999999836</v>
      </c>
      <c r="Q274">
        <f>VALUE(IF(AND(ISERR(FIND(".",'Raw Data'!Q274)),LEN('Raw Data'!Q274)=5), IF(YEAR('Raw Data'!Q274)=2026,CONCATENATE(DAY('Raw Data'!Q274),".",IF(LEN(MONTH('Raw Data'!Q274))=2,MONTH('Raw Data'!Q274),CONCATENATE(MONTH('Raw Data'!Q274)))),CONCATENATE(MONTH('Raw Data'!Q274),".",RIGHT(YEAR('Raw Data'!Q274),2))),'Raw Data'!Q274))</f>
        <v>8.8000000000000007</v>
      </c>
    </row>
    <row r="275" spans="1:17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f>VALUE(IF(AND(ISERR(FIND(".",'Raw Data'!G275)),LEN('Raw Data'!G275)=5), IF(YEAR('Raw Data'!G275)=2026,CONCATENATE(DAY('Raw Data'!G275),".",IF(LEN(MONTH('Raw Data'!G275))=2,MONTH('Raw Data'!G275),CONCATENATE("0",MONTH('Raw Data'!G275)))),CONCATENATE(MONTH('Raw Data'!G275),".",RIGHT(YEAR('Raw Data'!G275),2))),'Raw Data'!G275))</f>
        <v>12.03</v>
      </c>
      <c r="H275">
        <f>'Raw Data'!H275</f>
        <v>2</v>
      </c>
      <c r="I275" s="6">
        <f t="shared" si="12"/>
        <v>1.203000000000003</v>
      </c>
      <c r="J275" s="6">
        <f>'Raw Data'!J275</f>
        <v>25.263000000000002</v>
      </c>
      <c r="K275" s="1">
        <f>VALUE(IFERROR(VALUE('Raw Data'!K275),CONCATENATE(MID('Raw Data'!K275,3,2),".","0",LEFT('Raw Data'!K275,1),".", RIGHT('Raw Data'!K275,4))))</f>
        <v>43492</v>
      </c>
      <c r="L275" s="2">
        <f>'Raw Data'!L275</f>
        <v>0.66041666666666665</v>
      </c>
      <c r="M275" t="s">
        <v>29</v>
      </c>
      <c r="N275">
        <f>VALUE(IF(AND(ISERR(FIND(".",'Raw Data'!N275)),LEN('Raw Data'!N275)=5), IF(YEAR('Raw Data'!N275)=2026,CONCATENATE(DAY('Raw Data'!N275),".",IF(LEN(MONTH('Raw Data'!N275))=2,MONTH('Raw Data'!N275),CONCATENATE("0",MONTH('Raw Data'!N275)))),CONCATENATE(MONTH('Raw Data'!N275),".",RIGHT(YEAR('Raw Data'!N275),2))),'Raw Data'!N275))</f>
        <v>24.06</v>
      </c>
      <c r="O275" s="6">
        <f t="shared" si="13"/>
        <v>4.7619047619047734</v>
      </c>
      <c r="P275" s="6">
        <f t="shared" si="14"/>
        <v>1.203000000000003</v>
      </c>
      <c r="Q275">
        <f>VALUE(IF(AND(ISERR(FIND(".",'Raw Data'!Q275)),LEN('Raw Data'!Q275)=5), IF(YEAR('Raw Data'!Q275)=2026,CONCATENATE(DAY('Raw Data'!Q275),".",IF(LEN(MONTH('Raw Data'!Q275))=2,MONTH('Raw Data'!Q275),CONCATENATE(MONTH('Raw Data'!Q275)))),CONCATENATE(MONTH('Raw Data'!Q275),".",RIGHT(YEAR('Raw Data'!Q275),2))),'Raw Data'!Q275))</f>
        <v>5.0999999999999996</v>
      </c>
    </row>
    <row r="276" spans="1:17">
      <c r="A276" t="s">
        <v>362</v>
      </c>
      <c r="B276" t="s">
        <v>34</v>
      </c>
      <c r="C276" t="s">
        <v>35</v>
      </c>
      <c r="D276" t="s">
        <v>27</v>
      </c>
      <c r="E276" t="s">
        <v>21</v>
      </c>
      <c r="F276" t="s">
        <v>22</v>
      </c>
      <c r="G276">
        <f>VALUE(IF(AND(ISERR(FIND(".",'Raw Data'!G276)),LEN('Raw Data'!G276)=5), IF(YEAR('Raw Data'!G276)=2026,CONCATENATE(DAY('Raw Data'!G276),".",IF(LEN(MONTH('Raw Data'!G276))=2,MONTH('Raw Data'!G276),CONCATENATE("0",MONTH('Raw Data'!G276)))),CONCATENATE(MONTH('Raw Data'!G276),".",RIGHT(YEAR('Raw Data'!G276),2))),'Raw Data'!G276))</f>
        <v>99.71</v>
      </c>
      <c r="H276">
        <f>'Raw Data'!H276</f>
        <v>6</v>
      </c>
      <c r="I276" s="6">
        <f t="shared" si="12"/>
        <v>29.913000000000011</v>
      </c>
      <c r="J276" s="6">
        <f>'Raw Data'!J276</f>
        <v>628.173</v>
      </c>
      <c r="K276" s="1">
        <f>VALUE(IFERROR(VALUE('Raw Data'!K276),CONCATENATE(MID('Raw Data'!K276,3,2),".","0",LEFT('Raw Data'!K276,1),".", RIGHT('Raw Data'!K276,4))))</f>
        <v>43522</v>
      </c>
      <c r="L276" s="2">
        <f>'Raw Data'!L276</f>
        <v>0.70277777777777783</v>
      </c>
      <c r="M276" t="s">
        <v>23</v>
      </c>
      <c r="N276">
        <f>VALUE(IF(AND(ISERR(FIND(".",'Raw Data'!N276)),LEN('Raw Data'!N276)=5), IF(YEAR('Raw Data'!N276)=2026,CONCATENATE(DAY('Raw Data'!N276),".",IF(LEN(MONTH('Raw Data'!N276))=2,MONTH('Raw Data'!N276),CONCATENATE("0",MONTH('Raw Data'!N276)))),CONCATENATE(MONTH('Raw Data'!N276),".",RIGHT(YEAR('Raw Data'!N276),2))),'Raw Data'!N276))</f>
        <v>598.26</v>
      </c>
      <c r="O276" s="6">
        <f t="shared" si="13"/>
        <v>4.7619047619047636</v>
      </c>
      <c r="P276" s="6">
        <f t="shared" si="14"/>
        <v>29.913000000000011</v>
      </c>
      <c r="Q276">
        <f>VALUE(IF(AND(ISERR(FIND(".",'Raw Data'!Q276)),LEN('Raw Data'!Q276)=5), IF(YEAR('Raw Data'!Q276)=2026,CONCATENATE(DAY('Raw Data'!Q276),".",IF(LEN(MONTH('Raw Data'!Q276))=2,MONTH('Raw Data'!Q276),CONCATENATE(MONTH('Raw Data'!Q276)))),CONCATENATE(MONTH('Raw Data'!Q276),".",RIGHT(YEAR('Raw Data'!Q276),2))),'Raw Data'!Q276))</f>
        <v>7.9</v>
      </c>
    </row>
    <row r="277" spans="1:17">
      <c r="A277" t="s">
        <v>363</v>
      </c>
      <c r="B277" t="s">
        <v>34</v>
      </c>
      <c r="C277" t="s">
        <v>35</v>
      </c>
      <c r="D277" t="s">
        <v>27</v>
      </c>
      <c r="E277" t="s">
        <v>30</v>
      </c>
      <c r="F277" t="s">
        <v>43</v>
      </c>
      <c r="G277">
        <f>VALUE(IF(AND(ISERR(FIND(".",'Raw Data'!G277)),LEN('Raw Data'!G277)=5), IF(YEAR('Raw Data'!G277)=2026,CONCATENATE(DAY('Raw Data'!G277),".",IF(LEN(MONTH('Raw Data'!G277))=2,MONTH('Raw Data'!G277),CONCATENATE("0",MONTH('Raw Data'!G277)))),CONCATENATE(MONTH('Raw Data'!G277),".",RIGHT(YEAR('Raw Data'!G277),2))),'Raw Data'!G277))</f>
        <v>47.97</v>
      </c>
      <c r="H277">
        <f>'Raw Data'!H277</f>
        <v>7</v>
      </c>
      <c r="I277" s="6">
        <f t="shared" si="12"/>
        <v>16.789500000000032</v>
      </c>
      <c r="J277" s="6">
        <f>'Raw Data'!J277</f>
        <v>352.5795</v>
      </c>
      <c r="K277" s="1">
        <f>VALUE(IFERROR(VALUE('Raw Data'!K277),CONCATENATE(MID('Raw Data'!K277,3,2),".","0",LEFT('Raw Data'!K277,1),".", RIGHT('Raw Data'!K277,4))))</f>
        <v>43647</v>
      </c>
      <c r="L277" s="2">
        <f>'Raw Data'!L277</f>
        <v>0.86944444444444446</v>
      </c>
      <c r="M277" t="s">
        <v>29</v>
      </c>
      <c r="N277">
        <f>VALUE(IF(AND(ISERR(FIND(".",'Raw Data'!N277)),LEN('Raw Data'!N277)=5), IF(YEAR('Raw Data'!N277)=2026,CONCATENATE(DAY('Raw Data'!N277),".",IF(LEN(MONTH('Raw Data'!N277))=2,MONTH('Raw Data'!N277),CONCATENATE("0",MONTH('Raw Data'!N277)))),CONCATENATE(MONTH('Raw Data'!N277),".",RIGHT(YEAR('Raw Data'!N277),2))),'Raw Data'!N277))</f>
        <v>335.79</v>
      </c>
      <c r="O277" s="6">
        <f t="shared" si="13"/>
        <v>4.7619047619047548</v>
      </c>
      <c r="P277" s="6">
        <f t="shared" si="14"/>
        <v>16.789499999999975</v>
      </c>
      <c r="Q277">
        <f>VALUE(IF(AND(ISERR(FIND(".",'Raw Data'!Q277)),LEN('Raw Data'!Q277)=5), IF(YEAR('Raw Data'!Q277)=2026,CONCATENATE(DAY('Raw Data'!Q277),".",IF(LEN(MONTH('Raw Data'!Q277))=2,MONTH('Raw Data'!Q277),CONCATENATE(MONTH('Raw Data'!Q277)))),CONCATENATE(MONTH('Raw Data'!Q277),".",RIGHT(YEAR('Raw Data'!Q277),2))),'Raw Data'!Q277))</f>
        <v>6.2</v>
      </c>
    </row>
    <row r="278" spans="1:17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f>VALUE(IF(AND(ISERR(FIND(".",'Raw Data'!G278)),LEN('Raw Data'!G278)=5), IF(YEAR('Raw Data'!G278)=2026,CONCATENATE(DAY('Raw Data'!G278),".",IF(LEN(MONTH('Raw Data'!G278))=2,MONTH('Raw Data'!G278),CONCATENATE("0",MONTH('Raw Data'!G278)))),CONCATENATE(MONTH('Raw Data'!G278),".",RIGHT(YEAR('Raw Data'!G278),2))),'Raw Data'!G278))</f>
        <v>21.82</v>
      </c>
      <c r="H278">
        <f>'Raw Data'!H278</f>
        <v>10</v>
      </c>
      <c r="I278" s="6">
        <f t="shared" si="12"/>
        <v>10.910000000000025</v>
      </c>
      <c r="J278" s="6">
        <f>'Raw Data'!J278</f>
        <v>229.11</v>
      </c>
      <c r="K278" s="1">
        <f>VALUE(IFERROR(VALUE('Raw Data'!K278),CONCATENATE(MID('Raw Data'!K278,3,2),".","0",LEFT('Raw Data'!K278,1),".", RIGHT('Raw Data'!K278,4))))</f>
        <v>43647</v>
      </c>
      <c r="L278" s="2">
        <f>'Raw Data'!L278</f>
        <v>0.73333333333333339</v>
      </c>
      <c r="M278" t="s">
        <v>29</v>
      </c>
      <c r="N278">
        <f>VALUE(IF(AND(ISERR(FIND(".",'Raw Data'!N278)),LEN('Raw Data'!N278)=5), IF(YEAR('Raw Data'!N278)=2026,CONCATENATE(DAY('Raw Data'!N278),".",IF(LEN(MONTH('Raw Data'!N278))=2,MONTH('Raw Data'!N278),CONCATENATE("0",MONTH('Raw Data'!N278)))),CONCATENATE(MONTH('Raw Data'!N278),".",RIGHT(YEAR('Raw Data'!N278),2))),'Raw Data'!N278))</f>
        <v>218.2</v>
      </c>
      <c r="O278" s="6">
        <f t="shared" si="13"/>
        <v>4.7619047619047725</v>
      </c>
      <c r="P278" s="6">
        <f t="shared" si="14"/>
        <v>10.910000000000025</v>
      </c>
      <c r="Q278">
        <f>VALUE(IF(AND(ISERR(FIND(".",'Raw Data'!Q278)),LEN('Raw Data'!Q278)=5), IF(YEAR('Raw Data'!Q278)=2026,CONCATENATE(DAY('Raw Data'!Q278),".",IF(LEN(MONTH('Raw Data'!Q278))=2,MONTH('Raw Data'!Q278),CONCATENATE(MONTH('Raw Data'!Q278)))),CONCATENATE(MONTH('Raw Data'!Q278),".",RIGHT(YEAR('Raw Data'!Q278),2))),'Raw Data'!Q278))</f>
        <v>7.1</v>
      </c>
    </row>
    <row r="279" spans="1:17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43</v>
      </c>
      <c r="G279">
        <f>VALUE(IF(AND(ISERR(FIND(".",'Raw Data'!G279)),LEN('Raw Data'!G279)=5), IF(YEAR('Raw Data'!G279)=2026,CONCATENATE(DAY('Raw Data'!G279),".",IF(LEN(MONTH('Raw Data'!G279))=2,MONTH('Raw Data'!G279),CONCATENATE("0",MONTH('Raw Data'!G279)))),CONCATENATE(MONTH('Raw Data'!G279),".",RIGHT(YEAR('Raw Data'!G279),2))),'Raw Data'!G279))</f>
        <v>95.42</v>
      </c>
      <c r="H279">
        <f>'Raw Data'!H279</f>
        <v>4</v>
      </c>
      <c r="I279" s="6">
        <f t="shared" si="12"/>
        <v>19.084000000000003</v>
      </c>
      <c r="J279" s="6">
        <f>'Raw Data'!J279</f>
        <v>400.76400000000001</v>
      </c>
      <c r="K279" s="1">
        <f>VALUE(IFERROR(VALUE('Raw Data'!K279),CONCATENATE(MID('Raw Data'!K279,3,2),".","0",LEFT('Raw Data'!K279,1),".", RIGHT('Raw Data'!K279,4))))</f>
        <v>43498</v>
      </c>
      <c r="L279" s="2">
        <f>'Raw Data'!L279</f>
        <v>0.55763888888888891</v>
      </c>
      <c r="M279" t="s">
        <v>23</v>
      </c>
      <c r="N279">
        <f>VALUE(IF(AND(ISERR(FIND(".",'Raw Data'!N279)),LEN('Raw Data'!N279)=5), IF(YEAR('Raw Data'!N279)=2026,CONCATENATE(DAY('Raw Data'!N279),".",IF(LEN(MONTH('Raw Data'!N279))=2,MONTH('Raw Data'!N279),CONCATENATE("0",MONTH('Raw Data'!N279)))),CONCATENATE(MONTH('Raw Data'!N279),".",RIGHT(YEAR('Raw Data'!N279),2))),'Raw Data'!N279))</f>
        <v>381.68</v>
      </c>
      <c r="O279" s="6">
        <f t="shared" si="13"/>
        <v>4.7619047619047628</v>
      </c>
      <c r="P279" s="6">
        <f t="shared" si="14"/>
        <v>19.084000000000003</v>
      </c>
      <c r="Q279">
        <f>VALUE(IF(AND(ISERR(FIND(".",'Raw Data'!Q279)),LEN('Raw Data'!Q279)=5), IF(YEAR('Raw Data'!Q279)=2026,CONCATENATE(DAY('Raw Data'!Q279),".",IF(LEN(MONTH('Raw Data'!Q279))=2,MONTH('Raw Data'!Q279),CONCATENATE(MONTH('Raw Data'!Q279)))),CONCATENATE(MONTH('Raw Data'!Q279),".",RIGHT(YEAR('Raw Data'!Q279),2))),'Raw Data'!Q279))</f>
        <v>6.4</v>
      </c>
    </row>
    <row r="280" spans="1:17">
      <c r="A280" t="s">
        <v>366</v>
      </c>
      <c r="B280" t="s">
        <v>25</v>
      </c>
      <c r="C280" t="s">
        <v>26</v>
      </c>
      <c r="D280" t="s">
        <v>20</v>
      </c>
      <c r="E280" t="s">
        <v>30</v>
      </c>
      <c r="F280" t="s">
        <v>43</v>
      </c>
      <c r="G280">
        <f>VALUE(IF(AND(ISERR(FIND(".",'Raw Data'!G280)),LEN('Raw Data'!G280)=5), IF(YEAR('Raw Data'!G280)=2026,CONCATENATE(DAY('Raw Data'!G280),".",IF(LEN(MONTH('Raw Data'!G280))=2,MONTH('Raw Data'!G280),CONCATENATE("0",MONTH('Raw Data'!G280)))),CONCATENATE(MONTH('Raw Data'!G280),".",RIGHT(YEAR('Raw Data'!G280),2))),'Raw Data'!G280))</f>
        <v>70.989999999999995</v>
      </c>
      <c r="H280">
        <f>'Raw Data'!H280</f>
        <v>10</v>
      </c>
      <c r="I280" s="6">
        <f t="shared" si="12"/>
        <v>35.495000000000005</v>
      </c>
      <c r="J280" s="6">
        <f>'Raw Data'!J280</f>
        <v>745.39499999999998</v>
      </c>
      <c r="K280" s="1">
        <f>VALUE(IFERROR(VALUE('Raw Data'!K280),CONCATENATE(MID('Raw Data'!K280,3,2),".","0",LEFT('Raw Data'!K280,1),".", RIGHT('Raw Data'!K280,4))))</f>
        <v>43544</v>
      </c>
      <c r="L280" s="2">
        <f>'Raw Data'!L280</f>
        <v>0.68611111111111101</v>
      </c>
      <c r="M280" t="s">
        <v>29</v>
      </c>
      <c r="N280">
        <f>VALUE(IF(AND(ISERR(FIND(".",'Raw Data'!N280)),LEN('Raw Data'!N280)=5), IF(YEAR('Raw Data'!N280)=2026,CONCATENATE(DAY('Raw Data'!N280),".",IF(LEN(MONTH('Raw Data'!N280))=2,MONTH('Raw Data'!N280),CONCATENATE("0",MONTH('Raw Data'!N280)))),CONCATENATE(MONTH('Raw Data'!N280),".",RIGHT(YEAR('Raw Data'!N280),2))),'Raw Data'!N280))</f>
        <v>709.9</v>
      </c>
      <c r="O280" s="6">
        <f t="shared" si="13"/>
        <v>4.7619047619047628</v>
      </c>
      <c r="P280" s="6">
        <f t="shared" si="14"/>
        <v>35.495000000000005</v>
      </c>
      <c r="Q280">
        <f>VALUE(IF(AND(ISERR(FIND(".",'Raw Data'!Q280)),LEN('Raw Data'!Q280)=5), IF(YEAR('Raw Data'!Q280)=2026,CONCATENATE(DAY('Raw Data'!Q280),".",IF(LEN(MONTH('Raw Data'!Q280))=2,MONTH('Raw Data'!Q280),CONCATENATE(MONTH('Raw Data'!Q280)))),CONCATENATE(MONTH('Raw Data'!Q280),".",RIGHT(YEAR('Raw Data'!Q280),2))),'Raw Data'!Q280))</f>
        <v>5.7</v>
      </c>
    </row>
    <row r="281" spans="1:17">
      <c r="A281" t="s">
        <v>367</v>
      </c>
      <c r="B281" t="s">
        <v>18</v>
      </c>
      <c r="C281" t="s">
        <v>19</v>
      </c>
      <c r="D281" t="s">
        <v>20</v>
      </c>
      <c r="E281" t="s">
        <v>30</v>
      </c>
      <c r="F281" t="s">
        <v>38</v>
      </c>
      <c r="G281">
        <f>VALUE(IF(AND(ISERR(FIND(".",'Raw Data'!G281)),LEN('Raw Data'!G281)=5), IF(YEAR('Raw Data'!G281)=2026,CONCATENATE(DAY('Raw Data'!G281),".",IF(LEN(MONTH('Raw Data'!G281))=2,MONTH('Raw Data'!G281),CONCATENATE("0",MONTH('Raw Data'!G281)))),CONCATENATE(MONTH('Raw Data'!G281),".",RIGHT(YEAR('Raw Data'!G281),2))),'Raw Data'!G281))</f>
        <v>44.02</v>
      </c>
      <c r="H281">
        <f>'Raw Data'!H281</f>
        <v>10</v>
      </c>
      <c r="I281" s="6">
        <f t="shared" si="12"/>
        <v>22.009999999999934</v>
      </c>
      <c r="J281" s="6">
        <f>'Raw Data'!J281</f>
        <v>462.21</v>
      </c>
      <c r="K281" s="1">
        <f>VALUE(IFERROR(VALUE('Raw Data'!K281),CONCATENATE(MID('Raw Data'!K281,3,2),".","0",LEFT('Raw Data'!K281,1),".", RIGHT('Raw Data'!K281,4))))</f>
        <v>43544</v>
      </c>
      <c r="L281" s="2">
        <f>'Raw Data'!L281</f>
        <v>0.83124999999999993</v>
      </c>
      <c r="M281" t="s">
        <v>33</v>
      </c>
      <c r="N281">
        <f>VALUE(IF(AND(ISERR(FIND(".",'Raw Data'!N281)),LEN('Raw Data'!N281)=5), IF(YEAR('Raw Data'!N281)=2026,CONCATENATE(DAY('Raw Data'!N281),".",IF(LEN(MONTH('Raw Data'!N281))=2,MONTH('Raw Data'!N281),CONCATENATE("0",MONTH('Raw Data'!N281)))),CONCATENATE(MONTH('Raw Data'!N281),".",RIGHT(YEAR('Raw Data'!N281),2))),'Raw Data'!N281))</f>
        <v>440.2</v>
      </c>
      <c r="O281" s="6">
        <f t="shared" si="13"/>
        <v>4.7619047619047601</v>
      </c>
      <c r="P281" s="6">
        <f t="shared" si="14"/>
        <v>22.009999999999991</v>
      </c>
      <c r="Q281">
        <f>VALUE(IF(AND(ISERR(FIND(".",'Raw Data'!Q281)),LEN('Raw Data'!Q281)=5), IF(YEAR('Raw Data'!Q281)=2026,CONCATENATE(DAY('Raw Data'!Q281),".",IF(LEN(MONTH('Raw Data'!Q281))=2,MONTH('Raw Data'!Q281),CONCATENATE(MONTH('Raw Data'!Q281)))),CONCATENATE(MONTH('Raw Data'!Q281),".",RIGHT(YEAR('Raw Data'!Q281),2))),'Raw Data'!Q281))</f>
        <v>9.6</v>
      </c>
    </row>
    <row r="282" spans="1:17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f>VALUE(IF(AND(ISERR(FIND(".",'Raw Data'!G282)),LEN('Raw Data'!G282)=5), IF(YEAR('Raw Data'!G282)=2026,CONCATENATE(DAY('Raw Data'!G282),".",IF(LEN(MONTH('Raw Data'!G282))=2,MONTH('Raw Data'!G282),CONCATENATE("0",MONTH('Raw Data'!G282)))),CONCATENATE(MONTH('Raw Data'!G282),".",RIGHT(YEAR('Raw Data'!G282),2))),'Raw Data'!G282))</f>
        <v>69.959999999999994</v>
      </c>
      <c r="H282">
        <f>'Raw Data'!H282</f>
        <v>8</v>
      </c>
      <c r="I282" s="6">
        <f t="shared" si="12"/>
        <v>27.984000000000037</v>
      </c>
      <c r="J282" s="6">
        <f>'Raw Data'!J282</f>
        <v>587.66399999999999</v>
      </c>
      <c r="K282" s="1">
        <f>VALUE(IFERROR(VALUE('Raw Data'!K282),CONCATENATE(MID('Raw Data'!K282,3,2),".","0",LEFT('Raw Data'!K282,1),".", RIGHT('Raw Data'!K282,4))))</f>
        <v>43511</v>
      </c>
      <c r="L282" s="2">
        <f>'Raw Data'!L282</f>
        <v>0.7090277777777777</v>
      </c>
      <c r="M282" t="s">
        <v>33</v>
      </c>
      <c r="N282">
        <f>VALUE(IF(AND(ISERR(FIND(".",'Raw Data'!N282)),LEN('Raw Data'!N282)=5), IF(YEAR('Raw Data'!N282)=2026,CONCATENATE(DAY('Raw Data'!N282),".",IF(LEN(MONTH('Raw Data'!N282))=2,MONTH('Raw Data'!N282),CONCATENATE("0",MONTH('Raw Data'!N282)))),CONCATENATE(MONTH('Raw Data'!N282),".",RIGHT(YEAR('Raw Data'!N282),2))),'Raw Data'!N282))</f>
        <v>559.67999999999995</v>
      </c>
      <c r="O282" s="6">
        <f t="shared" si="13"/>
        <v>4.761904761904769</v>
      </c>
      <c r="P282" s="6">
        <f t="shared" si="14"/>
        <v>27.984000000000037</v>
      </c>
      <c r="Q282">
        <f>VALUE(IF(AND(ISERR(FIND(".",'Raw Data'!Q282)),LEN('Raw Data'!Q282)=5), IF(YEAR('Raw Data'!Q282)=2026,CONCATENATE(DAY('Raw Data'!Q282),".",IF(LEN(MONTH('Raw Data'!Q282))=2,MONTH('Raw Data'!Q282),CONCATENATE(MONTH('Raw Data'!Q282)))),CONCATENATE(MONTH('Raw Data'!Q282),".",RIGHT(YEAR('Raw Data'!Q282),2))),'Raw Data'!Q282))</f>
        <v>6.4</v>
      </c>
    </row>
    <row r="283" spans="1:17">
      <c r="A283" t="s">
        <v>369</v>
      </c>
      <c r="B283" t="s">
        <v>25</v>
      </c>
      <c r="C283" t="s">
        <v>26</v>
      </c>
      <c r="D283" t="s">
        <v>27</v>
      </c>
      <c r="E283" t="s">
        <v>30</v>
      </c>
      <c r="F283" t="s">
        <v>32</v>
      </c>
      <c r="G283">
        <f>VALUE(IF(AND(ISERR(FIND(".",'Raw Data'!G283)),LEN('Raw Data'!G283)=5), IF(YEAR('Raw Data'!G283)=2026,CONCATENATE(DAY('Raw Data'!G283),".",IF(LEN(MONTH('Raw Data'!G283))=2,MONTH('Raw Data'!G283),CONCATENATE("0",MONTH('Raw Data'!G283)))),CONCATENATE(MONTH('Raw Data'!G283),".",RIGHT(YEAR('Raw Data'!G283),2))),'Raw Data'!G283))</f>
        <v>37</v>
      </c>
      <c r="H283">
        <f>'Raw Data'!H283</f>
        <v>1</v>
      </c>
      <c r="I283" s="6">
        <f t="shared" si="12"/>
        <v>1.8500000000000014</v>
      </c>
      <c r="J283" s="6">
        <f>'Raw Data'!J283</f>
        <v>38.85</v>
      </c>
      <c r="K283" s="1">
        <f>VALUE(IFERROR(VALUE('Raw Data'!K283),CONCATENATE(MID('Raw Data'!K283,3,2),".","0",LEFT('Raw Data'!K283,1),".", RIGHT('Raw Data'!K283,4))))</f>
        <v>43619</v>
      </c>
      <c r="L283" s="2">
        <f>'Raw Data'!L283</f>
        <v>0.56180555555555556</v>
      </c>
      <c r="M283" t="s">
        <v>33</v>
      </c>
      <c r="N283">
        <f>VALUE(IF(AND(ISERR(FIND(".",'Raw Data'!N283)),LEN('Raw Data'!N283)=5), IF(YEAR('Raw Data'!N283)=2026,CONCATENATE(DAY('Raw Data'!N283),".",IF(LEN(MONTH('Raw Data'!N283))=2,MONTH('Raw Data'!N283),CONCATENATE("0",MONTH('Raw Data'!N283)))),CONCATENATE(MONTH('Raw Data'!N283),".",RIGHT(YEAR('Raw Data'!N283),2))),'Raw Data'!N283))</f>
        <v>37</v>
      </c>
      <c r="O283" s="6">
        <f t="shared" si="13"/>
        <v>4.7619047619047654</v>
      </c>
      <c r="P283" s="6">
        <f t="shared" si="14"/>
        <v>1.8500000000000014</v>
      </c>
      <c r="Q283">
        <f>VALUE(IF(AND(ISERR(FIND(".",'Raw Data'!Q283)),LEN('Raw Data'!Q283)=5), IF(YEAR('Raw Data'!Q283)=2026,CONCATENATE(DAY('Raw Data'!Q283),".",IF(LEN(MONTH('Raw Data'!Q283))=2,MONTH('Raw Data'!Q283),CONCATENATE(MONTH('Raw Data'!Q283)))),CONCATENATE(MONTH('Raw Data'!Q283),".",RIGHT(YEAR('Raw Data'!Q283),2))),'Raw Data'!Q283))</f>
        <v>7.9</v>
      </c>
    </row>
    <row r="284" spans="1:17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38</v>
      </c>
      <c r="G284">
        <f>VALUE(IF(AND(ISERR(FIND(".",'Raw Data'!G284)),LEN('Raw Data'!G284)=5), IF(YEAR('Raw Data'!G284)=2026,CONCATENATE(DAY('Raw Data'!G284),".",IF(LEN(MONTH('Raw Data'!G284))=2,MONTH('Raw Data'!G284),CONCATENATE("0",MONTH('Raw Data'!G284)))),CONCATENATE(MONTH('Raw Data'!G284),".",RIGHT(YEAR('Raw Data'!G284),2))),'Raw Data'!G284))</f>
        <v>15.34</v>
      </c>
      <c r="H284">
        <f>'Raw Data'!H284</f>
        <v>1</v>
      </c>
      <c r="I284" s="6">
        <f t="shared" si="12"/>
        <v>0.76699999999999946</v>
      </c>
      <c r="J284" s="6">
        <f>'Raw Data'!J284</f>
        <v>16.106999999999999</v>
      </c>
      <c r="K284" s="1">
        <f>VALUE(IFERROR(VALUE('Raw Data'!K284),CONCATENATE(MID('Raw Data'!K284,3,2),".","0",LEFT('Raw Data'!K284,1),".", RIGHT('Raw Data'!K284,4))))</f>
        <v>43617</v>
      </c>
      <c r="L284" s="2">
        <f>'Raw Data'!L284</f>
        <v>0.46458333333333335</v>
      </c>
      <c r="M284" t="s">
        <v>29</v>
      </c>
      <c r="N284">
        <f>VALUE(IF(AND(ISERR(FIND(".",'Raw Data'!N284)),LEN('Raw Data'!N284)=5), IF(YEAR('Raw Data'!N284)=2026,CONCATENATE(DAY('Raw Data'!N284),".",IF(LEN(MONTH('Raw Data'!N284))=2,MONTH('Raw Data'!N284),CONCATENATE("0",MONTH('Raw Data'!N284)))),CONCATENATE(MONTH('Raw Data'!N284),".",RIGHT(YEAR('Raw Data'!N284),2))),'Raw Data'!N284))</f>
        <v>15.34</v>
      </c>
      <c r="O284" s="6">
        <f t="shared" si="13"/>
        <v>4.7619047619047592</v>
      </c>
      <c r="P284" s="6">
        <f t="shared" si="14"/>
        <v>0.76699999999999946</v>
      </c>
      <c r="Q284">
        <f>VALUE(IF(AND(ISERR(FIND(".",'Raw Data'!Q284)),LEN('Raw Data'!Q284)=5), IF(YEAR('Raw Data'!Q284)=2026,CONCATENATE(DAY('Raw Data'!Q284),".",IF(LEN(MONTH('Raw Data'!Q284))=2,MONTH('Raw Data'!Q284),CONCATENATE(MONTH('Raw Data'!Q284)))),CONCATENATE(MONTH('Raw Data'!Q284),".",RIGHT(YEAR('Raw Data'!Q284),2))),'Raw Data'!Q284))</f>
        <v>6.5</v>
      </c>
    </row>
    <row r="285" spans="1:17">
      <c r="A285" t="s">
        <v>371</v>
      </c>
      <c r="B285" t="s">
        <v>18</v>
      </c>
      <c r="C285" t="s">
        <v>19</v>
      </c>
      <c r="D285" t="s">
        <v>20</v>
      </c>
      <c r="E285" t="s">
        <v>30</v>
      </c>
      <c r="F285" t="s">
        <v>22</v>
      </c>
      <c r="G285">
        <f>VALUE(IF(AND(ISERR(FIND(".",'Raw Data'!G285)),LEN('Raw Data'!G285)=5), IF(YEAR('Raw Data'!G285)=2026,CONCATENATE(DAY('Raw Data'!G285),".",IF(LEN(MONTH('Raw Data'!G285))=2,MONTH('Raw Data'!G285),CONCATENATE("0",MONTH('Raw Data'!G285)))),CONCATENATE(MONTH('Raw Data'!G285),".",RIGHT(YEAR('Raw Data'!G285),2))),'Raw Data'!G285))</f>
        <v>99.83</v>
      </c>
      <c r="H285">
        <f>'Raw Data'!H285</f>
        <v>6</v>
      </c>
      <c r="I285" s="6">
        <f t="shared" si="12"/>
        <v>29.948999999999955</v>
      </c>
      <c r="J285" s="6">
        <f>'Raw Data'!J285</f>
        <v>628.92899999999997</v>
      </c>
      <c r="K285" s="1">
        <f>VALUE(IFERROR(VALUE('Raw Data'!K285),CONCATENATE(MID('Raw Data'!K285,3,2),".","0",LEFT('Raw Data'!K285,1),".", RIGHT('Raw Data'!K285,4))))</f>
        <v>43558</v>
      </c>
      <c r="L285" s="2">
        <f>'Raw Data'!L285</f>
        <v>0.62638888888888888</v>
      </c>
      <c r="M285" t="s">
        <v>23</v>
      </c>
      <c r="N285">
        <f>VALUE(IF(AND(ISERR(FIND(".",'Raw Data'!N285)),LEN('Raw Data'!N285)=5), IF(YEAR('Raw Data'!N285)=2026,CONCATENATE(DAY('Raw Data'!N285),".",IF(LEN(MONTH('Raw Data'!N285))=2,MONTH('Raw Data'!N285),CONCATENATE("0",MONTH('Raw Data'!N285)))),CONCATENATE(MONTH('Raw Data'!N285),".",RIGHT(YEAR('Raw Data'!N285),2))),'Raw Data'!N285))</f>
        <v>598.98</v>
      </c>
      <c r="O285" s="6">
        <f t="shared" si="13"/>
        <v>4.7619047619047548</v>
      </c>
      <c r="P285" s="6">
        <f t="shared" si="14"/>
        <v>29.948999999999955</v>
      </c>
      <c r="Q285">
        <f>VALUE(IF(AND(ISERR(FIND(".",'Raw Data'!Q285)),LEN('Raw Data'!Q285)=5), IF(YEAR('Raw Data'!Q285)=2026,CONCATENATE(DAY('Raw Data'!Q285),".",IF(LEN(MONTH('Raw Data'!Q285))=2,MONTH('Raw Data'!Q285),CONCATENATE(MONTH('Raw Data'!Q285)))),CONCATENATE(MONTH('Raw Data'!Q285),".",RIGHT(YEAR('Raw Data'!Q285),2))),'Raw Data'!Q285))</f>
        <v>8.5</v>
      </c>
    </row>
    <row r="286" spans="1:17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f>VALUE(IF(AND(ISERR(FIND(".",'Raw Data'!G286)),LEN('Raw Data'!G286)=5), IF(YEAR('Raw Data'!G286)=2026,CONCATENATE(DAY('Raw Data'!G286),".",IF(LEN(MONTH('Raw Data'!G286))=2,MONTH('Raw Data'!G286),CONCATENATE("0",MONTH('Raw Data'!G286)))),CONCATENATE(MONTH('Raw Data'!G286),".",RIGHT(YEAR('Raw Data'!G286),2))),'Raw Data'!G286))</f>
        <v>47.67</v>
      </c>
      <c r="H286">
        <f>'Raw Data'!H286</f>
        <v>4</v>
      </c>
      <c r="I286" s="6">
        <f t="shared" si="12"/>
        <v>9.5339999999999918</v>
      </c>
      <c r="J286" s="6">
        <f>'Raw Data'!J286</f>
        <v>200.214</v>
      </c>
      <c r="K286" s="1">
        <f>VALUE(IFERROR(VALUE('Raw Data'!K286),CONCATENATE(MID('Raw Data'!K286,3,2),".","0",LEFT('Raw Data'!K286,1),".", RIGHT('Raw Data'!K286,4))))</f>
        <v>43802</v>
      </c>
      <c r="L286" s="2">
        <f>'Raw Data'!L286</f>
        <v>0.59791666666666665</v>
      </c>
      <c r="M286" t="s">
        <v>29</v>
      </c>
      <c r="N286">
        <f>VALUE(IF(AND(ISERR(FIND(".",'Raw Data'!N286)),LEN('Raw Data'!N286)=5), IF(YEAR('Raw Data'!N286)=2026,CONCATENATE(DAY('Raw Data'!N286),".",IF(LEN(MONTH('Raw Data'!N286))=2,MONTH('Raw Data'!N286),CONCATENATE("0",MONTH('Raw Data'!N286)))),CONCATENATE(MONTH('Raw Data'!N286),".",RIGHT(YEAR('Raw Data'!N286),2))),'Raw Data'!N286))</f>
        <v>190.68</v>
      </c>
      <c r="O286" s="6">
        <f t="shared" si="13"/>
        <v>4.7619047619047583</v>
      </c>
      <c r="P286" s="6">
        <f t="shared" si="14"/>
        <v>9.5339999999999918</v>
      </c>
      <c r="Q286">
        <f>VALUE(IF(AND(ISERR(FIND(".",'Raw Data'!Q286)),LEN('Raw Data'!Q286)=5), IF(YEAR('Raw Data'!Q286)=2026,CONCATENATE(DAY('Raw Data'!Q286),".",IF(LEN(MONTH('Raw Data'!Q286))=2,MONTH('Raw Data'!Q286),CONCATENATE(MONTH('Raw Data'!Q286)))),CONCATENATE(MONTH('Raw Data'!Q286),".",RIGHT(YEAR('Raw Data'!Q286),2))),'Raw Data'!Q286))</f>
        <v>9.1</v>
      </c>
    </row>
    <row r="287" spans="1:17">
      <c r="A287" t="s">
        <v>373</v>
      </c>
      <c r="B287" t="s">
        <v>34</v>
      </c>
      <c r="C287" t="s">
        <v>35</v>
      </c>
      <c r="D287" t="s">
        <v>27</v>
      </c>
      <c r="E287" t="s">
        <v>30</v>
      </c>
      <c r="F287" t="s">
        <v>22</v>
      </c>
      <c r="G287">
        <f>VALUE(IF(AND(ISERR(FIND(".",'Raw Data'!G287)),LEN('Raw Data'!G287)=5), IF(YEAR('Raw Data'!G287)=2026,CONCATENATE(DAY('Raw Data'!G287),".",IF(LEN(MONTH('Raw Data'!G287))=2,MONTH('Raw Data'!G287),CONCATENATE("0",MONTH('Raw Data'!G287)))),CONCATENATE(MONTH('Raw Data'!G287),".",RIGHT(YEAR('Raw Data'!G287),2))),'Raw Data'!G287))</f>
        <v>66.680000000000007</v>
      </c>
      <c r="H287">
        <f>'Raw Data'!H287</f>
        <v>5</v>
      </c>
      <c r="I287" s="6">
        <f t="shared" si="12"/>
        <v>16.669999999999959</v>
      </c>
      <c r="J287" s="6">
        <f>'Raw Data'!J287</f>
        <v>350.07</v>
      </c>
      <c r="K287" s="1">
        <f>VALUE(IFERROR(VALUE('Raw Data'!K287),CONCATENATE(MID('Raw Data'!K287,3,2),".","0",LEFT('Raw Data'!K287,1),".", RIGHT('Raw Data'!K287,4))))</f>
        <v>43516</v>
      </c>
      <c r="L287" s="2">
        <f>'Raw Data'!L287</f>
        <v>0.75069444444444444</v>
      </c>
      <c r="M287" t="s">
        <v>29</v>
      </c>
      <c r="N287">
        <f>VALUE(IF(AND(ISERR(FIND(".",'Raw Data'!N287)),LEN('Raw Data'!N287)=5), IF(YEAR('Raw Data'!N287)=2026,CONCATENATE(DAY('Raw Data'!N287),".",IF(LEN(MONTH('Raw Data'!N287))=2,MONTH('Raw Data'!N287),CONCATENATE("0",MONTH('Raw Data'!N287)))),CONCATENATE(MONTH('Raw Data'!N287),".",RIGHT(YEAR('Raw Data'!N287),2))),'Raw Data'!N287))</f>
        <v>333.4</v>
      </c>
      <c r="O287" s="6">
        <f t="shared" si="13"/>
        <v>4.7619047619047663</v>
      </c>
      <c r="P287" s="6">
        <f t="shared" si="14"/>
        <v>16.670000000000016</v>
      </c>
      <c r="Q287">
        <f>VALUE(IF(AND(ISERR(FIND(".",'Raw Data'!Q287)),LEN('Raw Data'!Q287)=5), IF(YEAR('Raw Data'!Q287)=2026,CONCATENATE(DAY('Raw Data'!Q287),".",IF(LEN(MONTH('Raw Data'!Q287))=2,MONTH('Raw Data'!Q287),CONCATENATE(MONTH('Raw Data'!Q287)))),CONCATENATE(MONTH('Raw Data'!Q287),".",RIGHT(YEAR('Raw Data'!Q287),2))),'Raw Data'!Q287))</f>
        <v>7.6</v>
      </c>
    </row>
    <row r="288" spans="1:17">
      <c r="A288" t="s">
        <v>374</v>
      </c>
      <c r="B288" t="s">
        <v>25</v>
      </c>
      <c r="C288" t="s">
        <v>26</v>
      </c>
      <c r="D288" t="s">
        <v>20</v>
      </c>
      <c r="E288" t="s">
        <v>30</v>
      </c>
      <c r="F288" t="s">
        <v>32</v>
      </c>
      <c r="G288">
        <f>VALUE(IF(AND(ISERR(FIND(".",'Raw Data'!G288)),LEN('Raw Data'!G288)=5), IF(YEAR('Raw Data'!G288)=2026,CONCATENATE(DAY('Raw Data'!G288),".",IF(LEN(MONTH('Raw Data'!G288))=2,MONTH('Raw Data'!G288),CONCATENATE("0",MONTH('Raw Data'!G288)))),CONCATENATE(MONTH('Raw Data'!G288),".",RIGHT(YEAR('Raw Data'!G288),2))),'Raw Data'!G288))</f>
        <v>74.86</v>
      </c>
      <c r="H288">
        <f>'Raw Data'!H288</f>
        <v>1</v>
      </c>
      <c r="I288" s="6">
        <f t="shared" si="12"/>
        <v>3.742999999999995</v>
      </c>
      <c r="J288" s="6">
        <f>'Raw Data'!J288</f>
        <v>78.602999999999994</v>
      </c>
      <c r="K288" s="1">
        <f>VALUE(IFERROR(VALUE('Raw Data'!K288),CONCATENATE(MID('Raw Data'!K288,3,2),".","0",LEFT('Raw Data'!K288,1),".", RIGHT('Raw Data'!K288,4))))</f>
        <v>43548</v>
      </c>
      <c r="L288" s="2">
        <f>'Raw Data'!L288</f>
        <v>0.61736111111111114</v>
      </c>
      <c r="M288" t="s">
        <v>29</v>
      </c>
      <c r="N288">
        <f>VALUE(IF(AND(ISERR(FIND(".",'Raw Data'!N288)),LEN('Raw Data'!N288)=5), IF(YEAR('Raw Data'!N288)=2026,CONCATENATE(DAY('Raw Data'!N288),".",IF(LEN(MONTH('Raw Data'!N288))=2,MONTH('Raw Data'!N288),CONCATENATE("0",MONTH('Raw Data'!N288)))),CONCATENATE(MONTH('Raw Data'!N288),".",RIGHT(YEAR('Raw Data'!N288),2))),'Raw Data'!N288))</f>
        <v>74.86</v>
      </c>
      <c r="O288" s="6">
        <f t="shared" si="13"/>
        <v>4.7619047619047556</v>
      </c>
      <c r="P288" s="6">
        <f t="shared" si="14"/>
        <v>3.742999999999995</v>
      </c>
      <c r="Q288">
        <f>VALUE(IF(AND(ISERR(FIND(".",'Raw Data'!Q288)),LEN('Raw Data'!Q288)=5), IF(YEAR('Raw Data'!Q288)=2026,CONCATENATE(DAY('Raw Data'!Q288),".",IF(LEN(MONTH('Raw Data'!Q288))=2,MONTH('Raw Data'!Q288),CONCATENATE(MONTH('Raw Data'!Q288)))),CONCATENATE(MONTH('Raw Data'!Q288),".",RIGHT(YEAR('Raw Data'!Q288),2))),'Raw Data'!Q288))</f>
        <v>6.9</v>
      </c>
    </row>
    <row r="289" spans="1:17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38</v>
      </c>
      <c r="G289">
        <f>VALUE(IF(AND(ISERR(FIND(".",'Raw Data'!G289)),LEN('Raw Data'!G289)=5), IF(YEAR('Raw Data'!G289)=2026,CONCATENATE(DAY('Raw Data'!G289),".",IF(LEN(MONTH('Raw Data'!G289))=2,MONTH('Raw Data'!G289),CONCATENATE("0",MONTH('Raw Data'!G289)))),CONCATENATE(MONTH('Raw Data'!G289),".",RIGHT(YEAR('Raw Data'!G289),2))),'Raw Data'!G289))</f>
        <v>23.75</v>
      </c>
      <c r="H289">
        <f>'Raw Data'!H289</f>
        <v>9</v>
      </c>
      <c r="I289" s="6">
        <f t="shared" si="12"/>
        <v>10.6875</v>
      </c>
      <c r="J289" s="6">
        <f>'Raw Data'!J289</f>
        <v>224.4375</v>
      </c>
      <c r="K289" s="1">
        <f>VALUE(IFERROR(VALUE('Raw Data'!K289),CONCATENATE(MID('Raw Data'!K289,3,2),".","0",LEFT('Raw Data'!K289,1),".", RIGHT('Raw Data'!K289,4))))</f>
        <v>43496</v>
      </c>
      <c r="L289" s="2">
        <f>'Raw Data'!L289</f>
        <v>0.50138888888888888</v>
      </c>
      <c r="M289" t="s">
        <v>29</v>
      </c>
      <c r="N289">
        <f>VALUE(IF(AND(ISERR(FIND(".",'Raw Data'!N289)),LEN('Raw Data'!N289)=5), IF(YEAR('Raw Data'!N289)=2026,CONCATENATE(DAY('Raw Data'!N289),".",IF(LEN(MONTH('Raw Data'!N289))=2,MONTH('Raw Data'!N289),CONCATENATE("0",MONTH('Raw Data'!N289)))),CONCATENATE(MONTH('Raw Data'!N289),".",RIGHT(YEAR('Raw Data'!N289),2))),'Raw Data'!N289))</f>
        <v>213.75</v>
      </c>
      <c r="O289" s="6">
        <f t="shared" si="13"/>
        <v>4.7619047619047619</v>
      </c>
      <c r="P289" s="6">
        <f t="shared" si="14"/>
        <v>10.6875</v>
      </c>
      <c r="Q289">
        <f>VALUE(IF(AND(ISERR(FIND(".",'Raw Data'!Q289)),LEN('Raw Data'!Q289)=5), IF(YEAR('Raw Data'!Q289)=2026,CONCATENATE(DAY('Raw Data'!Q289),".",IF(LEN(MONTH('Raw Data'!Q289))=2,MONTH('Raw Data'!Q289),CONCATENATE(MONTH('Raw Data'!Q289)))),CONCATENATE(MONTH('Raw Data'!Q289),".",RIGHT(YEAR('Raw Data'!Q289),2))),'Raw Data'!Q289))</f>
        <v>9.5</v>
      </c>
    </row>
    <row r="290" spans="1:17">
      <c r="A290" t="s">
        <v>376</v>
      </c>
      <c r="B290" t="s">
        <v>34</v>
      </c>
      <c r="C290" t="s">
        <v>35</v>
      </c>
      <c r="D290" t="s">
        <v>27</v>
      </c>
      <c r="E290" t="s">
        <v>21</v>
      </c>
      <c r="F290" t="s">
        <v>40</v>
      </c>
      <c r="G290">
        <f>VALUE(IF(AND(ISERR(FIND(".",'Raw Data'!G290)),LEN('Raw Data'!G290)=5), IF(YEAR('Raw Data'!G290)=2026,CONCATENATE(DAY('Raw Data'!G290),".",IF(LEN(MONTH('Raw Data'!G290))=2,MONTH('Raw Data'!G290),CONCATENATE("0",MONTH('Raw Data'!G290)))),CONCATENATE(MONTH('Raw Data'!G290),".",RIGHT(YEAR('Raw Data'!G290),2))),'Raw Data'!G290))</f>
        <v>48.51</v>
      </c>
      <c r="H290">
        <f>'Raw Data'!H290</f>
        <v>7</v>
      </c>
      <c r="I290" s="6">
        <f t="shared" si="12"/>
        <v>16.978499999999997</v>
      </c>
      <c r="J290" s="6">
        <f>'Raw Data'!J290</f>
        <v>356.54849999999999</v>
      </c>
      <c r="K290" s="1">
        <f>VALUE(IFERROR(VALUE('Raw Data'!K290),CONCATENATE(MID('Raw Data'!K290,3,2),".","0",LEFT('Raw Data'!K290,1),".", RIGHT('Raw Data'!K290,4))))</f>
        <v>43490</v>
      </c>
      <c r="L290" s="2">
        <f>'Raw Data'!L290</f>
        <v>0.5625</v>
      </c>
      <c r="M290" t="s">
        <v>33</v>
      </c>
      <c r="N290">
        <f>VALUE(IF(AND(ISERR(FIND(".",'Raw Data'!N290)),LEN('Raw Data'!N290)=5), IF(YEAR('Raw Data'!N290)=2026,CONCATENATE(DAY('Raw Data'!N290),".",IF(LEN(MONTH('Raw Data'!N290))=2,MONTH('Raw Data'!N290),CONCATENATE("0",MONTH('Raw Data'!N290)))),CONCATENATE(MONTH('Raw Data'!N290),".",RIGHT(YEAR('Raw Data'!N290),2))),'Raw Data'!N290))</f>
        <v>339.57</v>
      </c>
      <c r="O290" s="6">
        <f t="shared" si="13"/>
        <v>4.761904761904761</v>
      </c>
      <c r="P290" s="6">
        <f t="shared" si="14"/>
        <v>16.978499999999997</v>
      </c>
      <c r="Q290">
        <f>VALUE(IF(AND(ISERR(FIND(".",'Raw Data'!Q290)),LEN('Raw Data'!Q290)=5), IF(YEAR('Raw Data'!Q290)=2026,CONCATENATE(DAY('Raw Data'!Q290),".",IF(LEN(MONTH('Raw Data'!Q290))=2,MONTH('Raw Data'!Q290),CONCATENATE(MONTH('Raw Data'!Q290)))),CONCATENATE(MONTH('Raw Data'!Q290),".",RIGHT(YEAR('Raw Data'!Q290),2))),'Raw Data'!Q290))</f>
        <v>5.2</v>
      </c>
    </row>
    <row r="291" spans="1:17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f>VALUE(IF(AND(ISERR(FIND(".",'Raw Data'!G291)),LEN('Raw Data'!G291)=5), IF(YEAR('Raw Data'!G291)=2026,CONCATENATE(DAY('Raw Data'!G291),".",IF(LEN(MONTH('Raw Data'!G291))=2,MONTH('Raw Data'!G291),CONCATENATE("0",MONTH('Raw Data'!G291)))),CONCATENATE(MONTH('Raw Data'!G291),".",RIGHT(YEAR('Raw Data'!G291),2))),'Raw Data'!G291))</f>
        <v>94.88</v>
      </c>
      <c r="H291">
        <f>'Raw Data'!H291</f>
        <v>7</v>
      </c>
      <c r="I291" s="6">
        <f t="shared" si="12"/>
        <v>33.208000000000084</v>
      </c>
      <c r="J291" s="6">
        <f>'Raw Data'!J291</f>
        <v>697.36800000000005</v>
      </c>
      <c r="K291" s="1">
        <f>VALUE(IFERROR(VALUE('Raw Data'!K291),CONCATENATE(MID('Raw Data'!K291,3,2),".","0",LEFT('Raw Data'!K291,1),".", RIGHT('Raw Data'!K291,4))))</f>
        <v>43526</v>
      </c>
      <c r="L291" s="2">
        <f>'Raw Data'!L291</f>
        <v>0.60972222222222217</v>
      </c>
      <c r="M291" t="s">
        <v>29</v>
      </c>
      <c r="N291">
        <f>VALUE(IF(AND(ISERR(FIND(".",'Raw Data'!N291)),LEN('Raw Data'!N291)=5), IF(YEAR('Raw Data'!N291)=2026,CONCATENATE(DAY('Raw Data'!N291),".",IF(LEN(MONTH('Raw Data'!N291))=2,MONTH('Raw Data'!N291),CONCATENATE("0",MONTH('Raw Data'!N291)))),CONCATENATE(MONTH('Raw Data'!N291),".",RIGHT(YEAR('Raw Data'!N291),2))),'Raw Data'!N291))</f>
        <v>664.16</v>
      </c>
      <c r="O291" s="6">
        <f t="shared" si="13"/>
        <v>4.7619047619047734</v>
      </c>
      <c r="P291" s="6">
        <f t="shared" si="14"/>
        <v>33.208000000000084</v>
      </c>
      <c r="Q291">
        <f>VALUE(IF(AND(ISERR(FIND(".",'Raw Data'!Q291)),LEN('Raw Data'!Q291)=5), IF(YEAR('Raw Data'!Q291)=2026,CONCATENATE(DAY('Raw Data'!Q291),".",IF(LEN(MONTH('Raw Data'!Q291))=2,MONTH('Raw Data'!Q291),CONCATENATE(MONTH('Raw Data'!Q291)))),CONCATENATE(MONTH('Raw Data'!Q291),".",RIGHT(YEAR('Raw Data'!Q291),2))),'Raw Data'!Q291))</f>
        <v>4.2</v>
      </c>
    </row>
    <row r="292" spans="1:17">
      <c r="A292" t="s">
        <v>378</v>
      </c>
      <c r="B292" t="s">
        <v>34</v>
      </c>
      <c r="C292" t="s">
        <v>35</v>
      </c>
      <c r="D292" t="s">
        <v>20</v>
      </c>
      <c r="E292" t="s">
        <v>30</v>
      </c>
      <c r="F292" t="s">
        <v>28</v>
      </c>
      <c r="G292">
        <f>VALUE(IF(AND(ISERR(FIND(".",'Raw Data'!G292)),LEN('Raw Data'!G292)=5), IF(YEAR('Raw Data'!G292)=2026,CONCATENATE(DAY('Raw Data'!G292),".",IF(LEN(MONTH('Raw Data'!G292))=2,MONTH('Raw Data'!G292),CONCATENATE("0",MONTH('Raw Data'!G292)))),CONCATENATE(MONTH('Raw Data'!G292),".",RIGHT(YEAR('Raw Data'!G292),2))),'Raw Data'!G292))</f>
        <v>40.299999999999997</v>
      </c>
      <c r="H292">
        <f>'Raw Data'!H292</f>
        <v>10</v>
      </c>
      <c r="I292" s="6">
        <f t="shared" si="12"/>
        <v>20.149999999999977</v>
      </c>
      <c r="J292" s="6">
        <f>'Raw Data'!J292</f>
        <v>423.15</v>
      </c>
      <c r="K292" s="1">
        <f>VALUE(IFERROR(VALUE('Raw Data'!K292),CONCATENATE(MID('Raw Data'!K292,3,2),".","0",LEFT('Raw Data'!K292,1),".", RIGHT('Raw Data'!K292,4))))</f>
        <v>43489</v>
      </c>
      <c r="L292" s="2">
        <f>'Raw Data'!L292</f>
        <v>0.73402777777777783</v>
      </c>
      <c r="M292" t="s">
        <v>33</v>
      </c>
      <c r="N292">
        <f>VALUE(IF(AND(ISERR(FIND(".",'Raw Data'!N292)),LEN('Raw Data'!N292)=5), IF(YEAR('Raw Data'!N292)=2026,CONCATENATE(DAY('Raw Data'!N292),".",IF(LEN(MONTH('Raw Data'!N292))=2,MONTH('Raw Data'!N292),CONCATENATE("0",MONTH('Raw Data'!N292)))),CONCATENATE(MONTH('Raw Data'!N292),".",RIGHT(YEAR('Raw Data'!N292),2))),'Raw Data'!N292))</f>
        <v>403</v>
      </c>
      <c r="O292" s="6">
        <f t="shared" si="13"/>
        <v>4.7619047619047565</v>
      </c>
      <c r="P292" s="6">
        <f t="shared" si="14"/>
        <v>20.149999999999977</v>
      </c>
      <c r="Q292">
        <f>VALUE(IF(AND(ISERR(FIND(".",'Raw Data'!Q292)),LEN('Raw Data'!Q292)=5), IF(YEAR('Raw Data'!Q292)=2026,CONCATENATE(DAY('Raw Data'!Q292),".",IF(LEN(MONTH('Raw Data'!Q292))=2,MONTH('Raw Data'!Q292),CONCATENATE(MONTH('Raw Data'!Q292)))),CONCATENATE(MONTH('Raw Data'!Q292),".",RIGHT(YEAR('Raw Data'!Q292),2))),'Raw Data'!Q292))</f>
        <v>7</v>
      </c>
    </row>
    <row r="293" spans="1:17">
      <c r="A293" t="s">
        <v>379</v>
      </c>
      <c r="B293" t="s">
        <v>25</v>
      </c>
      <c r="C293" t="s">
        <v>26</v>
      </c>
      <c r="D293" t="s">
        <v>27</v>
      </c>
      <c r="E293" t="s">
        <v>30</v>
      </c>
      <c r="F293" t="s">
        <v>28</v>
      </c>
      <c r="G293">
        <f>VALUE(IF(AND(ISERR(FIND(".",'Raw Data'!G293)),LEN('Raw Data'!G293)=5), IF(YEAR('Raw Data'!G293)=2026,CONCATENATE(DAY('Raw Data'!G293),".",IF(LEN(MONTH('Raw Data'!G293))=2,MONTH('Raw Data'!G293),CONCATENATE("0",MONTH('Raw Data'!G293)))),CONCATENATE(MONTH('Raw Data'!G293),".",RIGHT(YEAR('Raw Data'!G293),2))),'Raw Data'!G293))</f>
        <v>27.85</v>
      </c>
      <c r="H293">
        <f>'Raw Data'!H293</f>
        <v>7</v>
      </c>
      <c r="I293" s="6">
        <f t="shared" si="12"/>
        <v>9.7474999999999739</v>
      </c>
      <c r="J293" s="6">
        <f>'Raw Data'!J293</f>
        <v>204.69749999999999</v>
      </c>
      <c r="K293" s="1">
        <f>VALUE(IFERROR(VALUE('Raw Data'!K293),CONCATENATE(MID('Raw Data'!K293,3,2),".","0",LEFT('Raw Data'!K293,1),".", RIGHT('Raw Data'!K293,4))))</f>
        <v>43538</v>
      </c>
      <c r="L293" s="2">
        <f>'Raw Data'!L293</f>
        <v>0.72222222222222221</v>
      </c>
      <c r="M293" t="s">
        <v>23</v>
      </c>
      <c r="N293">
        <f>VALUE(IF(AND(ISERR(FIND(".",'Raw Data'!N293)),LEN('Raw Data'!N293)=5), IF(YEAR('Raw Data'!N293)=2026,CONCATENATE(DAY('Raw Data'!N293),".",IF(LEN(MONTH('Raw Data'!N293))=2,MONTH('Raw Data'!N293),CONCATENATE("0",MONTH('Raw Data'!N293)))),CONCATENATE(MONTH('Raw Data'!N293),".",RIGHT(YEAR('Raw Data'!N293),2))),'Raw Data'!N293))</f>
        <v>194.95</v>
      </c>
      <c r="O293" s="6">
        <f t="shared" si="13"/>
        <v>4.7619047619047628</v>
      </c>
      <c r="P293" s="6">
        <f t="shared" si="14"/>
        <v>9.7475000000000023</v>
      </c>
      <c r="Q293">
        <f>VALUE(IF(AND(ISERR(FIND(".",'Raw Data'!Q293)),LEN('Raw Data'!Q293)=5), IF(YEAR('Raw Data'!Q293)=2026,CONCATENATE(DAY('Raw Data'!Q293),".",IF(LEN(MONTH('Raw Data'!Q293))=2,MONTH('Raw Data'!Q293),CONCATENATE(MONTH('Raw Data'!Q293)))),CONCATENATE(MONTH('Raw Data'!Q293),".",RIGHT(YEAR('Raw Data'!Q293),2))),'Raw Data'!Q293))</f>
        <v>6</v>
      </c>
    </row>
    <row r="294" spans="1:17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f>VALUE(IF(AND(ISERR(FIND(".",'Raw Data'!G294)),LEN('Raw Data'!G294)=5), IF(YEAR('Raw Data'!G294)=2026,CONCATENATE(DAY('Raw Data'!G294),".",IF(LEN(MONTH('Raw Data'!G294))=2,MONTH('Raw Data'!G294),CONCATENATE("0",MONTH('Raw Data'!G294)))),CONCATENATE(MONTH('Raw Data'!G294),".",RIGHT(YEAR('Raw Data'!G294),2))),'Raw Data'!G294))</f>
        <v>62.48</v>
      </c>
      <c r="H294">
        <f>'Raw Data'!H294</f>
        <v>1</v>
      </c>
      <c r="I294" s="6">
        <f t="shared" si="12"/>
        <v>3.1240000000000023</v>
      </c>
      <c r="J294" s="6">
        <f>'Raw Data'!J294</f>
        <v>65.603999999999999</v>
      </c>
      <c r="K294" s="1">
        <f>VALUE(IFERROR(VALUE('Raw Data'!K294),CONCATENATE(MID('Raw Data'!K294,3,2),".","0",LEFT('Raw Data'!K294,1),".", RIGHT('Raw Data'!K294,4))))</f>
        <v>43514</v>
      </c>
      <c r="L294" s="2">
        <f>'Raw Data'!L294</f>
        <v>0.8534722222222223</v>
      </c>
      <c r="M294" t="s">
        <v>29</v>
      </c>
      <c r="N294">
        <f>VALUE(IF(AND(ISERR(FIND(".",'Raw Data'!N294)),LEN('Raw Data'!N294)=5), IF(YEAR('Raw Data'!N294)=2026,CONCATENATE(DAY('Raw Data'!N294),".",IF(LEN(MONTH('Raw Data'!N294))=2,MONTH('Raw Data'!N294),CONCATENATE("0",MONTH('Raw Data'!N294)))),CONCATENATE(MONTH('Raw Data'!N294),".",RIGHT(YEAR('Raw Data'!N294),2))),'Raw Data'!N294))</f>
        <v>62.48</v>
      </c>
      <c r="O294" s="6">
        <f t="shared" si="13"/>
        <v>4.7619047619047654</v>
      </c>
      <c r="P294" s="6">
        <f t="shared" si="14"/>
        <v>3.1240000000000023</v>
      </c>
      <c r="Q294">
        <f>VALUE(IF(AND(ISERR(FIND(".",'Raw Data'!Q294)),LEN('Raw Data'!Q294)=5), IF(YEAR('Raw Data'!Q294)=2026,CONCATENATE(DAY('Raw Data'!Q294),".",IF(LEN(MONTH('Raw Data'!Q294))=2,MONTH('Raw Data'!Q294),CONCATENATE(MONTH('Raw Data'!Q294)))),CONCATENATE(MONTH('Raw Data'!Q294),".",RIGHT(YEAR('Raw Data'!Q294),2))),'Raw Data'!Q294))</f>
        <v>4.7</v>
      </c>
    </row>
    <row r="295" spans="1:17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40</v>
      </c>
      <c r="G295">
        <f>VALUE(IF(AND(ISERR(FIND(".",'Raw Data'!G295)),LEN('Raw Data'!G295)=5), IF(YEAR('Raw Data'!G295)=2026,CONCATENATE(DAY('Raw Data'!G295),".",IF(LEN(MONTH('Raw Data'!G295))=2,MONTH('Raw Data'!G295),CONCATENATE("0",MONTH('Raw Data'!G295)))),CONCATENATE(MONTH('Raw Data'!G295),".",RIGHT(YEAR('Raw Data'!G295),2))),'Raw Data'!G295))</f>
        <v>36.36</v>
      </c>
      <c r="H295">
        <f>'Raw Data'!H295</f>
        <v>2</v>
      </c>
      <c r="I295" s="6">
        <f t="shared" si="12"/>
        <v>3.6359999999999957</v>
      </c>
      <c r="J295" s="6">
        <f>'Raw Data'!J295</f>
        <v>76.355999999999995</v>
      </c>
      <c r="K295" s="1">
        <f>VALUE(IFERROR(VALUE('Raw Data'!K295),CONCATENATE(MID('Raw Data'!K295,3,2),".","0",LEFT('Raw Data'!K295,1),".", RIGHT('Raw Data'!K295,4))))</f>
        <v>43486</v>
      </c>
      <c r="L295" s="2">
        <f>'Raw Data'!L295</f>
        <v>0.41666666666666669</v>
      </c>
      <c r="M295" t="s">
        <v>29</v>
      </c>
      <c r="N295">
        <f>VALUE(IF(AND(ISERR(FIND(".",'Raw Data'!N295)),LEN('Raw Data'!N295)=5), IF(YEAR('Raw Data'!N295)=2026,CONCATENATE(DAY('Raw Data'!N295),".",IF(LEN(MONTH('Raw Data'!N295))=2,MONTH('Raw Data'!N295),CONCATENATE("0",MONTH('Raw Data'!N295)))),CONCATENATE(MONTH('Raw Data'!N295),".",RIGHT(YEAR('Raw Data'!N295),2))),'Raw Data'!N295))</f>
        <v>72.72</v>
      </c>
      <c r="O295" s="6">
        <f t="shared" si="13"/>
        <v>4.7619047619047565</v>
      </c>
      <c r="P295" s="6">
        <f t="shared" si="14"/>
        <v>3.6359999999999957</v>
      </c>
      <c r="Q295">
        <f>VALUE(IF(AND(ISERR(FIND(".",'Raw Data'!Q295)),LEN('Raw Data'!Q295)=5), IF(YEAR('Raw Data'!Q295)=2026,CONCATENATE(DAY('Raw Data'!Q295),".",IF(LEN(MONTH('Raw Data'!Q295))=2,MONTH('Raw Data'!Q295),CONCATENATE(MONTH('Raw Data'!Q295)))),CONCATENATE(MONTH('Raw Data'!Q295),".",RIGHT(YEAR('Raw Data'!Q295),2))),'Raw Data'!Q295))</f>
        <v>7.1</v>
      </c>
    </row>
    <row r="296" spans="1:17">
      <c r="A296" t="s">
        <v>382</v>
      </c>
      <c r="B296" t="s">
        <v>34</v>
      </c>
      <c r="C296" t="s">
        <v>35</v>
      </c>
      <c r="D296" t="s">
        <v>27</v>
      </c>
      <c r="E296" t="s">
        <v>30</v>
      </c>
      <c r="F296" t="s">
        <v>22</v>
      </c>
      <c r="G296">
        <f>VALUE(IF(AND(ISERR(FIND(".",'Raw Data'!G296)),LEN('Raw Data'!G296)=5), IF(YEAR('Raw Data'!G296)=2026,CONCATENATE(DAY('Raw Data'!G296),".",IF(LEN(MONTH('Raw Data'!G296))=2,MONTH('Raw Data'!G296),CONCATENATE("0",MONTH('Raw Data'!G296)))),CONCATENATE(MONTH('Raw Data'!G296),".",RIGHT(YEAR('Raw Data'!G296),2))),'Raw Data'!G296))</f>
        <v>18.11</v>
      </c>
      <c r="H296">
        <f>'Raw Data'!H296</f>
        <v>10</v>
      </c>
      <c r="I296" s="6">
        <f t="shared" si="12"/>
        <v>9.0550000000000068</v>
      </c>
      <c r="J296" s="6">
        <f>'Raw Data'!J296</f>
        <v>190.155</v>
      </c>
      <c r="K296" s="1">
        <f>VALUE(IFERROR(VALUE('Raw Data'!K296),CONCATENATE(MID('Raw Data'!K296,3,2),".","0",LEFT('Raw Data'!K296,1),".", RIGHT('Raw Data'!K296,4))))</f>
        <v>43537</v>
      </c>
      <c r="L296" s="2">
        <f>'Raw Data'!L296</f>
        <v>0.49027777777777781</v>
      </c>
      <c r="M296" t="s">
        <v>23</v>
      </c>
      <c r="N296">
        <f>VALUE(IF(AND(ISERR(FIND(".",'Raw Data'!N296)),LEN('Raw Data'!N296)=5), IF(YEAR('Raw Data'!N296)=2026,CONCATENATE(DAY('Raw Data'!N296),".",IF(LEN(MONTH('Raw Data'!N296))=2,MONTH('Raw Data'!N296),CONCATENATE("0",MONTH('Raw Data'!N296)))),CONCATENATE(MONTH('Raw Data'!N296),".",RIGHT(YEAR('Raw Data'!N296),2))),'Raw Data'!N296))</f>
        <v>181.1</v>
      </c>
      <c r="O296" s="6">
        <f t="shared" si="13"/>
        <v>4.7619047619047654</v>
      </c>
      <c r="P296" s="6">
        <f t="shared" si="14"/>
        <v>9.0550000000000068</v>
      </c>
      <c r="Q296">
        <f>VALUE(IF(AND(ISERR(FIND(".",'Raw Data'!Q296)),LEN('Raw Data'!Q296)=5), IF(YEAR('Raw Data'!Q296)=2026,CONCATENATE(DAY('Raw Data'!Q296),".",IF(LEN(MONTH('Raw Data'!Q296))=2,MONTH('Raw Data'!Q296),CONCATENATE(MONTH('Raw Data'!Q296)))),CONCATENATE(MONTH('Raw Data'!Q296),".",RIGHT(YEAR('Raw Data'!Q296),2))),'Raw Data'!Q296))</f>
        <v>5.9</v>
      </c>
    </row>
    <row r="297" spans="1:17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f>VALUE(IF(AND(ISERR(FIND(".",'Raw Data'!G297)),LEN('Raw Data'!G297)=5), IF(YEAR('Raw Data'!G297)=2026,CONCATENATE(DAY('Raw Data'!G297),".",IF(LEN(MONTH('Raw Data'!G297))=2,MONTH('Raw Data'!G297),CONCATENATE("0",MONTH('Raw Data'!G297)))),CONCATENATE(MONTH('Raw Data'!G297),".",RIGHT(YEAR('Raw Data'!G297),2))),'Raw Data'!G297))</f>
        <v>51.92</v>
      </c>
      <c r="H297">
        <f>'Raw Data'!H297</f>
        <v>5</v>
      </c>
      <c r="I297" s="6">
        <f t="shared" si="12"/>
        <v>12.979999999999961</v>
      </c>
      <c r="J297" s="6">
        <f>'Raw Data'!J297</f>
        <v>272.58</v>
      </c>
      <c r="K297" s="1">
        <f>VALUE(IFERROR(VALUE('Raw Data'!K297),CONCATENATE(MID('Raw Data'!K297,3,2),".","0",LEFT('Raw Data'!K297,1),".", RIGHT('Raw Data'!K297,4))))</f>
        <v>43527</v>
      </c>
      <c r="L297" s="2">
        <f>'Raw Data'!L297</f>
        <v>0.5708333333333333</v>
      </c>
      <c r="M297" t="s">
        <v>29</v>
      </c>
      <c r="N297">
        <f>VALUE(IF(AND(ISERR(FIND(".",'Raw Data'!N297)),LEN('Raw Data'!N297)=5), IF(YEAR('Raw Data'!N297)=2026,CONCATENATE(DAY('Raw Data'!N297),".",IF(LEN(MONTH('Raw Data'!N297))=2,MONTH('Raw Data'!N297),CONCATENATE("0",MONTH('Raw Data'!N297)))),CONCATENATE(MONTH('Raw Data'!N297),".",RIGHT(YEAR('Raw Data'!N297),2))),'Raw Data'!N297))</f>
        <v>259.60000000000002</v>
      </c>
      <c r="O297" s="6">
        <f t="shared" si="13"/>
        <v>4.7619047619047477</v>
      </c>
      <c r="P297" s="6">
        <f t="shared" si="14"/>
        <v>12.979999999999961</v>
      </c>
      <c r="Q297">
        <f>VALUE(IF(AND(ISERR(FIND(".",'Raw Data'!Q297)),LEN('Raw Data'!Q297)=5), IF(YEAR('Raw Data'!Q297)=2026,CONCATENATE(DAY('Raw Data'!Q297),".",IF(LEN(MONTH('Raw Data'!Q297))=2,MONTH('Raw Data'!Q297),CONCATENATE(MONTH('Raw Data'!Q297)))),CONCATENATE(MONTH('Raw Data'!Q297),".",RIGHT(YEAR('Raw Data'!Q297),2))),'Raw Data'!Q297))</f>
        <v>7.5</v>
      </c>
    </row>
    <row r="298" spans="1:17">
      <c r="A298" t="s">
        <v>384</v>
      </c>
      <c r="B298" t="s">
        <v>25</v>
      </c>
      <c r="C298" t="s">
        <v>26</v>
      </c>
      <c r="D298" t="s">
        <v>27</v>
      </c>
      <c r="E298" t="s">
        <v>30</v>
      </c>
      <c r="F298" t="s">
        <v>28</v>
      </c>
      <c r="G298">
        <f>VALUE(IF(AND(ISERR(FIND(".",'Raw Data'!G298)),LEN('Raw Data'!G298)=5), IF(YEAR('Raw Data'!G298)=2026,CONCATENATE(DAY('Raw Data'!G298),".",IF(LEN(MONTH('Raw Data'!G298))=2,MONTH('Raw Data'!G298),CONCATENATE("0",MONTH('Raw Data'!G298)))),CONCATENATE(MONTH('Raw Data'!G298),".",RIGHT(YEAR('Raw Data'!G298),2))),'Raw Data'!G298))</f>
        <v>28.84</v>
      </c>
      <c r="H298">
        <f>'Raw Data'!H298</f>
        <v>4</v>
      </c>
      <c r="I298" s="6">
        <f t="shared" si="12"/>
        <v>5.7680000000000007</v>
      </c>
      <c r="J298" s="6">
        <f>'Raw Data'!J298</f>
        <v>121.128</v>
      </c>
      <c r="K298" s="1">
        <f>VALUE(IFERROR(VALUE('Raw Data'!K298),CONCATENATE(MID('Raw Data'!K298,3,2),".","0",LEFT('Raw Data'!K298,1),".", RIGHT('Raw Data'!K298,4))))</f>
        <v>43553</v>
      </c>
      <c r="L298" s="2">
        <f>'Raw Data'!L298</f>
        <v>0.61388888888888882</v>
      </c>
      <c r="M298" t="s">
        <v>29</v>
      </c>
      <c r="N298">
        <f>VALUE(IF(AND(ISERR(FIND(".",'Raw Data'!N298)),LEN('Raw Data'!N298)=5), IF(YEAR('Raw Data'!N298)=2026,CONCATENATE(DAY('Raw Data'!N298),".",IF(LEN(MONTH('Raw Data'!N298))=2,MONTH('Raw Data'!N298),CONCATENATE("0",MONTH('Raw Data'!N298)))),CONCATENATE(MONTH('Raw Data'!N298),".",RIGHT(YEAR('Raw Data'!N298),2))),'Raw Data'!N298))</f>
        <v>115.36</v>
      </c>
      <c r="O298" s="6">
        <f t="shared" si="13"/>
        <v>4.7619047619047628</v>
      </c>
      <c r="P298" s="6">
        <f t="shared" si="14"/>
        <v>5.7680000000000007</v>
      </c>
      <c r="Q298">
        <f>VALUE(IF(AND(ISERR(FIND(".",'Raw Data'!Q298)),LEN('Raw Data'!Q298)=5), IF(YEAR('Raw Data'!Q298)=2026,CONCATENATE(DAY('Raw Data'!Q298),".",IF(LEN(MONTH('Raw Data'!Q298))=2,MONTH('Raw Data'!Q298),CONCATENATE(MONTH('Raw Data'!Q298)))),CONCATENATE(MONTH('Raw Data'!Q298),".",RIGHT(YEAR('Raw Data'!Q298),2))),'Raw Data'!Q298))</f>
        <v>6.4</v>
      </c>
    </row>
    <row r="299" spans="1:17">
      <c r="A299" t="s">
        <v>385</v>
      </c>
      <c r="B299" t="s">
        <v>18</v>
      </c>
      <c r="C299" t="s">
        <v>19</v>
      </c>
      <c r="D299" t="s">
        <v>20</v>
      </c>
      <c r="E299" t="s">
        <v>30</v>
      </c>
      <c r="F299" t="s">
        <v>32</v>
      </c>
      <c r="G299">
        <f>VALUE(IF(AND(ISERR(FIND(".",'Raw Data'!G299)),LEN('Raw Data'!G299)=5), IF(YEAR('Raw Data'!G299)=2026,CONCATENATE(DAY('Raw Data'!G299),".",IF(LEN(MONTH('Raw Data'!G299))=2,MONTH('Raw Data'!G299),CONCATENATE("0",MONTH('Raw Data'!G299)))),CONCATENATE(MONTH('Raw Data'!G299),".",RIGHT(YEAR('Raw Data'!G299),2))),'Raw Data'!G299))</f>
        <v>78.38</v>
      </c>
      <c r="H299">
        <f>'Raw Data'!H299</f>
        <v>6</v>
      </c>
      <c r="I299" s="6">
        <f t="shared" si="12"/>
        <v>23.51400000000001</v>
      </c>
      <c r="J299" s="6">
        <f>'Raw Data'!J299</f>
        <v>493.79399999999998</v>
      </c>
      <c r="K299" s="1">
        <f>VALUE(IFERROR(VALUE('Raw Data'!K299),CONCATENATE(MID('Raw Data'!K299,3,2),".","0",LEFT('Raw Data'!K299,1),".", RIGHT('Raw Data'!K299,4))))</f>
        <v>43739</v>
      </c>
      <c r="L299" s="2">
        <f>'Raw Data'!L299</f>
        <v>0.59444444444444444</v>
      </c>
      <c r="M299" t="s">
        <v>23</v>
      </c>
      <c r="N299">
        <f>VALUE(IF(AND(ISERR(FIND(".",'Raw Data'!N299)),LEN('Raw Data'!N299)=5), IF(YEAR('Raw Data'!N299)=2026,CONCATENATE(DAY('Raw Data'!N299),".",IF(LEN(MONTH('Raw Data'!N299))=2,MONTH('Raw Data'!N299),CONCATENATE("0",MONTH('Raw Data'!N299)))),CONCATENATE(MONTH('Raw Data'!N299),".",RIGHT(YEAR('Raw Data'!N299),2))),'Raw Data'!N299))</f>
        <v>470.28</v>
      </c>
      <c r="O299" s="6">
        <f t="shared" si="13"/>
        <v>4.7619047619047645</v>
      </c>
      <c r="P299" s="6">
        <f t="shared" si="14"/>
        <v>23.51400000000001</v>
      </c>
      <c r="Q299">
        <f>VALUE(IF(AND(ISERR(FIND(".",'Raw Data'!Q299)),LEN('Raw Data'!Q299)=5), IF(YEAR('Raw Data'!Q299)=2026,CONCATENATE(DAY('Raw Data'!Q299),".",IF(LEN(MONTH('Raw Data'!Q299))=2,MONTH('Raw Data'!Q299),CONCATENATE(MONTH('Raw Data'!Q299)))),CONCATENATE(MONTH('Raw Data'!Q299),".",RIGHT(YEAR('Raw Data'!Q299),2))),'Raw Data'!Q299))</f>
        <v>5.8</v>
      </c>
    </row>
    <row r="300" spans="1:17">
      <c r="A300" t="s">
        <v>386</v>
      </c>
      <c r="B300" t="s">
        <v>18</v>
      </c>
      <c r="C300" t="s">
        <v>19</v>
      </c>
      <c r="D300" t="s">
        <v>20</v>
      </c>
      <c r="E300" t="s">
        <v>30</v>
      </c>
      <c r="F300" t="s">
        <v>32</v>
      </c>
      <c r="G300">
        <f>VALUE(IF(AND(ISERR(FIND(".",'Raw Data'!G300)),LEN('Raw Data'!G300)=5), IF(YEAR('Raw Data'!G300)=2026,CONCATENATE(DAY('Raw Data'!G300),".",IF(LEN(MONTH('Raw Data'!G300))=2,MONTH('Raw Data'!G300),CONCATENATE("0",MONTH('Raw Data'!G300)))),CONCATENATE(MONTH('Raw Data'!G300),".",RIGHT(YEAR('Raw Data'!G300),2))),'Raw Data'!G300))</f>
        <v>60.01</v>
      </c>
      <c r="H300">
        <f>'Raw Data'!H300</f>
        <v>4</v>
      </c>
      <c r="I300" s="6">
        <f t="shared" si="12"/>
        <v>12.00200000000001</v>
      </c>
      <c r="J300" s="6">
        <f>'Raw Data'!J300</f>
        <v>252.042</v>
      </c>
      <c r="K300" s="1">
        <f>VALUE(IFERROR(VALUE('Raw Data'!K300),CONCATENATE(MID('Raw Data'!K300,3,2),".","0",LEFT('Raw Data'!K300,1),".", RIGHT('Raw Data'!K300,4))))</f>
        <v>43490</v>
      </c>
      <c r="L300" s="2">
        <f>'Raw Data'!L300</f>
        <v>0.66249999999999998</v>
      </c>
      <c r="M300" t="s">
        <v>29</v>
      </c>
      <c r="N300">
        <f>VALUE(IF(AND(ISERR(FIND(".",'Raw Data'!N300)),LEN('Raw Data'!N300)=5), IF(YEAR('Raw Data'!N300)=2026,CONCATENATE(DAY('Raw Data'!N300),".",IF(LEN(MONTH('Raw Data'!N300))=2,MONTH('Raw Data'!N300),CONCATENATE("0",MONTH('Raw Data'!N300)))),CONCATENATE(MONTH('Raw Data'!N300),".",RIGHT(YEAR('Raw Data'!N300),2))),'Raw Data'!N300))</f>
        <v>240.04</v>
      </c>
      <c r="O300" s="6">
        <f t="shared" si="13"/>
        <v>4.7619047619047654</v>
      </c>
      <c r="P300" s="6">
        <f t="shared" si="14"/>
        <v>12.00200000000001</v>
      </c>
      <c r="Q300">
        <f>VALUE(IF(AND(ISERR(FIND(".",'Raw Data'!Q300)),LEN('Raw Data'!Q300)=5), IF(YEAR('Raw Data'!Q300)=2026,CONCATENATE(DAY('Raw Data'!Q300),".",IF(LEN(MONTH('Raw Data'!Q300))=2,MONTH('Raw Data'!Q300),CONCATENATE(MONTH('Raw Data'!Q300)))),CONCATENATE(MONTH('Raw Data'!Q300),".",RIGHT(YEAR('Raw Data'!Q300),2))),'Raw Data'!Q300))</f>
        <v>4.5</v>
      </c>
    </row>
    <row r="301" spans="1:17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f>VALUE(IF(AND(ISERR(FIND(".",'Raw Data'!G301)),LEN('Raw Data'!G301)=5), IF(YEAR('Raw Data'!G301)=2026,CONCATENATE(DAY('Raw Data'!G301),".",IF(LEN(MONTH('Raw Data'!G301))=2,MONTH('Raw Data'!G301),CONCATENATE("0",MONTH('Raw Data'!G301)))),CONCATENATE(MONTH('Raw Data'!G301),".",RIGHT(YEAR('Raw Data'!G301),2))),'Raw Data'!G301))</f>
        <v>88.61</v>
      </c>
      <c r="H301">
        <f>'Raw Data'!H301</f>
        <v>1</v>
      </c>
      <c r="I301" s="6">
        <f t="shared" si="12"/>
        <v>4.430499999999995</v>
      </c>
      <c r="J301" s="6">
        <f>'Raw Data'!J301</f>
        <v>93.040499999999994</v>
      </c>
      <c r="K301" s="1">
        <f>VALUE(IFERROR(VALUE('Raw Data'!K301),CONCATENATE(MID('Raw Data'!K301,3,2),".","0",LEFT('Raw Data'!K301,1),".", RIGHT('Raw Data'!K301,4))))</f>
        <v>43484</v>
      </c>
      <c r="L301" s="2">
        <f>'Raw Data'!L301</f>
        <v>0.43124999999999997</v>
      </c>
      <c r="M301" t="s">
        <v>29</v>
      </c>
      <c r="N301">
        <f>VALUE(IF(AND(ISERR(FIND(".",'Raw Data'!N301)),LEN('Raw Data'!N301)=5), IF(YEAR('Raw Data'!N301)=2026,CONCATENATE(DAY('Raw Data'!N301),".",IF(LEN(MONTH('Raw Data'!N301))=2,MONTH('Raw Data'!N301),CONCATENATE("0",MONTH('Raw Data'!N301)))),CONCATENATE(MONTH('Raw Data'!N301),".",RIGHT(YEAR('Raw Data'!N301),2))),'Raw Data'!N301))</f>
        <v>88.61</v>
      </c>
      <c r="O301" s="6">
        <f t="shared" si="13"/>
        <v>4.7619047619047565</v>
      </c>
      <c r="P301" s="6">
        <f t="shared" si="14"/>
        <v>4.430499999999995</v>
      </c>
      <c r="Q301">
        <f>VALUE(IF(AND(ISERR(FIND(".",'Raw Data'!Q301)),LEN('Raw Data'!Q301)=5), IF(YEAR('Raw Data'!Q301)=2026,CONCATENATE(DAY('Raw Data'!Q301),".",IF(LEN(MONTH('Raw Data'!Q301))=2,MONTH('Raw Data'!Q301),CONCATENATE(MONTH('Raw Data'!Q301)))),CONCATENATE(MONTH('Raw Data'!Q301),".",RIGHT(YEAR('Raw Data'!Q301),2))),'Raw Data'!Q301))</f>
        <v>7.7</v>
      </c>
    </row>
    <row r="302" spans="1:17">
      <c r="A302" t="s">
        <v>388</v>
      </c>
      <c r="B302" t="s">
        <v>25</v>
      </c>
      <c r="C302" t="s">
        <v>26</v>
      </c>
      <c r="D302" t="s">
        <v>27</v>
      </c>
      <c r="E302" t="s">
        <v>30</v>
      </c>
      <c r="F302" t="s">
        <v>43</v>
      </c>
      <c r="G302">
        <f>VALUE(IF(AND(ISERR(FIND(".",'Raw Data'!G302)),LEN('Raw Data'!G302)=5), IF(YEAR('Raw Data'!G302)=2026,CONCATENATE(DAY('Raw Data'!G302),".",IF(LEN(MONTH('Raw Data'!G302))=2,MONTH('Raw Data'!G302),CONCATENATE("0",MONTH('Raw Data'!G302)))),CONCATENATE(MONTH('Raw Data'!G302),".",RIGHT(YEAR('Raw Data'!G302),2))),'Raw Data'!G302))</f>
        <v>99.82</v>
      </c>
      <c r="H302">
        <f>'Raw Data'!H302</f>
        <v>2</v>
      </c>
      <c r="I302" s="6">
        <f t="shared" si="12"/>
        <v>9.9820000000000277</v>
      </c>
      <c r="J302" s="6">
        <f>'Raw Data'!J302</f>
        <v>209.62200000000001</v>
      </c>
      <c r="K302" s="1">
        <f>VALUE(IFERROR(VALUE('Raw Data'!K302),CONCATENATE(MID('Raw Data'!K302,3,2),".","0",LEFT('Raw Data'!K302,1),".", RIGHT('Raw Data'!K302,4))))</f>
        <v>43497</v>
      </c>
      <c r="L302" s="2">
        <f>'Raw Data'!L302</f>
        <v>0.75624999999999998</v>
      </c>
      <c r="M302" t="s">
        <v>33</v>
      </c>
      <c r="N302">
        <f>VALUE(IF(AND(ISERR(FIND(".",'Raw Data'!N302)),LEN('Raw Data'!N302)=5), IF(YEAR('Raw Data'!N302)=2026,CONCATENATE(DAY('Raw Data'!N302),".",IF(LEN(MONTH('Raw Data'!N302))=2,MONTH('Raw Data'!N302),CONCATENATE("0",MONTH('Raw Data'!N302)))),CONCATENATE(MONTH('Raw Data'!N302),".",RIGHT(YEAR('Raw Data'!N302),2))),'Raw Data'!N302))</f>
        <v>199.64</v>
      </c>
      <c r="O302" s="6">
        <f t="shared" si="13"/>
        <v>4.7619047619047752</v>
      </c>
      <c r="P302" s="6">
        <f t="shared" si="14"/>
        <v>9.9820000000000277</v>
      </c>
      <c r="Q302">
        <f>VALUE(IF(AND(ISERR(FIND(".",'Raw Data'!Q302)),LEN('Raw Data'!Q302)=5), IF(YEAR('Raw Data'!Q302)=2026,CONCATENATE(DAY('Raw Data'!Q302),".",IF(LEN(MONTH('Raw Data'!Q302))=2,MONTH('Raw Data'!Q302),CONCATENATE(MONTH('Raw Data'!Q302)))),CONCATENATE(MONTH('Raw Data'!Q302),".",RIGHT(YEAR('Raw Data'!Q302),2))),'Raw Data'!Q302))</f>
        <v>6.7</v>
      </c>
    </row>
    <row r="303" spans="1:17">
      <c r="A303" t="s">
        <v>389</v>
      </c>
      <c r="B303" t="s">
        <v>34</v>
      </c>
      <c r="C303" t="s">
        <v>35</v>
      </c>
      <c r="D303" t="s">
        <v>20</v>
      </c>
      <c r="E303" t="s">
        <v>30</v>
      </c>
      <c r="F303" t="s">
        <v>22</v>
      </c>
      <c r="G303">
        <f>VALUE(IF(AND(ISERR(FIND(".",'Raw Data'!G303)),LEN('Raw Data'!G303)=5), IF(YEAR('Raw Data'!G303)=2026,CONCATENATE(DAY('Raw Data'!G303),".",IF(LEN(MONTH('Raw Data'!G303))=2,MONTH('Raw Data'!G303),CONCATENATE("0",MONTH('Raw Data'!G303)))),CONCATENATE(MONTH('Raw Data'!G303),".",RIGHT(YEAR('Raw Data'!G303),2))),'Raw Data'!G303))</f>
        <v>39.01</v>
      </c>
      <c r="H303">
        <f>'Raw Data'!H303</f>
        <v>1</v>
      </c>
      <c r="I303" s="6">
        <f t="shared" si="12"/>
        <v>1.9505000000000052</v>
      </c>
      <c r="J303" s="6">
        <f>'Raw Data'!J303</f>
        <v>40.960500000000003</v>
      </c>
      <c r="K303" s="1">
        <f>VALUE(IFERROR(VALUE('Raw Data'!K303),CONCATENATE(MID('Raw Data'!K303,3,2),".","0",LEFT('Raw Data'!K303,1),".", RIGHT('Raw Data'!K303,4))))</f>
        <v>43802</v>
      </c>
      <c r="L303" s="2">
        <f>'Raw Data'!L303</f>
        <v>0.69861111111111107</v>
      </c>
      <c r="M303" t="s">
        <v>33</v>
      </c>
      <c r="N303">
        <f>VALUE(IF(AND(ISERR(FIND(".",'Raw Data'!N303)),LEN('Raw Data'!N303)=5), IF(YEAR('Raw Data'!N303)=2026,CONCATENATE(DAY('Raw Data'!N303),".",IF(LEN(MONTH('Raw Data'!N303))=2,MONTH('Raw Data'!N303),CONCATENATE("0",MONTH('Raw Data'!N303)))),CONCATENATE(MONTH('Raw Data'!N303),".",RIGHT(YEAR('Raw Data'!N303),2))),'Raw Data'!N303))</f>
        <v>39.01</v>
      </c>
      <c r="O303" s="6">
        <f t="shared" si="13"/>
        <v>4.7619047619047743</v>
      </c>
      <c r="P303" s="6">
        <f t="shared" si="14"/>
        <v>1.9505000000000052</v>
      </c>
      <c r="Q303">
        <f>VALUE(IF(AND(ISERR(FIND(".",'Raw Data'!Q303)),LEN('Raw Data'!Q303)=5), IF(YEAR('Raw Data'!Q303)=2026,CONCATENATE(DAY('Raw Data'!Q303),".",IF(LEN(MONTH('Raw Data'!Q303))=2,MONTH('Raw Data'!Q303),CONCATENATE(MONTH('Raw Data'!Q303)))),CONCATENATE(MONTH('Raw Data'!Q303),".",RIGHT(YEAR('Raw Data'!Q303),2))),'Raw Data'!Q303))</f>
        <v>4.7</v>
      </c>
    </row>
    <row r="304" spans="1:17">
      <c r="A304" t="s">
        <v>390</v>
      </c>
      <c r="B304" t="s">
        <v>25</v>
      </c>
      <c r="C304" t="s">
        <v>26</v>
      </c>
      <c r="D304" t="s">
        <v>27</v>
      </c>
      <c r="E304" t="s">
        <v>30</v>
      </c>
      <c r="F304" t="s">
        <v>40</v>
      </c>
      <c r="G304">
        <f>VALUE(IF(AND(ISERR(FIND(".",'Raw Data'!G304)),LEN('Raw Data'!G304)=5), IF(YEAR('Raw Data'!G304)=2026,CONCATENATE(DAY('Raw Data'!G304),".",IF(LEN(MONTH('Raw Data'!G304))=2,MONTH('Raw Data'!G304),CONCATENATE("0",MONTH('Raw Data'!G304)))),CONCATENATE(MONTH('Raw Data'!G304),".",RIGHT(YEAR('Raw Data'!G304),2))),'Raw Data'!G304))</f>
        <v>48.61</v>
      </c>
      <c r="H304">
        <f>'Raw Data'!H304</f>
        <v>1</v>
      </c>
      <c r="I304" s="6">
        <f t="shared" si="12"/>
        <v>2.4305000000000021</v>
      </c>
      <c r="J304" s="6">
        <f>'Raw Data'!J304</f>
        <v>51.040500000000002</v>
      </c>
      <c r="K304" s="1">
        <f>VALUE(IFERROR(VALUE('Raw Data'!K304),CONCATENATE(MID('Raw Data'!K304,3,2),".","0",LEFT('Raw Data'!K304,1),".", RIGHT('Raw Data'!K304,4))))</f>
        <v>43521</v>
      </c>
      <c r="L304" s="2">
        <f>'Raw Data'!L304</f>
        <v>0.64652777777777781</v>
      </c>
      <c r="M304" t="s">
        <v>29</v>
      </c>
      <c r="N304">
        <f>VALUE(IF(AND(ISERR(FIND(".",'Raw Data'!N304)),LEN('Raw Data'!N304)=5), IF(YEAR('Raw Data'!N304)=2026,CONCATENATE(DAY('Raw Data'!N304),".",IF(LEN(MONTH('Raw Data'!N304))=2,MONTH('Raw Data'!N304),CONCATENATE("0",MONTH('Raw Data'!N304)))),CONCATENATE(MONTH('Raw Data'!N304),".",RIGHT(YEAR('Raw Data'!N304),2))),'Raw Data'!N304))</f>
        <v>48.61</v>
      </c>
      <c r="O304" s="6">
        <f t="shared" si="13"/>
        <v>4.7619047619047654</v>
      </c>
      <c r="P304" s="6">
        <f t="shared" si="14"/>
        <v>2.4305000000000021</v>
      </c>
      <c r="Q304">
        <f>VALUE(IF(AND(ISERR(FIND(".",'Raw Data'!Q304)),LEN('Raw Data'!Q304)=5), IF(YEAR('Raw Data'!Q304)=2026,CONCATENATE(DAY('Raw Data'!Q304),".",IF(LEN(MONTH('Raw Data'!Q304))=2,MONTH('Raw Data'!Q304),CONCATENATE(MONTH('Raw Data'!Q304)))),CONCATENATE(MONTH('Raw Data'!Q304),".",RIGHT(YEAR('Raw Data'!Q304),2))),'Raw Data'!Q304))</f>
        <v>4.4000000000000004</v>
      </c>
    </row>
    <row r="305" spans="1:17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f>VALUE(IF(AND(ISERR(FIND(".",'Raw Data'!G305)),LEN('Raw Data'!G305)=5), IF(YEAR('Raw Data'!G305)=2026,CONCATENATE(DAY('Raw Data'!G305),".",IF(LEN(MONTH('Raw Data'!G305))=2,MONTH('Raw Data'!G305),CONCATENATE("0",MONTH('Raw Data'!G305)))),CONCATENATE(MONTH('Raw Data'!G305),".",RIGHT(YEAR('Raw Data'!G305),2))),'Raw Data'!G305))</f>
        <v>51.19</v>
      </c>
      <c r="H305">
        <f>'Raw Data'!H305</f>
        <v>4</v>
      </c>
      <c r="I305" s="6">
        <f t="shared" si="12"/>
        <v>10.238</v>
      </c>
      <c r="J305" s="6">
        <f>'Raw Data'!J305</f>
        <v>214.99799999999999</v>
      </c>
      <c r="K305" s="1">
        <f>VALUE(IFERROR(VALUE('Raw Data'!K305),CONCATENATE(MID('Raw Data'!K305,3,2),".","0",LEFT('Raw Data'!K305,1),".", RIGHT('Raw Data'!K305,4))))</f>
        <v>43542</v>
      </c>
      <c r="L305" s="2">
        <f>'Raw Data'!L305</f>
        <v>0.71875</v>
      </c>
      <c r="M305" t="s">
        <v>33</v>
      </c>
      <c r="N305">
        <f>VALUE(IF(AND(ISERR(FIND(".",'Raw Data'!N305)),LEN('Raw Data'!N305)=5), IF(YEAR('Raw Data'!N305)=2026,CONCATENATE(DAY('Raw Data'!N305),".",IF(LEN(MONTH('Raw Data'!N305))=2,MONTH('Raw Data'!N305),CONCATENATE("0",MONTH('Raw Data'!N305)))),CONCATENATE(MONTH('Raw Data'!N305),".",RIGHT(YEAR('Raw Data'!N305),2))),'Raw Data'!N305))</f>
        <v>204.76</v>
      </c>
      <c r="O305" s="6">
        <f t="shared" si="13"/>
        <v>4.7619047619047619</v>
      </c>
      <c r="P305" s="6">
        <f t="shared" si="14"/>
        <v>10.238</v>
      </c>
      <c r="Q305">
        <f>VALUE(IF(AND(ISERR(FIND(".",'Raw Data'!Q305)),LEN('Raw Data'!Q305)=5), IF(YEAR('Raw Data'!Q305)=2026,CONCATENATE(DAY('Raw Data'!Q305),".",IF(LEN(MONTH('Raw Data'!Q305))=2,MONTH('Raw Data'!Q305),CONCATENATE(MONTH('Raw Data'!Q305)))),CONCATENATE(MONTH('Raw Data'!Q305),".",RIGHT(YEAR('Raw Data'!Q305),2))),'Raw Data'!Q305))</f>
        <v>4.7</v>
      </c>
    </row>
    <row r="306" spans="1:17">
      <c r="A306" t="s">
        <v>392</v>
      </c>
      <c r="B306" t="s">
        <v>34</v>
      </c>
      <c r="C306" t="s">
        <v>35</v>
      </c>
      <c r="D306" t="s">
        <v>27</v>
      </c>
      <c r="E306" t="s">
        <v>21</v>
      </c>
      <c r="F306" t="s">
        <v>28</v>
      </c>
      <c r="G306">
        <f>VALUE(IF(AND(ISERR(FIND(".",'Raw Data'!G306)),LEN('Raw Data'!G306)=5), IF(YEAR('Raw Data'!G306)=2026,CONCATENATE(DAY('Raw Data'!G306),".",IF(LEN(MONTH('Raw Data'!G306))=2,MONTH('Raw Data'!G306),CONCATENATE("0",MONTH('Raw Data'!G306)))),CONCATENATE(MONTH('Raw Data'!G306),".",RIGHT(YEAR('Raw Data'!G306),2))),'Raw Data'!G306))</f>
        <v>14.96</v>
      </c>
      <c r="H306">
        <f>'Raw Data'!H306</f>
        <v>8</v>
      </c>
      <c r="I306" s="6">
        <f t="shared" si="12"/>
        <v>5.9839999999999947</v>
      </c>
      <c r="J306" s="6">
        <f>'Raw Data'!J306</f>
        <v>125.664</v>
      </c>
      <c r="K306" s="1">
        <f>VALUE(IFERROR(VALUE('Raw Data'!K306),CONCATENATE(MID('Raw Data'!K306,3,2),".","0",LEFT('Raw Data'!K306,1),".", RIGHT('Raw Data'!K306,4))))</f>
        <v>43519</v>
      </c>
      <c r="L306" s="2">
        <f>'Raw Data'!L306</f>
        <v>0.52013888888888882</v>
      </c>
      <c r="M306" t="s">
        <v>29</v>
      </c>
      <c r="N306">
        <f>VALUE(IF(AND(ISERR(FIND(".",'Raw Data'!N306)),LEN('Raw Data'!N306)=5), IF(YEAR('Raw Data'!N306)=2026,CONCATENATE(DAY('Raw Data'!N306),".",IF(LEN(MONTH('Raw Data'!N306))=2,MONTH('Raw Data'!N306),CONCATENATE("0",MONTH('Raw Data'!N306)))),CONCATENATE(MONTH('Raw Data'!N306),".",RIGHT(YEAR('Raw Data'!N306),2))),'Raw Data'!N306))</f>
        <v>119.68</v>
      </c>
      <c r="O306" s="6">
        <f t="shared" si="13"/>
        <v>4.7619047619047574</v>
      </c>
      <c r="P306" s="6">
        <f t="shared" si="14"/>
        <v>5.9839999999999947</v>
      </c>
      <c r="Q306">
        <f>VALUE(IF(AND(ISERR(FIND(".",'Raw Data'!Q306)),LEN('Raw Data'!Q306)=5), IF(YEAR('Raw Data'!Q306)=2026,CONCATENATE(DAY('Raw Data'!Q306),".",IF(LEN(MONTH('Raw Data'!Q306))=2,MONTH('Raw Data'!Q306),CONCATENATE(MONTH('Raw Data'!Q306)))),CONCATENATE(MONTH('Raw Data'!Q306),".",RIGHT(YEAR('Raw Data'!Q306),2))),'Raw Data'!Q306))</f>
        <v>8.6</v>
      </c>
    </row>
    <row r="307" spans="1:17">
      <c r="A307" t="s">
        <v>393</v>
      </c>
      <c r="B307" t="s">
        <v>18</v>
      </c>
      <c r="C307" t="s">
        <v>19</v>
      </c>
      <c r="D307" t="s">
        <v>20</v>
      </c>
      <c r="E307" t="s">
        <v>30</v>
      </c>
      <c r="F307" t="s">
        <v>28</v>
      </c>
      <c r="G307">
        <f>VALUE(IF(AND(ISERR(FIND(".",'Raw Data'!G307)),LEN('Raw Data'!G307)=5), IF(YEAR('Raw Data'!G307)=2026,CONCATENATE(DAY('Raw Data'!G307),".",IF(LEN(MONTH('Raw Data'!G307))=2,MONTH('Raw Data'!G307),CONCATENATE("0",MONTH('Raw Data'!G307)))),CONCATENATE(MONTH('Raw Data'!G307),".",RIGHT(YEAR('Raw Data'!G307),2))),'Raw Data'!G307))</f>
        <v>72.2</v>
      </c>
      <c r="H307">
        <f>'Raw Data'!H307</f>
        <v>7</v>
      </c>
      <c r="I307" s="6">
        <f t="shared" si="12"/>
        <v>25.269999999999925</v>
      </c>
      <c r="J307" s="6">
        <f>'Raw Data'!J307</f>
        <v>530.66999999999996</v>
      </c>
      <c r="K307" s="1">
        <f>VALUE(IFERROR(VALUE('Raw Data'!K307),CONCATENATE(MID('Raw Data'!K307,3,2),".","0",LEFT('Raw Data'!K307,1),".", RIGHT('Raw Data'!K307,4))))</f>
        <v>43550</v>
      </c>
      <c r="L307" s="2">
        <f>'Raw Data'!L307</f>
        <v>0.84305555555555556</v>
      </c>
      <c r="M307" t="s">
        <v>23</v>
      </c>
      <c r="N307">
        <f>VALUE(IF(AND(ISERR(FIND(".",'Raw Data'!N307)),LEN('Raw Data'!N307)=5), IF(YEAR('Raw Data'!N307)=2026,CONCATENATE(DAY('Raw Data'!N307),".",IF(LEN(MONTH('Raw Data'!N307))=2,MONTH('Raw Data'!N307),CONCATENATE("0",MONTH('Raw Data'!N307)))),CONCATENATE(MONTH('Raw Data'!N307),".",RIGHT(YEAR('Raw Data'!N307),2))),'Raw Data'!N307))</f>
        <v>505.4</v>
      </c>
      <c r="O307" s="6">
        <f t="shared" si="13"/>
        <v>4.7619047619047592</v>
      </c>
      <c r="P307" s="6">
        <f t="shared" si="14"/>
        <v>25.269999999999982</v>
      </c>
      <c r="Q307">
        <f>VALUE(IF(AND(ISERR(FIND(".",'Raw Data'!Q307)),LEN('Raw Data'!Q307)=5), IF(YEAR('Raw Data'!Q307)=2026,CONCATENATE(DAY('Raw Data'!Q307),".",IF(LEN(MONTH('Raw Data'!Q307))=2,MONTH('Raw Data'!Q307),CONCATENATE(MONTH('Raw Data'!Q307)))),CONCATENATE(MONTH('Raw Data'!Q307),".",RIGHT(YEAR('Raw Data'!Q307),2))),'Raw Data'!Q307))</f>
        <v>4.3</v>
      </c>
    </row>
    <row r="308" spans="1:17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38</v>
      </c>
      <c r="G308">
        <f>VALUE(IF(AND(ISERR(FIND(".",'Raw Data'!G308)),LEN('Raw Data'!G308)=5), IF(YEAR('Raw Data'!G308)=2026,CONCATENATE(DAY('Raw Data'!G308),".",IF(LEN(MONTH('Raw Data'!G308))=2,MONTH('Raw Data'!G308),CONCATENATE("0",MONTH('Raw Data'!G308)))),CONCATENATE(MONTH('Raw Data'!G308),".",RIGHT(YEAR('Raw Data'!G308),2))),'Raw Data'!G308))</f>
        <v>40.229999999999997</v>
      </c>
      <c r="H308">
        <f>'Raw Data'!H308</f>
        <v>7</v>
      </c>
      <c r="I308" s="6">
        <f t="shared" si="12"/>
        <v>14.080500000000029</v>
      </c>
      <c r="J308" s="6">
        <f>'Raw Data'!J308</f>
        <v>295.69049999999999</v>
      </c>
      <c r="K308" s="1">
        <f>VALUE(IFERROR(VALUE('Raw Data'!K308),CONCATENATE(MID('Raw Data'!K308,3,2),".","0",LEFT('Raw Data'!K308,1),".", RIGHT('Raw Data'!K308,4))))</f>
        <v>43554</v>
      </c>
      <c r="L308" s="2">
        <f>'Raw Data'!L308</f>
        <v>0.55694444444444446</v>
      </c>
      <c r="M308" t="s">
        <v>29</v>
      </c>
      <c r="N308">
        <f>VALUE(IF(AND(ISERR(FIND(".",'Raw Data'!N308)),LEN('Raw Data'!N308)=5), IF(YEAR('Raw Data'!N308)=2026,CONCATENATE(DAY('Raw Data'!N308),".",IF(LEN(MONTH('Raw Data'!N308))=2,MONTH('Raw Data'!N308),CONCATENATE("0",MONTH('Raw Data'!N308)))),CONCATENATE(MONTH('Raw Data'!N308),".",RIGHT(YEAR('Raw Data'!N308),2))),'Raw Data'!N308))</f>
        <v>281.61</v>
      </c>
      <c r="O308" s="6">
        <f t="shared" si="13"/>
        <v>4.761904761904753</v>
      </c>
      <c r="P308" s="6">
        <f t="shared" si="14"/>
        <v>14.080499999999972</v>
      </c>
      <c r="Q308">
        <f>VALUE(IF(AND(ISERR(FIND(".",'Raw Data'!Q308)),LEN('Raw Data'!Q308)=5), IF(YEAR('Raw Data'!Q308)=2026,CONCATENATE(DAY('Raw Data'!Q308),".",IF(LEN(MONTH('Raw Data'!Q308))=2,MONTH('Raw Data'!Q308),CONCATENATE(MONTH('Raw Data'!Q308)))),CONCATENATE(MONTH('Raw Data'!Q308),".",RIGHT(YEAR('Raw Data'!Q308),2))),'Raw Data'!Q308))</f>
        <v>9.6</v>
      </c>
    </row>
    <row r="309" spans="1:17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f>VALUE(IF(AND(ISERR(FIND(".",'Raw Data'!G309)),LEN('Raw Data'!G309)=5), IF(YEAR('Raw Data'!G309)=2026,CONCATENATE(DAY('Raw Data'!G309),".",IF(LEN(MONTH('Raw Data'!G309))=2,MONTH('Raw Data'!G309),CONCATENATE("0",MONTH('Raw Data'!G309)))),CONCATENATE(MONTH('Raw Data'!G309),".",RIGHT(YEAR('Raw Data'!G309),2))),'Raw Data'!G309))</f>
        <v>88.79</v>
      </c>
      <c r="H309">
        <f>'Raw Data'!H309</f>
        <v>8</v>
      </c>
      <c r="I309" s="6">
        <f t="shared" si="12"/>
        <v>35.515999999999963</v>
      </c>
      <c r="J309" s="6">
        <f>'Raw Data'!J309</f>
        <v>745.83600000000001</v>
      </c>
      <c r="K309" s="1">
        <f>VALUE(IFERROR(VALUE('Raw Data'!K309),CONCATENATE(MID('Raw Data'!K309,3,2),".","0",LEFT('Raw Data'!K309,1),".", RIGHT('Raw Data'!K309,4))))</f>
        <v>43513</v>
      </c>
      <c r="L309" s="2">
        <f>'Raw Data'!L309</f>
        <v>0.71458333333333324</v>
      </c>
      <c r="M309" t="s">
        <v>29</v>
      </c>
      <c r="N309">
        <f>VALUE(IF(AND(ISERR(FIND(".",'Raw Data'!N309)),LEN('Raw Data'!N309)=5), IF(YEAR('Raw Data'!N309)=2026,CONCATENATE(DAY('Raw Data'!N309),".",IF(LEN(MONTH('Raw Data'!N309))=2,MONTH('Raw Data'!N309),CONCATENATE("0",MONTH('Raw Data'!N309)))),CONCATENATE(MONTH('Raw Data'!N309),".",RIGHT(YEAR('Raw Data'!N309),2))),'Raw Data'!N309))</f>
        <v>710.32</v>
      </c>
      <c r="O309" s="6">
        <f t="shared" si="13"/>
        <v>4.7619047619047565</v>
      </c>
      <c r="P309" s="6">
        <f t="shared" si="14"/>
        <v>35.515999999999963</v>
      </c>
      <c r="Q309">
        <f>VALUE(IF(AND(ISERR(FIND(".",'Raw Data'!Q309)),LEN('Raw Data'!Q309)=5), IF(YEAR('Raw Data'!Q309)=2026,CONCATENATE(DAY('Raw Data'!Q309),".",IF(LEN(MONTH('Raw Data'!Q309))=2,MONTH('Raw Data'!Q309),CONCATENATE(MONTH('Raw Data'!Q309)))),CONCATENATE(MONTH('Raw Data'!Q309),".",RIGHT(YEAR('Raw Data'!Q309),2))),'Raw Data'!Q309))</f>
        <v>4.0999999999999996</v>
      </c>
    </row>
    <row r="310" spans="1:17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f>VALUE(IF(AND(ISERR(FIND(".",'Raw Data'!G310)),LEN('Raw Data'!G310)=5), IF(YEAR('Raw Data'!G310)=2026,CONCATENATE(DAY('Raw Data'!G310),".",IF(LEN(MONTH('Raw Data'!G310))=2,MONTH('Raw Data'!G310),CONCATENATE("0",MONTH('Raw Data'!G310)))),CONCATENATE(MONTH('Raw Data'!G310),".",RIGHT(YEAR('Raw Data'!G310),2))),'Raw Data'!G310))</f>
        <v>26.48</v>
      </c>
      <c r="H310">
        <f>'Raw Data'!H310</f>
        <v>3</v>
      </c>
      <c r="I310" s="6">
        <f t="shared" si="12"/>
        <v>3.9720000000000084</v>
      </c>
      <c r="J310" s="6">
        <f>'Raw Data'!J310</f>
        <v>83.412000000000006</v>
      </c>
      <c r="K310" s="1">
        <f>VALUE(IFERROR(VALUE('Raw Data'!K310),CONCATENATE(MID('Raw Data'!K310,3,2),".","0",LEFT('Raw Data'!K310,1),".", RIGHT('Raw Data'!K310,4))))</f>
        <v>43545</v>
      </c>
      <c r="L310" s="2">
        <f>'Raw Data'!L310</f>
        <v>0.44444444444444442</v>
      </c>
      <c r="M310" t="s">
        <v>23</v>
      </c>
      <c r="N310">
        <f>VALUE(IF(AND(ISERR(FIND(".",'Raw Data'!N310)),LEN('Raw Data'!N310)=5), IF(YEAR('Raw Data'!N310)=2026,CONCATENATE(DAY('Raw Data'!N310),".",IF(LEN(MONTH('Raw Data'!N310))=2,MONTH('Raw Data'!N310),CONCATENATE("0",MONTH('Raw Data'!N310)))),CONCATENATE(MONTH('Raw Data'!N310),".",RIGHT(YEAR('Raw Data'!N310),2))),'Raw Data'!N310))</f>
        <v>79.44</v>
      </c>
      <c r="O310" s="6">
        <f t="shared" si="13"/>
        <v>4.7619047619047716</v>
      </c>
      <c r="P310" s="6">
        <f t="shared" si="14"/>
        <v>3.9720000000000084</v>
      </c>
      <c r="Q310">
        <f>VALUE(IF(AND(ISERR(FIND(".",'Raw Data'!Q310)),LEN('Raw Data'!Q310)=5), IF(YEAR('Raw Data'!Q310)=2026,CONCATENATE(DAY('Raw Data'!Q310),".",IF(LEN(MONTH('Raw Data'!Q310))=2,MONTH('Raw Data'!Q310),CONCATENATE(MONTH('Raw Data'!Q310)))),CONCATENATE(MONTH('Raw Data'!Q310),".",RIGHT(YEAR('Raw Data'!Q310),2))),'Raw Data'!Q310))</f>
        <v>4.7</v>
      </c>
    </row>
    <row r="311" spans="1:17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43</v>
      </c>
      <c r="G311">
        <f>VALUE(IF(AND(ISERR(FIND(".",'Raw Data'!G311)),LEN('Raw Data'!G311)=5), IF(YEAR('Raw Data'!G311)=2026,CONCATENATE(DAY('Raw Data'!G311),".",IF(LEN(MONTH('Raw Data'!G311))=2,MONTH('Raw Data'!G311),CONCATENATE("0",MONTH('Raw Data'!G311)))),CONCATENATE(MONTH('Raw Data'!G311),".",RIGHT(YEAR('Raw Data'!G311),2))),'Raw Data'!G311))</f>
        <v>81.91</v>
      </c>
      <c r="H311">
        <f>'Raw Data'!H311</f>
        <v>2</v>
      </c>
      <c r="I311" s="6">
        <f t="shared" si="12"/>
        <v>8.1910000000000025</v>
      </c>
      <c r="J311" s="6">
        <f>'Raw Data'!J311</f>
        <v>172.011</v>
      </c>
      <c r="K311" s="1">
        <f>VALUE(IFERROR(VALUE('Raw Data'!K311),CONCATENATE(MID('Raw Data'!K311,3,2),".","0",LEFT('Raw Data'!K311,1),".", RIGHT('Raw Data'!K311,4))))</f>
        <v>43588</v>
      </c>
      <c r="L311" s="2">
        <f>'Raw Data'!L311</f>
        <v>0.73819444444444438</v>
      </c>
      <c r="M311" t="s">
        <v>29</v>
      </c>
      <c r="N311">
        <f>VALUE(IF(AND(ISERR(FIND(".",'Raw Data'!N311)),LEN('Raw Data'!N311)=5), IF(YEAR('Raw Data'!N311)=2026,CONCATENATE(DAY('Raw Data'!N311),".",IF(LEN(MONTH('Raw Data'!N311))=2,MONTH('Raw Data'!N311),CONCATENATE("0",MONTH('Raw Data'!N311)))),CONCATENATE(MONTH('Raw Data'!N311),".",RIGHT(YEAR('Raw Data'!N311),2))),'Raw Data'!N311))</f>
        <v>163.82</v>
      </c>
      <c r="O311" s="6">
        <f t="shared" si="13"/>
        <v>4.7619047619047636</v>
      </c>
      <c r="P311" s="6">
        <f t="shared" si="14"/>
        <v>8.1910000000000025</v>
      </c>
      <c r="Q311">
        <f>VALUE(IF(AND(ISERR(FIND(".",'Raw Data'!Q311)),LEN('Raw Data'!Q311)=5), IF(YEAR('Raw Data'!Q311)=2026,CONCATENATE(DAY('Raw Data'!Q311),".",IF(LEN(MONTH('Raw Data'!Q311))=2,MONTH('Raw Data'!Q311),CONCATENATE(MONTH('Raw Data'!Q311)))),CONCATENATE(MONTH('Raw Data'!Q311),".",RIGHT(YEAR('Raw Data'!Q311),2))),'Raw Data'!Q311))</f>
        <v>7.8</v>
      </c>
    </row>
    <row r="312" spans="1:17">
      <c r="A312" t="s">
        <v>398</v>
      </c>
      <c r="B312" t="s">
        <v>34</v>
      </c>
      <c r="C312" t="s">
        <v>35</v>
      </c>
      <c r="D312" t="s">
        <v>20</v>
      </c>
      <c r="E312" t="s">
        <v>30</v>
      </c>
      <c r="F312" t="s">
        <v>38</v>
      </c>
      <c r="G312">
        <f>VALUE(IF(AND(ISERR(FIND(".",'Raw Data'!G312)),LEN('Raw Data'!G312)=5), IF(YEAR('Raw Data'!G312)=2026,CONCATENATE(DAY('Raw Data'!G312),".",IF(LEN(MONTH('Raw Data'!G312))=2,MONTH('Raw Data'!G312),CONCATENATE("0",MONTH('Raw Data'!G312)))),CONCATENATE(MONTH('Raw Data'!G312),".",RIGHT(YEAR('Raw Data'!G312),2))),'Raw Data'!G312))</f>
        <v>79.930000000000007</v>
      </c>
      <c r="H312">
        <f>'Raw Data'!H312</f>
        <v>6</v>
      </c>
      <c r="I312" s="6">
        <f t="shared" si="12"/>
        <v>23.978999999999985</v>
      </c>
      <c r="J312" s="6">
        <f>'Raw Data'!J312</f>
        <v>503.55900000000003</v>
      </c>
      <c r="K312" s="1">
        <f>VALUE(IFERROR(VALUE('Raw Data'!K312),CONCATENATE(MID('Raw Data'!K312,3,2),".","0",LEFT('Raw Data'!K312,1),".", RIGHT('Raw Data'!K312,4))))</f>
        <v>43496</v>
      </c>
      <c r="L312" s="2">
        <f>'Raw Data'!L312</f>
        <v>0.58611111111111114</v>
      </c>
      <c r="M312" t="s">
        <v>29</v>
      </c>
      <c r="N312">
        <f>VALUE(IF(AND(ISERR(FIND(".",'Raw Data'!N312)),LEN('Raw Data'!N312)=5), IF(YEAR('Raw Data'!N312)=2026,CONCATENATE(DAY('Raw Data'!N312),".",IF(LEN(MONTH('Raw Data'!N312))=2,MONTH('Raw Data'!N312),CONCATENATE("0",MONTH('Raw Data'!N312)))),CONCATENATE(MONTH('Raw Data'!N312),".",RIGHT(YEAR('Raw Data'!N312),2))),'Raw Data'!N312))</f>
        <v>479.58</v>
      </c>
      <c r="O312" s="6">
        <f t="shared" si="13"/>
        <v>4.7619047619047699</v>
      </c>
      <c r="P312" s="6">
        <f t="shared" si="14"/>
        <v>23.979000000000042</v>
      </c>
      <c r="Q312">
        <f>VALUE(IF(AND(ISERR(FIND(".",'Raw Data'!Q312)),LEN('Raw Data'!Q312)=5), IF(YEAR('Raw Data'!Q312)=2026,CONCATENATE(DAY('Raw Data'!Q312),".",IF(LEN(MONTH('Raw Data'!Q312))=2,MONTH('Raw Data'!Q312),CONCATENATE(MONTH('Raw Data'!Q312)))),CONCATENATE(MONTH('Raw Data'!Q312),".",RIGHT(YEAR('Raw Data'!Q312),2))),'Raw Data'!Q312))</f>
        <v>5.5</v>
      </c>
    </row>
    <row r="313" spans="1:17">
      <c r="A313" t="s">
        <v>399</v>
      </c>
      <c r="B313" t="s">
        <v>25</v>
      </c>
      <c r="C313" t="s">
        <v>26</v>
      </c>
      <c r="D313" t="s">
        <v>20</v>
      </c>
      <c r="E313" t="s">
        <v>30</v>
      </c>
      <c r="F313" t="s">
        <v>43</v>
      </c>
      <c r="G313">
        <f>VALUE(IF(AND(ISERR(FIND(".",'Raw Data'!G313)),LEN('Raw Data'!G313)=5), IF(YEAR('Raw Data'!G313)=2026,CONCATENATE(DAY('Raw Data'!G313),".",IF(LEN(MONTH('Raw Data'!G313))=2,MONTH('Raw Data'!G313),CONCATENATE("0",MONTH('Raw Data'!G313)))),CONCATENATE(MONTH('Raw Data'!G313),".",RIGHT(YEAR('Raw Data'!G313),2))),'Raw Data'!G313))</f>
        <v>69.33</v>
      </c>
      <c r="H313">
        <f>'Raw Data'!H313</f>
        <v>2</v>
      </c>
      <c r="I313" s="6">
        <f t="shared" si="12"/>
        <v>6.9329999999999927</v>
      </c>
      <c r="J313" s="6">
        <f>'Raw Data'!J313</f>
        <v>145.59299999999999</v>
      </c>
      <c r="K313" s="1">
        <f>VALUE(IFERROR(VALUE('Raw Data'!K313),CONCATENATE(MID('Raw Data'!K313,3,2),".","0",LEFT('Raw Data'!K313,1),".", RIGHT('Raw Data'!K313,4))))</f>
        <v>43587</v>
      </c>
      <c r="L313" s="2">
        <f>'Raw Data'!L313</f>
        <v>0.79513888888888884</v>
      </c>
      <c r="M313" t="s">
        <v>23</v>
      </c>
      <c r="N313">
        <f>VALUE(IF(AND(ISERR(FIND(".",'Raw Data'!N313)),LEN('Raw Data'!N313)=5), IF(YEAR('Raw Data'!N313)=2026,CONCATENATE(DAY('Raw Data'!N313),".",IF(LEN(MONTH('Raw Data'!N313))=2,MONTH('Raw Data'!N313),CONCATENATE("0",MONTH('Raw Data'!N313)))),CONCATENATE(MONTH('Raw Data'!N313),".",RIGHT(YEAR('Raw Data'!N313),2))),'Raw Data'!N313))</f>
        <v>138.66</v>
      </c>
      <c r="O313" s="6">
        <f t="shared" si="13"/>
        <v>4.7619047619047574</v>
      </c>
      <c r="P313" s="6">
        <f t="shared" si="14"/>
        <v>6.9329999999999927</v>
      </c>
      <c r="Q313">
        <f>VALUE(IF(AND(ISERR(FIND(".",'Raw Data'!Q313)),LEN('Raw Data'!Q313)=5), IF(YEAR('Raw Data'!Q313)=2026,CONCATENATE(DAY('Raw Data'!Q313),".",IF(LEN(MONTH('Raw Data'!Q313))=2,MONTH('Raw Data'!Q313),CONCATENATE(MONTH('Raw Data'!Q313)))),CONCATENATE(MONTH('Raw Data'!Q313),".",RIGHT(YEAR('Raw Data'!Q313),2))),'Raw Data'!Q313))</f>
        <v>9.6999999999999993</v>
      </c>
    </row>
    <row r="314" spans="1:17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40</v>
      </c>
      <c r="G314">
        <f>VALUE(IF(AND(ISERR(FIND(".",'Raw Data'!G314)),LEN('Raw Data'!G314)=5), IF(YEAR('Raw Data'!G314)=2026,CONCATENATE(DAY('Raw Data'!G314),".",IF(LEN(MONTH('Raw Data'!G314))=2,MONTH('Raw Data'!G314),CONCATENATE("0",MONTH('Raw Data'!G314)))),CONCATENATE(MONTH('Raw Data'!G314),".",RIGHT(YEAR('Raw Data'!G314),2))),'Raw Data'!G314))</f>
        <v>14.23</v>
      </c>
      <c r="H314">
        <f>'Raw Data'!H314</f>
        <v>5</v>
      </c>
      <c r="I314" s="6">
        <f t="shared" si="12"/>
        <v>3.5574999999999903</v>
      </c>
      <c r="J314" s="6">
        <f>'Raw Data'!J314</f>
        <v>74.707499999999996</v>
      </c>
      <c r="K314" s="1">
        <f>VALUE(IFERROR(VALUE('Raw Data'!K314),CONCATENATE(MID('Raw Data'!K314,3,2),".","0",LEFT('Raw Data'!K314,1),".", RIGHT('Raw Data'!K314,4))))</f>
        <v>43467</v>
      </c>
      <c r="L314" s="2">
        <f>'Raw Data'!L314</f>
        <v>0.42222222222222222</v>
      </c>
      <c r="M314" t="s">
        <v>33</v>
      </c>
      <c r="N314">
        <f>VALUE(IF(AND(ISERR(FIND(".",'Raw Data'!N314)),LEN('Raw Data'!N314)=5), IF(YEAR('Raw Data'!N314)=2026,CONCATENATE(DAY('Raw Data'!N314),".",IF(LEN(MONTH('Raw Data'!N314))=2,MONTH('Raw Data'!N314),CONCATENATE("0",MONTH('Raw Data'!N314)))),CONCATENATE(MONTH('Raw Data'!N314),".",RIGHT(YEAR('Raw Data'!N314),2))),'Raw Data'!N314))</f>
        <v>71.150000000000006</v>
      </c>
      <c r="O314" s="6">
        <f t="shared" si="13"/>
        <v>4.7619047619047494</v>
      </c>
      <c r="P314" s="6">
        <f t="shared" si="14"/>
        <v>3.5574999999999903</v>
      </c>
      <c r="Q314">
        <f>VALUE(IF(AND(ISERR(FIND(".",'Raw Data'!Q314)),LEN('Raw Data'!Q314)=5), IF(YEAR('Raw Data'!Q314)=2026,CONCATENATE(DAY('Raw Data'!Q314),".",IF(LEN(MONTH('Raw Data'!Q314))=2,MONTH('Raw Data'!Q314),CONCATENATE(MONTH('Raw Data'!Q314)))),CONCATENATE(MONTH('Raw Data'!Q314),".",RIGHT(YEAR('Raw Data'!Q314),2))),'Raw Data'!Q314))</f>
        <v>4.4000000000000004</v>
      </c>
    </row>
    <row r="315" spans="1:17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f>VALUE(IF(AND(ISERR(FIND(".",'Raw Data'!G315)),LEN('Raw Data'!G315)=5), IF(YEAR('Raw Data'!G315)=2026,CONCATENATE(DAY('Raw Data'!G315),".",IF(LEN(MONTH('Raw Data'!G315))=2,MONTH('Raw Data'!G315),CONCATENATE("0",MONTH('Raw Data'!G315)))),CONCATENATE(MONTH('Raw Data'!G315),".",RIGHT(YEAR('Raw Data'!G315),2))),'Raw Data'!G315))</f>
        <v>15.55</v>
      </c>
      <c r="H315">
        <f>'Raw Data'!H315</f>
        <v>9</v>
      </c>
      <c r="I315" s="6">
        <f t="shared" si="12"/>
        <v>6.9974999999999739</v>
      </c>
      <c r="J315" s="6">
        <f>'Raw Data'!J315</f>
        <v>146.94749999999999</v>
      </c>
      <c r="K315" s="1">
        <f>VALUE(IFERROR(VALUE('Raw Data'!K315),CONCATENATE(MID('Raw Data'!K315,3,2),".","0",LEFT('Raw Data'!K315,1),".", RIGHT('Raw Data'!K315,4))))</f>
        <v>43649</v>
      </c>
      <c r="L315" s="2">
        <f>'Raw Data'!L315</f>
        <v>0.54999999999999993</v>
      </c>
      <c r="M315" t="s">
        <v>29</v>
      </c>
      <c r="N315">
        <f>VALUE(IF(AND(ISERR(FIND(".",'Raw Data'!N315)),LEN('Raw Data'!N315)=5), IF(YEAR('Raw Data'!N315)=2026,CONCATENATE(DAY('Raw Data'!N315),".",IF(LEN(MONTH('Raw Data'!N315))=2,MONTH('Raw Data'!N315),CONCATENATE("0",MONTH('Raw Data'!N315)))),CONCATENATE(MONTH('Raw Data'!N315),".",RIGHT(YEAR('Raw Data'!N315),2))),'Raw Data'!N315))</f>
        <v>139.94999999999999</v>
      </c>
      <c r="O315" s="6">
        <f t="shared" si="13"/>
        <v>4.7619047619047636</v>
      </c>
      <c r="P315" s="6">
        <f t="shared" si="14"/>
        <v>6.9975000000000023</v>
      </c>
      <c r="Q315">
        <f>VALUE(IF(AND(ISERR(FIND(".",'Raw Data'!Q315)),LEN('Raw Data'!Q315)=5), IF(YEAR('Raw Data'!Q315)=2026,CONCATENATE(DAY('Raw Data'!Q315),".",IF(LEN(MONTH('Raw Data'!Q315))=2,MONTH('Raw Data'!Q315),CONCATENATE(MONTH('Raw Data'!Q315)))),CONCATENATE(MONTH('Raw Data'!Q315),".",RIGHT(YEAR('Raw Data'!Q315),2))),'Raw Data'!Q315))</f>
        <v>5</v>
      </c>
    </row>
    <row r="316" spans="1:17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f>VALUE(IF(AND(ISERR(FIND(".",'Raw Data'!G316)),LEN('Raw Data'!G316)=5), IF(YEAR('Raw Data'!G316)=2026,CONCATENATE(DAY('Raw Data'!G316),".",IF(LEN(MONTH('Raw Data'!G316))=2,MONTH('Raw Data'!G316),CONCATENATE("0",MONTH('Raw Data'!G316)))),CONCATENATE(MONTH('Raw Data'!G316),".",RIGHT(YEAR('Raw Data'!G316),2))),'Raw Data'!G316))</f>
        <v>78.13</v>
      </c>
      <c r="H316">
        <f>'Raw Data'!H316</f>
        <v>10</v>
      </c>
      <c r="I316" s="6">
        <f t="shared" si="12"/>
        <v>39.065000000000055</v>
      </c>
      <c r="J316" s="6">
        <f>'Raw Data'!J316</f>
        <v>820.36500000000001</v>
      </c>
      <c r="K316" s="1">
        <f>VALUE(IFERROR(VALUE('Raw Data'!K316),CONCATENATE(MID('Raw Data'!K316,3,2),".","0",LEFT('Raw Data'!K316,1),".", RIGHT('Raw Data'!K316,4))))</f>
        <v>43740</v>
      </c>
      <c r="L316" s="2">
        <f>'Raw Data'!L316</f>
        <v>0.86875000000000002</v>
      </c>
      <c r="M316" t="s">
        <v>29</v>
      </c>
      <c r="N316">
        <f>VALUE(IF(AND(ISERR(FIND(".",'Raw Data'!N316)),LEN('Raw Data'!N316)=5), IF(YEAR('Raw Data'!N316)=2026,CONCATENATE(DAY('Raw Data'!N316),".",IF(LEN(MONTH('Raw Data'!N316))=2,MONTH('Raw Data'!N316),CONCATENATE("0",MONTH('Raw Data'!N316)))),CONCATENATE(MONTH('Raw Data'!N316),".",RIGHT(YEAR('Raw Data'!N316),2))),'Raw Data'!N316))</f>
        <v>781.3</v>
      </c>
      <c r="O316" s="6">
        <f t="shared" si="13"/>
        <v>4.761904761904769</v>
      </c>
      <c r="P316" s="6">
        <f t="shared" si="14"/>
        <v>39.065000000000055</v>
      </c>
      <c r="Q316">
        <f>VALUE(IF(AND(ISERR(FIND(".",'Raw Data'!Q316)),LEN('Raw Data'!Q316)=5), IF(YEAR('Raw Data'!Q316)=2026,CONCATENATE(DAY('Raw Data'!Q316),".",IF(LEN(MONTH('Raw Data'!Q316))=2,MONTH('Raw Data'!Q316),CONCATENATE(MONTH('Raw Data'!Q316)))),CONCATENATE(MONTH('Raw Data'!Q316),".",RIGHT(YEAR('Raw Data'!Q316),2))),'Raw Data'!Q316))</f>
        <v>4.4000000000000004</v>
      </c>
    </row>
    <row r="317" spans="1:17">
      <c r="A317" t="s">
        <v>403</v>
      </c>
      <c r="B317" t="s">
        <v>25</v>
      </c>
      <c r="C317" t="s">
        <v>26</v>
      </c>
      <c r="D317" t="s">
        <v>20</v>
      </c>
      <c r="E317" t="s">
        <v>30</v>
      </c>
      <c r="F317" t="s">
        <v>40</v>
      </c>
      <c r="G317">
        <f>VALUE(IF(AND(ISERR(FIND(".",'Raw Data'!G317)),LEN('Raw Data'!G317)=5), IF(YEAR('Raw Data'!G317)=2026,CONCATENATE(DAY('Raw Data'!G317),".",IF(LEN(MONTH('Raw Data'!G317))=2,MONTH('Raw Data'!G317),CONCATENATE("0",MONTH('Raw Data'!G317)))),CONCATENATE(MONTH('Raw Data'!G317),".",RIGHT(YEAR('Raw Data'!G317),2))),'Raw Data'!G317))</f>
        <v>99.37</v>
      </c>
      <c r="H317">
        <f>'Raw Data'!H317</f>
        <v>2</v>
      </c>
      <c r="I317" s="6">
        <f t="shared" si="12"/>
        <v>9.9369999999999834</v>
      </c>
      <c r="J317" s="6">
        <f>'Raw Data'!J317</f>
        <v>208.67699999999999</v>
      </c>
      <c r="K317" s="1">
        <f>VALUE(IFERROR(VALUE('Raw Data'!K317),CONCATENATE(MID('Raw Data'!K317,3,2),".","0",LEFT('Raw Data'!K317,1),".", RIGHT('Raw Data'!K317,4))))</f>
        <v>43510</v>
      </c>
      <c r="L317" s="2">
        <f>'Raw Data'!L317</f>
        <v>0.7284722222222223</v>
      </c>
      <c r="M317" t="s">
        <v>29</v>
      </c>
      <c r="N317">
        <f>VALUE(IF(AND(ISERR(FIND(".",'Raw Data'!N317)),LEN('Raw Data'!N317)=5), IF(YEAR('Raw Data'!N317)=2026,CONCATENATE(DAY('Raw Data'!N317),".",IF(LEN(MONTH('Raw Data'!N317))=2,MONTH('Raw Data'!N317),CONCATENATE("0",MONTH('Raw Data'!N317)))),CONCATENATE(MONTH('Raw Data'!N317),".",RIGHT(YEAR('Raw Data'!N317),2))),'Raw Data'!N317))</f>
        <v>198.74</v>
      </c>
      <c r="O317" s="6">
        <f t="shared" si="13"/>
        <v>4.7619047619047539</v>
      </c>
      <c r="P317" s="6">
        <f t="shared" si="14"/>
        <v>9.9369999999999834</v>
      </c>
      <c r="Q317">
        <f>VALUE(IF(AND(ISERR(FIND(".",'Raw Data'!Q317)),LEN('Raw Data'!Q317)=5), IF(YEAR('Raw Data'!Q317)=2026,CONCATENATE(DAY('Raw Data'!Q317),".",IF(LEN(MONTH('Raw Data'!Q317))=2,MONTH('Raw Data'!Q317),CONCATENATE(MONTH('Raw Data'!Q317)))),CONCATENATE(MONTH('Raw Data'!Q317),".",RIGHT(YEAR('Raw Data'!Q317),2))),'Raw Data'!Q317))</f>
        <v>5.2</v>
      </c>
    </row>
    <row r="318" spans="1:17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40</v>
      </c>
      <c r="G318">
        <f>VALUE(IF(AND(ISERR(FIND(".",'Raw Data'!G318)),LEN('Raw Data'!G318)=5), IF(YEAR('Raw Data'!G318)=2026,CONCATENATE(DAY('Raw Data'!G318),".",IF(LEN(MONTH('Raw Data'!G318))=2,MONTH('Raw Data'!G318),CONCATENATE("0",MONTH('Raw Data'!G318)))),CONCATENATE(MONTH('Raw Data'!G318),".",RIGHT(YEAR('Raw Data'!G318),2))),'Raw Data'!G318))</f>
        <v>21.08</v>
      </c>
      <c r="H318">
        <f>'Raw Data'!H318</f>
        <v>3</v>
      </c>
      <c r="I318" s="6">
        <f t="shared" si="12"/>
        <v>3.1620000000000061</v>
      </c>
      <c r="J318" s="6">
        <f>'Raw Data'!J318</f>
        <v>66.402000000000001</v>
      </c>
      <c r="K318" s="1">
        <f>VALUE(IFERROR(VALUE('Raw Data'!K318),CONCATENATE(MID('Raw Data'!K318,3,2),".","0",LEFT('Raw Data'!K318,1),".", RIGHT('Raw Data'!K318,4))))</f>
        <v>43710</v>
      </c>
      <c r="L318" s="2">
        <f>'Raw Data'!L318</f>
        <v>0.43402777777777773</v>
      </c>
      <c r="M318" t="s">
        <v>29</v>
      </c>
      <c r="N318">
        <f>VALUE(IF(AND(ISERR(FIND(".",'Raw Data'!N318)),LEN('Raw Data'!N318)=5), IF(YEAR('Raw Data'!N318)=2026,CONCATENATE(DAY('Raw Data'!N318),".",IF(LEN(MONTH('Raw Data'!N318))=2,MONTH('Raw Data'!N318),CONCATENATE("0",MONTH('Raw Data'!N318)))),CONCATENATE(MONTH('Raw Data'!N318),".",RIGHT(YEAR('Raw Data'!N318),2))),'Raw Data'!N318))</f>
        <v>63.24</v>
      </c>
      <c r="O318" s="6">
        <f t="shared" si="13"/>
        <v>4.7619047619047601</v>
      </c>
      <c r="P318" s="6">
        <f t="shared" si="14"/>
        <v>3.161999999999999</v>
      </c>
      <c r="Q318">
        <f>VALUE(IF(AND(ISERR(FIND(".",'Raw Data'!Q318)),LEN('Raw Data'!Q318)=5), IF(YEAR('Raw Data'!Q318)=2026,CONCATENATE(DAY('Raw Data'!Q318),".",IF(LEN(MONTH('Raw Data'!Q318))=2,MONTH('Raw Data'!Q318),CONCATENATE(MONTH('Raw Data'!Q318)))),CONCATENATE(MONTH('Raw Data'!Q318),".",RIGHT(YEAR('Raw Data'!Q318),2))),'Raw Data'!Q318))</f>
        <v>7.3</v>
      </c>
    </row>
    <row r="319" spans="1:17">
      <c r="A319" t="s">
        <v>405</v>
      </c>
      <c r="B319" t="s">
        <v>25</v>
      </c>
      <c r="C319" t="s">
        <v>26</v>
      </c>
      <c r="D319" t="s">
        <v>20</v>
      </c>
      <c r="E319" t="s">
        <v>30</v>
      </c>
      <c r="F319" t="s">
        <v>28</v>
      </c>
      <c r="G319">
        <f>VALUE(IF(AND(ISERR(FIND(".",'Raw Data'!G319)),LEN('Raw Data'!G319)=5), IF(YEAR('Raw Data'!G319)=2026,CONCATENATE(DAY('Raw Data'!G319),".",IF(LEN(MONTH('Raw Data'!G319))=2,MONTH('Raw Data'!G319),CONCATENATE("0",MONTH('Raw Data'!G319)))),CONCATENATE(MONTH('Raw Data'!G319),".",RIGHT(YEAR('Raw Data'!G319),2))),'Raw Data'!G319))</f>
        <v>74.790000000000006</v>
      </c>
      <c r="H319">
        <f>'Raw Data'!H319</f>
        <v>5</v>
      </c>
      <c r="I319" s="6">
        <f t="shared" si="12"/>
        <v>18.697499999999934</v>
      </c>
      <c r="J319" s="6">
        <f>'Raw Data'!J319</f>
        <v>392.64749999999998</v>
      </c>
      <c r="K319" s="1">
        <f>VALUE(IFERROR(VALUE('Raw Data'!K319),CONCATENATE(MID('Raw Data'!K319,3,2),".","0",LEFT('Raw Data'!K319,1),".", RIGHT('Raw Data'!K319,4))))</f>
        <v>43739</v>
      </c>
      <c r="L319" s="2">
        <f>'Raw Data'!L319</f>
        <v>0.48194444444444445</v>
      </c>
      <c r="M319" t="s">
        <v>29</v>
      </c>
      <c r="N319">
        <f>VALUE(IF(AND(ISERR(FIND(".",'Raw Data'!N319)),LEN('Raw Data'!N319)=5), IF(YEAR('Raw Data'!N319)=2026,CONCATENATE(DAY('Raw Data'!N319),".",IF(LEN(MONTH('Raw Data'!N319))=2,MONTH('Raw Data'!N319),CONCATENATE("0",MONTH('Raw Data'!N319)))),CONCATENATE(MONTH('Raw Data'!N319),".",RIGHT(YEAR('Raw Data'!N319),2))),'Raw Data'!N319))</f>
        <v>373.95</v>
      </c>
      <c r="O319" s="6">
        <f t="shared" si="13"/>
        <v>4.7619047619047592</v>
      </c>
      <c r="P319" s="6">
        <f t="shared" si="14"/>
        <v>18.697499999999991</v>
      </c>
      <c r="Q319">
        <f>VALUE(IF(AND(ISERR(FIND(".",'Raw Data'!Q319)),LEN('Raw Data'!Q319)=5), IF(YEAR('Raw Data'!Q319)=2026,CONCATENATE(DAY('Raw Data'!Q319),".",IF(LEN(MONTH('Raw Data'!Q319))=2,MONTH('Raw Data'!Q319),CONCATENATE(MONTH('Raw Data'!Q319)))),CONCATENATE(MONTH('Raw Data'!Q319),".",RIGHT(YEAR('Raw Data'!Q319),2))),'Raw Data'!Q319))</f>
        <v>4.9000000000000004</v>
      </c>
    </row>
    <row r="320" spans="1:17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f>VALUE(IF(AND(ISERR(FIND(".",'Raw Data'!G320)),LEN('Raw Data'!G320)=5), IF(YEAR('Raw Data'!G320)=2026,CONCATENATE(DAY('Raw Data'!G320),".",IF(LEN(MONTH('Raw Data'!G320))=2,MONTH('Raw Data'!G320),CONCATENATE("0",MONTH('Raw Data'!G320)))),CONCATENATE(MONTH('Raw Data'!G320),".",RIGHT(YEAR('Raw Data'!G320),2))),'Raw Data'!G320))</f>
        <v>29.67</v>
      </c>
      <c r="H320">
        <f>'Raw Data'!H320</f>
        <v>7</v>
      </c>
      <c r="I320" s="6">
        <f t="shared" si="12"/>
        <v>10.384500000000003</v>
      </c>
      <c r="J320" s="6">
        <f>'Raw Data'!J320</f>
        <v>218.0745</v>
      </c>
      <c r="K320" s="1">
        <f>VALUE(IFERROR(VALUE('Raw Data'!K320),CONCATENATE(MID('Raw Data'!K320,3,2),".","0",LEFT('Raw Data'!K320,1),".", RIGHT('Raw Data'!K320,4))))</f>
        <v>43772</v>
      </c>
      <c r="L320" s="2">
        <f>'Raw Data'!L320</f>
        <v>0.79027777777777775</v>
      </c>
      <c r="M320" t="s">
        <v>33</v>
      </c>
      <c r="N320">
        <f>VALUE(IF(AND(ISERR(FIND(".",'Raw Data'!N320)),LEN('Raw Data'!N320)=5), IF(YEAR('Raw Data'!N320)=2026,CONCATENATE(DAY('Raw Data'!N320),".",IF(LEN(MONTH('Raw Data'!N320))=2,MONTH('Raw Data'!N320),CONCATENATE("0",MONTH('Raw Data'!N320)))),CONCATENATE(MONTH('Raw Data'!N320),".",RIGHT(YEAR('Raw Data'!N320),2))),'Raw Data'!N320))</f>
        <v>207.69</v>
      </c>
      <c r="O320" s="6">
        <f t="shared" si="13"/>
        <v>4.7619047619047628</v>
      </c>
      <c r="P320" s="6">
        <f t="shared" si="14"/>
        <v>10.384500000000003</v>
      </c>
      <c r="Q320">
        <f>VALUE(IF(AND(ISERR(FIND(".",'Raw Data'!Q320)),LEN('Raw Data'!Q320)=5), IF(YEAR('Raw Data'!Q320)=2026,CONCATENATE(DAY('Raw Data'!Q320),".",IF(LEN(MONTH('Raw Data'!Q320))=2,MONTH('Raw Data'!Q320),CONCATENATE(MONTH('Raw Data'!Q320)))),CONCATENATE(MONTH('Raw Data'!Q320),".",RIGHT(YEAR('Raw Data'!Q320),2))),'Raw Data'!Q320))</f>
        <v>8.1</v>
      </c>
    </row>
    <row r="321" spans="1:17">
      <c r="A321" t="s">
        <v>407</v>
      </c>
      <c r="B321" t="s">
        <v>25</v>
      </c>
      <c r="C321" t="s">
        <v>26</v>
      </c>
      <c r="D321" t="s">
        <v>20</v>
      </c>
      <c r="E321" t="s">
        <v>30</v>
      </c>
      <c r="F321" t="s">
        <v>22</v>
      </c>
      <c r="G321">
        <f>VALUE(IF(AND(ISERR(FIND(".",'Raw Data'!G321)),LEN('Raw Data'!G321)=5), IF(YEAR('Raw Data'!G321)=2026,CONCATENATE(DAY('Raw Data'!G321),".",IF(LEN(MONTH('Raw Data'!G321))=2,MONTH('Raw Data'!G321),CONCATENATE("0",MONTH('Raw Data'!G321)))),CONCATENATE(MONTH('Raw Data'!G321),".",RIGHT(YEAR('Raw Data'!G321),2))),'Raw Data'!G321))</f>
        <v>44.07</v>
      </c>
      <c r="H321">
        <f>'Raw Data'!H321</f>
        <v>4</v>
      </c>
      <c r="I321" s="6">
        <f t="shared" si="12"/>
        <v>8.813999999999993</v>
      </c>
      <c r="J321" s="6">
        <f>'Raw Data'!J321</f>
        <v>185.09399999999999</v>
      </c>
      <c r="K321" s="1">
        <f>VALUE(IFERROR(VALUE('Raw Data'!K321),CONCATENATE(MID('Raw Data'!K321,3,2),".","0",LEFT('Raw Data'!K321,1),".", RIGHT('Raw Data'!K321,4))))</f>
        <v>43514</v>
      </c>
      <c r="L321" s="2">
        <f>'Raw Data'!L321</f>
        <v>0.68611111111111101</v>
      </c>
      <c r="M321" t="s">
        <v>23</v>
      </c>
      <c r="N321">
        <f>VALUE(IF(AND(ISERR(FIND(".",'Raw Data'!N321)),LEN('Raw Data'!N321)=5), IF(YEAR('Raw Data'!N321)=2026,CONCATENATE(DAY('Raw Data'!N321),".",IF(LEN(MONTH('Raw Data'!N321))=2,MONTH('Raw Data'!N321),CONCATENATE("0",MONTH('Raw Data'!N321)))),CONCATENATE(MONTH('Raw Data'!N321),".",RIGHT(YEAR('Raw Data'!N321),2))),'Raw Data'!N321))</f>
        <v>176.28</v>
      </c>
      <c r="O321" s="6">
        <f t="shared" si="13"/>
        <v>4.7619047619047583</v>
      </c>
      <c r="P321" s="6">
        <f t="shared" si="14"/>
        <v>8.813999999999993</v>
      </c>
      <c r="Q321">
        <f>VALUE(IF(AND(ISERR(FIND(".",'Raw Data'!Q321)),LEN('Raw Data'!Q321)=5), IF(YEAR('Raw Data'!Q321)=2026,CONCATENATE(DAY('Raw Data'!Q321),".",IF(LEN(MONTH('Raw Data'!Q321))=2,MONTH('Raw Data'!Q321),CONCATENATE(MONTH('Raw Data'!Q321)))),CONCATENATE(MONTH('Raw Data'!Q321),".",RIGHT(YEAR('Raw Data'!Q321),2))),'Raw Data'!Q321))</f>
        <v>8.4</v>
      </c>
    </row>
    <row r="322" spans="1:17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40</v>
      </c>
      <c r="G322">
        <f>VALUE(IF(AND(ISERR(FIND(".",'Raw Data'!G322)),LEN('Raw Data'!G322)=5), IF(YEAR('Raw Data'!G322)=2026,CONCATENATE(DAY('Raw Data'!G322),".",IF(LEN(MONTH('Raw Data'!G322))=2,MONTH('Raw Data'!G322),CONCATENATE("0",MONTH('Raw Data'!G322)))),CONCATENATE(MONTH('Raw Data'!G322),".",RIGHT(YEAR('Raw Data'!G322),2))),'Raw Data'!G322))</f>
        <v>22.93</v>
      </c>
      <c r="H322">
        <f>'Raw Data'!H322</f>
        <v>9</v>
      </c>
      <c r="I322" s="6">
        <f t="shared" si="12"/>
        <v>10.3185</v>
      </c>
      <c r="J322" s="6">
        <f>'Raw Data'!J322</f>
        <v>216.6885</v>
      </c>
      <c r="K322" s="1">
        <f>VALUE(IFERROR(VALUE('Raw Data'!K322),CONCATENATE(MID('Raw Data'!K322,3,2),".","0",LEFT('Raw Data'!K322,1),".", RIGHT('Raw Data'!K322,4))))</f>
        <v>43522</v>
      </c>
      <c r="L322" s="2">
        <f>'Raw Data'!L322</f>
        <v>0.85138888888888886</v>
      </c>
      <c r="M322" t="s">
        <v>29</v>
      </c>
      <c r="N322">
        <f>VALUE(IF(AND(ISERR(FIND(".",'Raw Data'!N322)),LEN('Raw Data'!N322)=5), IF(YEAR('Raw Data'!N322)=2026,CONCATENATE(DAY('Raw Data'!N322),".",IF(LEN(MONTH('Raw Data'!N322))=2,MONTH('Raw Data'!N322),CONCATENATE("0",MONTH('Raw Data'!N322)))),CONCATENATE(MONTH('Raw Data'!N322),".",RIGHT(YEAR('Raw Data'!N322),2))),'Raw Data'!N322))</f>
        <v>206.37</v>
      </c>
      <c r="O322" s="6">
        <f t="shared" si="13"/>
        <v>4.7619047619047619</v>
      </c>
      <c r="P322" s="6">
        <f t="shared" si="14"/>
        <v>10.3185</v>
      </c>
      <c r="Q322">
        <f>VALUE(IF(AND(ISERR(FIND(".",'Raw Data'!Q322)),LEN('Raw Data'!Q322)=5), IF(YEAR('Raw Data'!Q322)=2026,CONCATENATE(DAY('Raw Data'!Q322),".",IF(LEN(MONTH('Raw Data'!Q322))=2,MONTH('Raw Data'!Q322),CONCATENATE(MONTH('Raw Data'!Q322)))),CONCATENATE(MONTH('Raw Data'!Q322),".",RIGHT(YEAR('Raw Data'!Q322),2))),'Raw Data'!Q322))</f>
        <v>5.5</v>
      </c>
    </row>
    <row r="323" spans="1:17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f>VALUE(IF(AND(ISERR(FIND(".",'Raw Data'!G323)),LEN('Raw Data'!G323)=5), IF(YEAR('Raw Data'!G323)=2026,CONCATENATE(DAY('Raw Data'!G323),".",IF(LEN(MONTH('Raw Data'!G323))=2,MONTH('Raw Data'!G323),CONCATENATE("0",MONTH('Raw Data'!G323)))),CONCATENATE(MONTH('Raw Data'!G323),".",RIGHT(YEAR('Raw Data'!G323),2))),'Raw Data'!G323))</f>
        <v>39.42</v>
      </c>
      <c r="H323">
        <f>'Raw Data'!H323</f>
        <v>1</v>
      </c>
      <c r="I323" s="6">
        <f t="shared" ref="I323:I386" si="15">J323-G323*H323</f>
        <v>1.9709999999999965</v>
      </c>
      <c r="J323" s="6">
        <f>'Raw Data'!J323</f>
        <v>41.390999999999998</v>
      </c>
      <c r="K323" s="1">
        <f>VALUE(IFERROR(VALUE('Raw Data'!K323),CONCATENATE(MID('Raw Data'!K323,3,2),".","0",LEFT('Raw Data'!K323,1),".", RIGHT('Raw Data'!K323,4))))</f>
        <v>43483</v>
      </c>
      <c r="L323" s="2">
        <f>'Raw Data'!L323</f>
        <v>0.63055555555555554</v>
      </c>
      <c r="M323" t="s">
        <v>29</v>
      </c>
      <c r="N323">
        <f>VALUE(IF(AND(ISERR(FIND(".",'Raw Data'!N323)),LEN('Raw Data'!N323)=5), IF(YEAR('Raw Data'!N323)=2026,CONCATENATE(DAY('Raw Data'!N323),".",IF(LEN(MONTH('Raw Data'!N323))=2,MONTH('Raw Data'!N323),CONCATENATE("0",MONTH('Raw Data'!N323)))),CONCATENATE(MONTH('Raw Data'!N323),".",RIGHT(YEAR('Raw Data'!N323),2))),'Raw Data'!N323))</f>
        <v>39.42</v>
      </c>
      <c r="O323" s="6">
        <f t="shared" ref="O323:O386" si="16">P323/J323*100</f>
        <v>4.7619047619047539</v>
      </c>
      <c r="P323" s="6">
        <f t="shared" ref="P323:P386" si="17">J323-N323</f>
        <v>1.9709999999999965</v>
      </c>
      <c r="Q323">
        <f>VALUE(IF(AND(ISERR(FIND(".",'Raw Data'!Q323)),LEN('Raw Data'!Q323)=5), IF(YEAR('Raw Data'!Q323)=2026,CONCATENATE(DAY('Raw Data'!Q323),".",IF(LEN(MONTH('Raw Data'!Q323))=2,MONTH('Raw Data'!Q323),CONCATENATE(MONTH('Raw Data'!Q323)))),CONCATENATE(MONTH('Raw Data'!Q323),".",RIGHT(YEAR('Raw Data'!Q323),2))),'Raw Data'!Q323))</f>
        <v>8.4</v>
      </c>
    </row>
    <row r="324" spans="1:17">
      <c r="A324" t="s">
        <v>410</v>
      </c>
      <c r="B324" t="s">
        <v>18</v>
      </c>
      <c r="C324" t="s">
        <v>19</v>
      </c>
      <c r="D324" t="s">
        <v>27</v>
      </c>
      <c r="E324" t="s">
        <v>30</v>
      </c>
      <c r="F324" t="s">
        <v>22</v>
      </c>
      <c r="G324">
        <f>VALUE(IF(AND(ISERR(FIND(".",'Raw Data'!G324)),LEN('Raw Data'!G324)=5), IF(YEAR('Raw Data'!G324)=2026,CONCATENATE(DAY('Raw Data'!G324),".",IF(LEN(MONTH('Raw Data'!G324))=2,MONTH('Raw Data'!G324),CONCATENATE("0",MONTH('Raw Data'!G324)))),CONCATENATE(MONTH('Raw Data'!G324),".",RIGHT(YEAR('Raw Data'!G324),2))),'Raw Data'!G324))</f>
        <v>15.26</v>
      </c>
      <c r="H324">
        <f>'Raw Data'!H324</f>
        <v>6</v>
      </c>
      <c r="I324" s="6">
        <f t="shared" si="15"/>
        <v>4.578000000000003</v>
      </c>
      <c r="J324" s="6">
        <f>'Raw Data'!J324</f>
        <v>96.138000000000005</v>
      </c>
      <c r="K324" s="1">
        <f>VALUE(IFERROR(VALUE('Raw Data'!K324),CONCATENATE(MID('Raw Data'!K324,3,2),".","0",LEFT('Raw Data'!K324,1),".", RIGHT('Raw Data'!K324,4))))</f>
        <v>43511</v>
      </c>
      <c r="L324" s="2">
        <f>'Raw Data'!L324</f>
        <v>0.75208333333333333</v>
      </c>
      <c r="M324" t="s">
        <v>23</v>
      </c>
      <c r="N324">
        <f>VALUE(IF(AND(ISERR(FIND(".",'Raw Data'!N324)),LEN('Raw Data'!N324)=5), IF(YEAR('Raw Data'!N324)=2026,CONCATENATE(DAY('Raw Data'!N324),".",IF(LEN(MONTH('Raw Data'!N324))=2,MONTH('Raw Data'!N324),CONCATENATE("0",MONTH('Raw Data'!N324)))),CONCATENATE(MONTH('Raw Data'!N324),".",RIGHT(YEAR('Raw Data'!N324),2))),'Raw Data'!N324))</f>
        <v>91.56</v>
      </c>
      <c r="O324" s="6">
        <f t="shared" si="16"/>
        <v>4.7619047619047645</v>
      </c>
      <c r="P324" s="6">
        <f t="shared" si="17"/>
        <v>4.578000000000003</v>
      </c>
      <c r="Q324">
        <f>VALUE(IF(AND(ISERR(FIND(".",'Raw Data'!Q324)),LEN('Raw Data'!Q324)=5), IF(YEAR('Raw Data'!Q324)=2026,CONCATENATE(DAY('Raw Data'!Q324),".",IF(LEN(MONTH('Raw Data'!Q324))=2,MONTH('Raw Data'!Q324),CONCATENATE(MONTH('Raw Data'!Q324)))),CONCATENATE(MONTH('Raw Data'!Q324),".",RIGHT(YEAR('Raw Data'!Q324),2))),'Raw Data'!Q324))</f>
        <v>9.8000000000000007</v>
      </c>
    </row>
    <row r="325" spans="1:17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43</v>
      </c>
      <c r="G325">
        <f>VALUE(IF(AND(ISERR(FIND(".",'Raw Data'!G325)),LEN('Raw Data'!G325)=5), IF(YEAR('Raw Data'!G325)=2026,CONCATENATE(DAY('Raw Data'!G325),".",IF(LEN(MONTH('Raw Data'!G325))=2,MONTH('Raw Data'!G325),CONCATENATE("0",MONTH('Raw Data'!G325)))),CONCATENATE(MONTH('Raw Data'!G325),".",RIGHT(YEAR('Raw Data'!G325),2))),'Raw Data'!G325))</f>
        <v>61.77</v>
      </c>
      <c r="H325">
        <f>'Raw Data'!H325</f>
        <v>5</v>
      </c>
      <c r="I325" s="6">
        <f t="shared" si="15"/>
        <v>15.442499999999995</v>
      </c>
      <c r="J325" s="6">
        <f>'Raw Data'!J325</f>
        <v>324.29250000000002</v>
      </c>
      <c r="K325" s="1">
        <f>VALUE(IFERROR(VALUE('Raw Data'!K325),CONCATENATE(MID('Raw Data'!K325,3,2),".","0",LEFT('Raw Data'!K325,1),".", RIGHT('Raw Data'!K325,4))))</f>
        <v>43680</v>
      </c>
      <c r="L325" s="2">
        <f>'Raw Data'!L325</f>
        <v>0.55625000000000002</v>
      </c>
      <c r="M325" t="s">
        <v>29</v>
      </c>
      <c r="N325">
        <f>VALUE(IF(AND(ISERR(FIND(".",'Raw Data'!N325)),LEN('Raw Data'!N325)=5), IF(YEAR('Raw Data'!N325)=2026,CONCATENATE(DAY('Raw Data'!N325),".",IF(LEN(MONTH('Raw Data'!N325))=2,MONTH('Raw Data'!N325),CONCATENATE("0",MONTH('Raw Data'!N325)))),CONCATENATE(MONTH('Raw Data'!N325),".",RIGHT(YEAR('Raw Data'!N325),2))),'Raw Data'!N325))</f>
        <v>308.85000000000002</v>
      </c>
      <c r="O325" s="6">
        <f t="shared" si="16"/>
        <v>4.7619047619047601</v>
      </c>
      <c r="P325" s="6">
        <f t="shared" si="17"/>
        <v>15.442499999999995</v>
      </c>
      <c r="Q325">
        <f>VALUE(IF(AND(ISERR(FIND(".",'Raw Data'!Q325)),LEN('Raw Data'!Q325)=5), IF(YEAR('Raw Data'!Q325)=2026,CONCATENATE(DAY('Raw Data'!Q325),".",IF(LEN(MONTH('Raw Data'!Q325))=2,MONTH('Raw Data'!Q325),CONCATENATE(MONTH('Raw Data'!Q325)))),CONCATENATE(MONTH('Raw Data'!Q325),".",RIGHT(YEAR('Raw Data'!Q325),2))),'Raw Data'!Q325))</f>
        <v>6.7</v>
      </c>
    </row>
    <row r="326" spans="1:17">
      <c r="A326" t="s">
        <v>412</v>
      </c>
      <c r="B326" t="s">
        <v>18</v>
      </c>
      <c r="C326" t="s">
        <v>19</v>
      </c>
      <c r="D326" t="s">
        <v>27</v>
      </c>
      <c r="E326" t="s">
        <v>30</v>
      </c>
      <c r="F326" t="s">
        <v>32</v>
      </c>
      <c r="G326">
        <f>VALUE(IF(AND(ISERR(FIND(".",'Raw Data'!G326)),LEN('Raw Data'!G326)=5), IF(YEAR('Raw Data'!G326)=2026,CONCATENATE(DAY('Raw Data'!G326),".",IF(LEN(MONTH('Raw Data'!G326))=2,MONTH('Raw Data'!G326),CONCATENATE("0",MONTH('Raw Data'!G326)))),CONCATENATE(MONTH('Raw Data'!G326),".",RIGHT(YEAR('Raw Data'!G326),2))),'Raw Data'!G326))</f>
        <v>21.52</v>
      </c>
      <c r="H326">
        <f>'Raw Data'!H326</f>
        <v>6</v>
      </c>
      <c r="I326" s="6">
        <f t="shared" si="15"/>
        <v>6.4559999999999889</v>
      </c>
      <c r="J326" s="6">
        <f>'Raw Data'!J326</f>
        <v>135.57599999999999</v>
      </c>
      <c r="K326" s="1">
        <f>VALUE(IFERROR(VALUE('Raw Data'!K326),CONCATENATE(MID('Raw Data'!K326,3,2),".","0",LEFT('Raw Data'!K326,1),".", RIGHT('Raw Data'!K326,4))))</f>
        <v>43482</v>
      </c>
      <c r="L326" s="2">
        <f>'Raw Data'!L326</f>
        <v>0.53333333333333333</v>
      </c>
      <c r="M326" t="s">
        <v>33</v>
      </c>
      <c r="N326">
        <f>VALUE(IF(AND(ISERR(FIND(".",'Raw Data'!N326)),LEN('Raw Data'!N326)=5), IF(YEAR('Raw Data'!N326)=2026,CONCATENATE(DAY('Raw Data'!N326),".",IF(LEN(MONTH('Raw Data'!N326))=2,MONTH('Raw Data'!N326),CONCATENATE("0",MONTH('Raw Data'!N326)))),CONCATENATE(MONTH('Raw Data'!N326),".",RIGHT(YEAR('Raw Data'!N326),2))),'Raw Data'!N326))</f>
        <v>129.12</v>
      </c>
      <c r="O326" s="6">
        <f t="shared" si="16"/>
        <v>4.7619047619047539</v>
      </c>
      <c r="P326" s="6">
        <f t="shared" si="17"/>
        <v>6.4559999999999889</v>
      </c>
      <c r="Q326">
        <f>VALUE(IF(AND(ISERR(FIND(".",'Raw Data'!Q326)),LEN('Raw Data'!Q326)=5), IF(YEAR('Raw Data'!Q326)=2026,CONCATENATE(DAY('Raw Data'!Q326),".",IF(LEN(MONTH('Raw Data'!Q326))=2,MONTH('Raw Data'!Q326),CONCATENATE(MONTH('Raw Data'!Q326)))),CONCATENATE(MONTH('Raw Data'!Q326),".",RIGHT(YEAR('Raw Data'!Q326),2))),'Raw Data'!Q326))</f>
        <v>9.4</v>
      </c>
    </row>
    <row r="327" spans="1:17">
      <c r="A327" t="s">
        <v>413</v>
      </c>
      <c r="B327" t="s">
        <v>34</v>
      </c>
      <c r="C327" t="s">
        <v>35</v>
      </c>
      <c r="D327" t="s">
        <v>27</v>
      </c>
      <c r="E327" t="s">
        <v>30</v>
      </c>
      <c r="F327" t="s">
        <v>38</v>
      </c>
      <c r="G327">
        <f>VALUE(IF(AND(ISERR(FIND(".",'Raw Data'!G327)),LEN('Raw Data'!G327)=5), IF(YEAR('Raw Data'!G327)=2026,CONCATENATE(DAY('Raw Data'!G327),".",IF(LEN(MONTH('Raw Data'!G327))=2,MONTH('Raw Data'!G327),CONCATENATE("0",MONTH('Raw Data'!G327)))),CONCATENATE(MONTH('Raw Data'!G327),".",RIGHT(YEAR('Raw Data'!G327),2))),'Raw Data'!G327))</f>
        <v>97.74</v>
      </c>
      <c r="H327">
        <f>'Raw Data'!H327</f>
        <v>4</v>
      </c>
      <c r="I327" s="6">
        <f t="shared" si="15"/>
        <v>19.548000000000002</v>
      </c>
      <c r="J327" s="6">
        <f>'Raw Data'!J327</f>
        <v>410.50799999999998</v>
      </c>
      <c r="K327" s="1">
        <f>VALUE(IFERROR(VALUE('Raw Data'!K327),CONCATENATE(MID('Raw Data'!K327,3,2),".","0",LEFT('Raw Data'!K327,1),".", RIGHT('Raw Data'!K327,4))))</f>
        <v>43802</v>
      </c>
      <c r="L327" s="2">
        <f>'Raw Data'!L327</f>
        <v>0.82847222222222217</v>
      </c>
      <c r="M327" t="s">
        <v>23</v>
      </c>
      <c r="N327">
        <f>VALUE(IF(AND(ISERR(FIND(".",'Raw Data'!N327)),LEN('Raw Data'!N327)=5), IF(YEAR('Raw Data'!N327)=2026,CONCATENATE(DAY('Raw Data'!N327),".",IF(LEN(MONTH('Raw Data'!N327))=2,MONTH('Raw Data'!N327),CONCATENATE("0",MONTH('Raw Data'!N327)))),CONCATENATE(MONTH('Raw Data'!N327),".",RIGHT(YEAR('Raw Data'!N327),2))),'Raw Data'!N327))</f>
        <v>390.96</v>
      </c>
      <c r="O327" s="6">
        <f t="shared" si="16"/>
        <v>4.7619047619047628</v>
      </c>
      <c r="P327" s="6">
        <f t="shared" si="17"/>
        <v>19.548000000000002</v>
      </c>
      <c r="Q327">
        <f>VALUE(IF(AND(ISERR(FIND(".",'Raw Data'!Q327)),LEN('Raw Data'!Q327)=5), IF(YEAR('Raw Data'!Q327)=2026,CONCATENATE(DAY('Raw Data'!Q327),".",IF(LEN(MONTH('Raw Data'!Q327))=2,MONTH('Raw Data'!Q327),CONCATENATE(MONTH('Raw Data'!Q327)))),CONCATENATE(MONTH('Raw Data'!Q327),".",RIGHT(YEAR('Raw Data'!Q327),2))),'Raw Data'!Q327))</f>
        <v>6.4</v>
      </c>
    </row>
    <row r="328" spans="1:17">
      <c r="A328" t="s">
        <v>414</v>
      </c>
      <c r="B328" t="s">
        <v>18</v>
      </c>
      <c r="C328" t="s">
        <v>19</v>
      </c>
      <c r="D328" t="s">
        <v>20</v>
      </c>
      <c r="E328" t="s">
        <v>30</v>
      </c>
      <c r="F328" t="s">
        <v>40</v>
      </c>
      <c r="G328">
        <f>VALUE(IF(AND(ISERR(FIND(".",'Raw Data'!G328)),LEN('Raw Data'!G328)=5), IF(YEAR('Raw Data'!G328)=2026,CONCATENATE(DAY('Raw Data'!G328),".",IF(LEN(MONTH('Raw Data'!G328))=2,MONTH('Raw Data'!G328),CONCATENATE("0",MONTH('Raw Data'!G328)))),CONCATENATE(MONTH('Raw Data'!G328),".",RIGHT(YEAR('Raw Data'!G328),2))),'Raw Data'!G328))</f>
        <v>99.78</v>
      </c>
      <c r="H328">
        <f>'Raw Data'!H328</f>
        <v>5</v>
      </c>
      <c r="I328" s="6">
        <f t="shared" si="15"/>
        <v>24.94500000000005</v>
      </c>
      <c r="J328" s="6">
        <f>'Raw Data'!J328</f>
        <v>523.84500000000003</v>
      </c>
      <c r="K328" s="1">
        <f>VALUE(IFERROR(VALUE('Raw Data'!K328),CONCATENATE(MID('Raw Data'!K328,3,2),".","0",LEFT('Raw Data'!K328,1),".", RIGHT('Raw Data'!K328,4))))</f>
        <v>43711</v>
      </c>
      <c r="L328" s="2">
        <f>'Raw Data'!L328</f>
        <v>0.79791666666666661</v>
      </c>
      <c r="M328" t="s">
        <v>29</v>
      </c>
      <c r="N328">
        <f>VALUE(IF(AND(ISERR(FIND(".",'Raw Data'!N328)),LEN('Raw Data'!N328)=5), IF(YEAR('Raw Data'!N328)=2026,CONCATENATE(DAY('Raw Data'!N328),".",IF(LEN(MONTH('Raw Data'!N328))=2,MONTH('Raw Data'!N328),CONCATENATE("0",MONTH('Raw Data'!N328)))),CONCATENATE(MONTH('Raw Data'!N328),".",RIGHT(YEAR('Raw Data'!N328),2))),'Raw Data'!N328))</f>
        <v>498.9</v>
      </c>
      <c r="O328" s="6">
        <f t="shared" si="16"/>
        <v>4.7619047619047716</v>
      </c>
      <c r="P328" s="6">
        <f t="shared" si="17"/>
        <v>24.94500000000005</v>
      </c>
      <c r="Q328">
        <f>VALUE(IF(AND(ISERR(FIND(".",'Raw Data'!Q328)),LEN('Raw Data'!Q328)=5), IF(YEAR('Raw Data'!Q328)=2026,CONCATENATE(DAY('Raw Data'!Q328),".",IF(LEN(MONTH('Raw Data'!Q328))=2,MONTH('Raw Data'!Q328),CONCATENATE(MONTH('Raw Data'!Q328)))),CONCATENATE(MONTH('Raw Data'!Q328),".",RIGHT(YEAR('Raw Data'!Q328),2))),'Raw Data'!Q328))</f>
        <v>5.4</v>
      </c>
    </row>
    <row r="329" spans="1:17">
      <c r="A329" t="s">
        <v>415</v>
      </c>
      <c r="B329" t="s">
        <v>25</v>
      </c>
      <c r="C329" t="s">
        <v>26</v>
      </c>
      <c r="D329" t="s">
        <v>20</v>
      </c>
      <c r="E329" t="s">
        <v>30</v>
      </c>
      <c r="F329" t="s">
        <v>40</v>
      </c>
      <c r="G329">
        <f>VALUE(IF(AND(ISERR(FIND(".",'Raw Data'!G329)),LEN('Raw Data'!G329)=5), IF(YEAR('Raw Data'!G329)=2026,CONCATENATE(DAY('Raw Data'!G329),".",IF(LEN(MONTH('Raw Data'!G329))=2,MONTH('Raw Data'!G329),CONCATENATE("0",MONTH('Raw Data'!G329)))),CONCATENATE(MONTH('Raw Data'!G329),".",RIGHT(YEAR('Raw Data'!G329),2))),'Raw Data'!G329))</f>
        <v>94.26</v>
      </c>
      <c r="H329">
        <f>'Raw Data'!H329</f>
        <v>4</v>
      </c>
      <c r="I329" s="6">
        <f t="shared" si="15"/>
        <v>18.851999999999975</v>
      </c>
      <c r="J329" s="6">
        <f>'Raw Data'!J329</f>
        <v>395.892</v>
      </c>
      <c r="K329" s="1">
        <f>VALUE(IFERROR(VALUE('Raw Data'!K329),CONCATENATE(MID('Raw Data'!K329,3,2),".","0",LEFT('Raw Data'!K329,1),".", RIGHT('Raw Data'!K329,4))))</f>
        <v>43802</v>
      </c>
      <c r="L329" s="2">
        <f>'Raw Data'!L329</f>
        <v>0.6875</v>
      </c>
      <c r="M329" t="s">
        <v>29</v>
      </c>
      <c r="N329">
        <f>VALUE(IF(AND(ISERR(FIND(".",'Raw Data'!N329)),LEN('Raw Data'!N329)=5), IF(YEAR('Raw Data'!N329)=2026,CONCATENATE(DAY('Raw Data'!N329),".",IF(LEN(MONTH('Raw Data'!N329))=2,MONTH('Raw Data'!N329),CONCATENATE("0",MONTH('Raw Data'!N329)))),CONCATENATE(MONTH('Raw Data'!N329),".",RIGHT(YEAR('Raw Data'!N329),2))),'Raw Data'!N329))</f>
        <v>377.04</v>
      </c>
      <c r="O329" s="6">
        <f t="shared" si="16"/>
        <v>4.7619047619047556</v>
      </c>
      <c r="P329" s="6">
        <f t="shared" si="17"/>
        <v>18.851999999999975</v>
      </c>
      <c r="Q329">
        <f>VALUE(IF(AND(ISERR(FIND(".",'Raw Data'!Q329)),LEN('Raw Data'!Q329)=5), IF(YEAR('Raw Data'!Q329)=2026,CONCATENATE(DAY('Raw Data'!Q329),".",IF(LEN(MONTH('Raw Data'!Q329))=2,MONTH('Raw Data'!Q329),CONCATENATE(MONTH('Raw Data'!Q329)))),CONCATENATE(MONTH('Raw Data'!Q329),".",RIGHT(YEAR('Raw Data'!Q329),2))),'Raw Data'!Q329))</f>
        <v>8.6</v>
      </c>
    </row>
    <row r="330" spans="1:17">
      <c r="A330" t="s">
        <v>416</v>
      </c>
      <c r="B330" t="s">
        <v>34</v>
      </c>
      <c r="C330" t="s">
        <v>35</v>
      </c>
      <c r="D330" t="s">
        <v>20</v>
      </c>
      <c r="E330" t="s">
        <v>30</v>
      </c>
      <c r="F330" t="s">
        <v>22</v>
      </c>
      <c r="G330">
        <f>VALUE(IF(AND(ISERR(FIND(".",'Raw Data'!G330)),LEN('Raw Data'!G330)=5), IF(YEAR('Raw Data'!G330)=2026,CONCATENATE(DAY('Raw Data'!G330),".",IF(LEN(MONTH('Raw Data'!G330))=2,MONTH('Raw Data'!G330),CONCATENATE("0",MONTH('Raw Data'!G330)))),CONCATENATE(MONTH('Raw Data'!G330),".",RIGHT(YEAR('Raw Data'!G330),2))),'Raw Data'!G330))</f>
        <v>51.13</v>
      </c>
      <c r="H330">
        <f>'Raw Data'!H330</f>
        <v>4</v>
      </c>
      <c r="I330" s="6">
        <f t="shared" si="15"/>
        <v>10.225999999999999</v>
      </c>
      <c r="J330" s="6">
        <f>'Raw Data'!J330</f>
        <v>214.74600000000001</v>
      </c>
      <c r="K330" s="1">
        <f>VALUE(IFERROR(VALUE('Raw Data'!K330),CONCATENATE(MID('Raw Data'!K330,3,2),".","0",LEFT('Raw Data'!K330,1),".", RIGHT('Raw Data'!K330,4))))</f>
        <v>43490</v>
      </c>
      <c r="L330" s="2">
        <f>'Raw Data'!L330</f>
        <v>0.42430555555555555</v>
      </c>
      <c r="M330" t="s">
        <v>33</v>
      </c>
      <c r="N330">
        <f>VALUE(IF(AND(ISERR(FIND(".",'Raw Data'!N330)),LEN('Raw Data'!N330)=5), IF(YEAR('Raw Data'!N330)=2026,CONCATENATE(DAY('Raw Data'!N330),".",IF(LEN(MONTH('Raw Data'!N330))=2,MONTH('Raw Data'!N330),CONCATENATE("0",MONTH('Raw Data'!N330)))),CONCATENATE(MONTH('Raw Data'!N330),".",RIGHT(YEAR('Raw Data'!N330),2))),'Raw Data'!N330))</f>
        <v>204.52</v>
      </c>
      <c r="O330" s="6">
        <f t="shared" si="16"/>
        <v>4.761904761904761</v>
      </c>
      <c r="P330" s="6">
        <f t="shared" si="17"/>
        <v>10.225999999999999</v>
      </c>
      <c r="Q330">
        <f>VALUE(IF(AND(ISERR(FIND(".",'Raw Data'!Q330)),LEN('Raw Data'!Q330)=5), IF(YEAR('Raw Data'!Q330)=2026,CONCATENATE(DAY('Raw Data'!Q330),".",IF(LEN(MONTH('Raw Data'!Q330))=2,MONTH('Raw Data'!Q330),CONCATENATE(MONTH('Raw Data'!Q330)))),CONCATENATE(MONTH('Raw Data'!Q330),".",RIGHT(YEAR('Raw Data'!Q330),2))),'Raw Data'!Q330))</f>
        <v>4</v>
      </c>
    </row>
    <row r="331" spans="1:17">
      <c r="A331" t="s">
        <v>417</v>
      </c>
      <c r="B331" t="s">
        <v>18</v>
      </c>
      <c r="C331" t="s">
        <v>19</v>
      </c>
      <c r="D331" t="s">
        <v>20</v>
      </c>
      <c r="E331" t="s">
        <v>30</v>
      </c>
      <c r="F331" t="s">
        <v>28</v>
      </c>
      <c r="G331">
        <f>VALUE(IF(AND(ISERR(FIND(".",'Raw Data'!G331)),LEN('Raw Data'!G331)=5), IF(YEAR('Raw Data'!G331)=2026,CONCATENATE(DAY('Raw Data'!G331),".",IF(LEN(MONTH('Raw Data'!G331))=2,MONTH('Raw Data'!G331),CONCATENATE("0",MONTH('Raw Data'!G331)))),CONCATENATE(MONTH('Raw Data'!G331),".",RIGHT(YEAR('Raw Data'!G331),2))),'Raw Data'!G331))</f>
        <v>36.36</v>
      </c>
      <c r="H331">
        <f>'Raw Data'!H331</f>
        <v>4</v>
      </c>
      <c r="I331" s="6">
        <f t="shared" si="15"/>
        <v>7.2719999999999914</v>
      </c>
      <c r="J331" s="6">
        <f>'Raw Data'!J331</f>
        <v>152.71199999999999</v>
      </c>
      <c r="K331" s="1">
        <f>VALUE(IFERROR(VALUE('Raw Data'!K331),CONCATENATE(MID('Raw Data'!K331,3,2),".","0",LEFT('Raw Data'!K331,1),".", RIGHT('Raw Data'!K331,4))))</f>
        <v>43549</v>
      </c>
      <c r="L331" s="2">
        <f>'Raw Data'!L331</f>
        <v>0.54652777777777783</v>
      </c>
      <c r="M331" t="s">
        <v>29</v>
      </c>
      <c r="N331">
        <f>VALUE(IF(AND(ISERR(FIND(".",'Raw Data'!N331)),LEN('Raw Data'!N331)=5), IF(YEAR('Raw Data'!N331)=2026,CONCATENATE(DAY('Raw Data'!N331),".",IF(LEN(MONTH('Raw Data'!N331))=2,MONTH('Raw Data'!N331),CONCATENATE("0",MONTH('Raw Data'!N331)))),CONCATENATE(MONTH('Raw Data'!N331),".",RIGHT(YEAR('Raw Data'!N331),2))),'Raw Data'!N331))</f>
        <v>145.44</v>
      </c>
      <c r="O331" s="6">
        <f t="shared" si="16"/>
        <v>4.7619047619047565</v>
      </c>
      <c r="P331" s="6">
        <f t="shared" si="17"/>
        <v>7.2719999999999914</v>
      </c>
      <c r="Q331">
        <f>VALUE(IF(AND(ISERR(FIND(".",'Raw Data'!Q331)),LEN('Raw Data'!Q331)=5), IF(YEAR('Raw Data'!Q331)=2026,CONCATENATE(DAY('Raw Data'!Q331),".",IF(LEN(MONTH('Raw Data'!Q331))=2,MONTH('Raw Data'!Q331),CONCATENATE(MONTH('Raw Data'!Q331)))),CONCATENATE(MONTH('Raw Data'!Q331),".",RIGHT(YEAR('Raw Data'!Q331),2))),'Raw Data'!Q331))</f>
        <v>7.6</v>
      </c>
    </row>
    <row r="332" spans="1:17">
      <c r="A332" t="s">
        <v>418</v>
      </c>
      <c r="B332" t="s">
        <v>34</v>
      </c>
      <c r="C332" t="s">
        <v>35</v>
      </c>
      <c r="D332" t="s">
        <v>27</v>
      </c>
      <c r="E332" t="s">
        <v>30</v>
      </c>
      <c r="F332" t="s">
        <v>32</v>
      </c>
      <c r="G332">
        <f>VALUE(IF(AND(ISERR(FIND(".",'Raw Data'!G332)),LEN('Raw Data'!G332)=5), IF(YEAR('Raw Data'!G332)=2026,CONCATENATE(DAY('Raw Data'!G332),".",IF(LEN(MONTH('Raw Data'!G332))=2,MONTH('Raw Data'!G332),CONCATENATE("0",MONTH('Raw Data'!G332)))),CONCATENATE(MONTH('Raw Data'!G332),".",RIGHT(YEAR('Raw Data'!G332),2))),'Raw Data'!G332))</f>
        <v>22.02</v>
      </c>
      <c r="H332">
        <f>'Raw Data'!H332</f>
        <v>9</v>
      </c>
      <c r="I332" s="6">
        <f t="shared" si="15"/>
        <v>9.9089999999999918</v>
      </c>
      <c r="J332" s="6">
        <f>'Raw Data'!J332</f>
        <v>208.089</v>
      </c>
      <c r="K332" s="1">
        <f>VALUE(IFERROR(VALUE('Raw Data'!K332),CONCATENATE(MID('Raw Data'!K332,3,2),".","0",LEFT('Raw Data'!K332,1),".", RIGHT('Raw Data'!K332,4))))</f>
        <v>43648</v>
      </c>
      <c r="L332" s="2">
        <f>'Raw Data'!L332</f>
        <v>0.78333333333333333</v>
      </c>
      <c r="M332" t="s">
        <v>29</v>
      </c>
      <c r="N332">
        <f>VALUE(IF(AND(ISERR(FIND(".",'Raw Data'!N332)),LEN('Raw Data'!N332)=5), IF(YEAR('Raw Data'!N332)=2026,CONCATENATE(DAY('Raw Data'!N332),".",IF(LEN(MONTH('Raw Data'!N332))=2,MONTH('Raw Data'!N332),CONCATENATE("0",MONTH('Raw Data'!N332)))),CONCATENATE(MONTH('Raw Data'!N332),".",RIGHT(YEAR('Raw Data'!N332),2))),'Raw Data'!N332))</f>
        <v>198.18</v>
      </c>
      <c r="O332" s="6">
        <f t="shared" si="16"/>
        <v>4.7619047619047583</v>
      </c>
      <c r="P332" s="6">
        <f t="shared" si="17"/>
        <v>9.9089999999999918</v>
      </c>
      <c r="Q332">
        <f>VALUE(IF(AND(ISERR(FIND(".",'Raw Data'!Q332)),LEN('Raw Data'!Q332)=5), IF(YEAR('Raw Data'!Q332)=2026,CONCATENATE(DAY('Raw Data'!Q332),".",IF(LEN(MONTH('Raw Data'!Q332))=2,MONTH('Raw Data'!Q332),CONCATENATE(MONTH('Raw Data'!Q332)))),CONCATENATE(MONTH('Raw Data'!Q332),".",RIGHT(YEAR('Raw Data'!Q332),2))),'Raw Data'!Q332))</f>
        <v>6.8</v>
      </c>
    </row>
    <row r="333" spans="1:17">
      <c r="A333" t="s">
        <v>419</v>
      </c>
      <c r="B333" t="s">
        <v>18</v>
      </c>
      <c r="C333" t="s">
        <v>19</v>
      </c>
      <c r="D333" t="s">
        <v>27</v>
      </c>
      <c r="E333" t="s">
        <v>30</v>
      </c>
      <c r="F333" t="s">
        <v>40</v>
      </c>
      <c r="G333">
        <f>VALUE(IF(AND(ISERR(FIND(".",'Raw Data'!G333)),LEN('Raw Data'!G333)=5), IF(YEAR('Raw Data'!G333)=2026,CONCATENATE(DAY('Raw Data'!G333),".",IF(LEN(MONTH('Raw Data'!G333))=2,MONTH('Raw Data'!G333),CONCATENATE("0",MONTH('Raw Data'!G333)))),CONCATENATE(MONTH('Raw Data'!G333),".",RIGHT(YEAR('Raw Data'!G333),2))),'Raw Data'!G333))</f>
        <v>32.9</v>
      </c>
      <c r="H333">
        <f>'Raw Data'!H333</f>
        <v>3</v>
      </c>
      <c r="I333" s="6">
        <f t="shared" si="15"/>
        <v>4.9350000000000165</v>
      </c>
      <c r="J333" s="6">
        <f>'Raw Data'!J333</f>
        <v>103.63500000000001</v>
      </c>
      <c r="K333" s="1">
        <f>VALUE(IFERROR(VALUE('Raw Data'!K333),CONCATENATE(MID('Raw Data'!K333,3,2),".","0",LEFT('Raw Data'!K333,1),".", RIGHT('Raw Data'!K333,4))))</f>
        <v>43513</v>
      </c>
      <c r="L333" s="2">
        <f>'Raw Data'!L333</f>
        <v>0.7270833333333333</v>
      </c>
      <c r="M333" t="s">
        <v>33</v>
      </c>
      <c r="N333">
        <f>VALUE(IF(AND(ISERR(FIND(".",'Raw Data'!N333)),LEN('Raw Data'!N333)=5), IF(YEAR('Raw Data'!N333)=2026,CONCATENATE(DAY('Raw Data'!N333),".",IF(LEN(MONTH('Raw Data'!N333))=2,MONTH('Raw Data'!N333),CONCATENATE("0",MONTH('Raw Data'!N333)))),CONCATENATE(MONTH('Raw Data'!N333),".",RIGHT(YEAR('Raw Data'!N333),2))),'Raw Data'!N333))</f>
        <v>98.7</v>
      </c>
      <c r="O333" s="6">
        <f t="shared" si="16"/>
        <v>4.7619047619047636</v>
      </c>
      <c r="P333" s="6">
        <f t="shared" si="17"/>
        <v>4.9350000000000023</v>
      </c>
      <c r="Q333">
        <f>VALUE(IF(AND(ISERR(FIND(".",'Raw Data'!Q333)),LEN('Raw Data'!Q333)=5), IF(YEAR('Raw Data'!Q333)=2026,CONCATENATE(DAY('Raw Data'!Q333),".",IF(LEN(MONTH('Raw Data'!Q333))=2,MONTH('Raw Data'!Q333),CONCATENATE(MONTH('Raw Data'!Q333)))),CONCATENATE(MONTH('Raw Data'!Q333),".",RIGHT(YEAR('Raw Data'!Q333),2))),'Raw Data'!Q333))</f>
        <v>9.1</v>
      </c>
    </row>
    <row r="334" spans="1:17">
      <c r="A334" t="s">
        <v>420</v>
      </c>
      <c r="B334" t="s">
        <v>18</v>
      </c>
      <c r="C334" t="s">
        <v>19</v>
      </c>
      <c r="D334" t="s">
        <v>27</v>
      </c>
      <c r="E334" t="s">
        <v>30</v>
      </c>
      <c r="F334" t="s">
        <v>43</v>
      </c>
      <c r="G334">
        <f>VALUE(IF(AND(ISERR(FIND(".",'Raw Data'!G334)),LEN('Raw Data'!G334)=5), IF(YEAR('Raw Data'!G334)=2026,CONCATENATE(DAY('Raw Data'!G334),".",IF(LEN(MONTH('Raw Data'!G334))=2,MONTH('Raw Data'!G334),CONCATENATE("0",MONTH('Raw Data'!G334)))),CONCATENATE(MONTH('Raw Data'!G334),".",RIGHT(YEAR('Raw Data'!G334),2))),'Raw Data'!G334))</f>
        <v>77.02</v>
      </c>
      <c r="H334">
        <f>'Raw Data'!H334</f>
        <v>5</v>
      </c>
      <c r="I334" s="6">
        <f t="shared" si="15"/>
        <v>19.255000000000052</v>
      </c>
      <c r="J334" s="6">
        <f>'Raw Data'!J334</f>
        <v>404.35500000000002</v>
      </c>
      <c r="K334" s="1">
        <f>VALUE(IFERROR(VALUE('Raw Data'!K334),CONCATENATE(MID('Raw Data'!K334,3,2),".","0",LEFT('Raw Data'!K334,1),".", RIGHT('Raw Data'!K334,4))))</f>
        <v>43526</v>
      </c>
      <c r="L334" s="2">
        <f>'Raw Data'!L334</f>
        <v>0.66597222222222219</v>
      </c>
      <c r="M334" t="s">
        <v>29</v>
      </c>
      <c r="N334">
        <f>VALUE(IF(AND(ISERR(FIND(".",'Raw Data'!N334)),LEN('Raw Data'!N334)=5), IF(YEAR('Raw Data'!N334)=2026,CONCATENATE(DAY('Raw Data'!N334),".",IF(LEN(MONTH('Raw Data'!N334))=2,MONTH('Raw Data'!N334),CONCATENATE("0",MONTH('Raw Data'!N334)))),CONCATENATE(MONTH('Raw Data'!N334),".",RIGHT(YEAR('Raw Data'!N334),2))),'Raw Data'!N334))</f>
        <v>385.1</v>
      </c>
      <c r="O334" s="6">
        <f t="shared" si="16"/>
        <v>4.7619047619047601</v>
      </c>
      <c r="P334" s="6">
        <f t="shared" si="17"/>
        <v>19.254999999999995</v>
      </c>
      <c r="Q334">
        <f>VALUE(IF(AND(ISERR(FIND(".",'Raw Data'!Q334)),LEN('Raw Data'!Q334)=5), IF(YEAR('Raw Data'!Q334)=2026,CONCATENATE(DAY('Raw Data'!Q334),".",IF(LEN(MONTH('Raw Data'!Q334))=2,MONTH('Raw Data'!Q334),CONCATENATE(MONTH('Raw Data'!Q334)))),CONCATENATE(MONTH('Raw Data'!Q334),".",RIGHT(YEAR('Raw Data'!Q334),2))),'Raw Data'!Q334))</f>
        <v>5.5</v>
      </c>
    </row>
    <row r="335" spans="1:17">
      <c r="A335" t="s">
        <v>421</v>
      </c>
      <c r="B335" t="s">
        <v>18</v>
      </c>
      <c r="C335" t="s">
        <v>19</v>
      </c>
      <c r="D335" t="s">
        <v>20</v>
      </c>
      <c r="E335" t="s">
        <v>30</v>
      </c>
      <c r="F335" t="s">
        <v>40</v>
      </c>
      <c r="G335">
        <f>VALUE(IF(AND(ISERR(FIND(".",'Raw Data'!G335)),LEN('Raw Data'!G335)=5), IF(YEAR('Raw Data'!G335)=2026,CONCATENATE(DAY('Raw Data'!G335),".",IF(LEN(MONTH('Raw Data'!G335))=2,MONTH('Raw Data'!G335),CONCATENATE("0",MONTH('Raw Data'!G335)))),CONCATENATE(MONTH('Raw Data'!G335),".",RIGHT(YEAR('Raw Data'!G335),2))),'Raw Data'!G335))</f>
        <v>23.48</v>
      </c>
      <c r="H335">
        <f>'Raw Data'!H335</f>
        <v>2</v>
      </c>
      <c r="I335" s="6">
        <f t="shared" si="15"/>
        <v>2.347999999999999</v>
      </c>
      <c r="J335" s="6">
        <f>'Raw Data'!J335</f>
        <v>49.308</v>
      </c>
      <c r="K335" s="1">
        <f>VALUE(IFERROR(VALUE('Raw Data'!K335),CONCATENATE(MID('Raw Data'!K335,3,2),".","0",LEFT('Raw Data'!K335,1),".", RIGHT('Raw Data'!K335,4))))</f>
        <v>43538</v>
      </c>
      <c r="L335" s="2">
        <f>'Raw Data'!L335</f>
        <v>0.47291666666666665</v>
      </c>
      <c r="M335" t="s">
        <v>33</v>
      </c>
      <c r="N335">
        <f>VALUE(IF(AND(ISERR(FIND(".",'Raw Data'!N335)),LEN('Raw Data'!N335)=5), IF(YEAR('Raw Data'!N335)=2026,CONCATENATE(DAY('Raw Data'!N335),".",IF(LEN(MONTH('Raw Data'!N335))=2,MONTH('Raw Data'!N335),CONCATENATE("0",MONTH('Raw Data'!N335)))),CONCATENATE(MONTH('Raw Data'!N335),".",RIGHT(YEAR('Raw Data'!N335),2))),'Raw Data'!N335))</f>
        <v>46.96</v>
      </c>
      <c r="O335" s="6">
        <f t="shared" si="16"/>
        <v>4.7619047619047592</v>
      </c>
      <c r="P335" s="6">
        <f t="shared" si="17"/>
        <v>2.347999999999999</v>
      </c>
      <c r="Q335">
        <f>VALUE(IF(AND(ISERR(FIND(".",'Raw Data'!Q335)),LEN('Raw Data'!Q335)=5), IF(YEAR('Raw Data'!Q335)=2026,CONCATENATE(DAY('Raw Data'!Q335),".",IF(LEN(MONTH('Raw Data'!Q335))=2,MONTH('Raw Data'!Q335),CONCATENATE(MONTH('Raw Data'!Q335)))),CONCATENATE(MONTH('Raw Data'!Q335),".",RIGHT(YEAR('Raw Data'!Q335),2))),'Raw Data'!Q335))</f>
        <v>7.9</v>
      </c>
    </row>
    <row r="336" spans="1:17">
      <c r="A336" t="s">
        <v>422</v>
      </c>
      <c r="B336" t="s">
        <v>25</v>
      </c>
      <c r="C336" t="s">
        <v>26</v>
      </c>
      <c r="D336" t="s">
        <v>20</v>
      </c>
      <c r="E336" t="s">
        <v>30</v>
      </c>
      <c r="F336" t="s">
        <v>38</v>
      </c>
      <c r="G336">
        <f>VALUE(IF(AND(ISERR(FIND(".",'Raw Data'!G336)),LEN('Raw Data'!G336)=5), IF(YEAR('Raw Data'!G336)=2026,CONCATENATE(DAY('Raw Data'!G336),".",IF(LEN(MONTH('Raw Data'!G336))=2,MONTH('Raw Data'!G336),CONCATENATE("0",MONTH('Raw Data'!G336)))),CONCATENATE(MONTH('Raw Data'!G336),".",RIGHT(YEAR('Raw Data'!G336),2))),'Raw Data'!G336))</f>
        <v>14.07</v>
      </c>
      <c r="H336">
        <f>'Raw Data'!H336</f>
        <v>5</v>
      </c>
      <c r="I336" s="6">
        <f t="shared" si="15"/>
        <v>6.8250000000000028</v>
      </c>
      <c r="J336" s="6">
        <f>'Raw Data'!J336</f>
        <v>77.174999999999997</v>
      </c>
      <c r="K336" s="1">
        <f>VALUE(IFERROR(VALUE('Raw Data'!K336),CONCATENATE(MID('Raw Data'!K336,3,2),".","0",LEFT('Raw Data'!K336,1),".", RIGHT('Raw Data'!K336,4))))</f>
        <v>43548</v>
      </c>
      <c r="L336" s="2">
        <f>'Raw Data'!L336</f>
        <v>0.57500000000000007</v>
      </c>
      <c r="M336" t="s">
        <v>23</v>
      </c>
      <c r="N336">
        <f>VALUE(IF(AND(ISERR(FIND(".",'Raw Data'!N336)),LEN('Raw Data'!N336)=5), IF(YEAR('Raw Data'!N336)=2026,CONCATENATE(DAY('Raw Data'!N336),".",IF(LEN(MONTH('Raw Data'!N336))=2,MONTH('Raw Data'!N336),CONCATENATE("0",MONTH('Raw Data'!N336)))),CONCATENATE(MONTH('Raw Data'!N336),".",RIGHT(YEAR('Raw Data'!N336),2))),'Raw Data'!N336))</f>
        <v>73.5</v>
      </c>
      <c r="O336" s="6">
        <f t="shared" si="16"/>
        <v>4.7619047619047583</v>
      </c>
      <c r="P336" s="6">
        <f t="shared" si="17"/>
        <v>3.6749999999999972</v>
      </c>
      <c r="Q336">
        <f>VALUE(IF(AND(ISERR(FIND(".",'Raw Data'!Q336)),LEN('Raw Data'!Q336)=5), IF(YEAR('Raw Data'!Q336)=2026,CONCATENATE(DAY('Raw Data'!Q336),".",IF(LEN(MONTH('Raw Data'!Q336))=2,MONTH('Raw Data'!Q336),CONCATENATE(MONTH('Raw Data'!Q336)))),CONCATENATE(MONTH('Raw Data'!Q336),".",RIGHT(YEAR('Raw Data'!Q336),2))),'Raw Data'!Q336))</f>
        <v>8.5</v>
      </c>
    </row>
    <row r="337" spans="1:17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f>VALUE(IF(AND(ISERR(FIND(".",'Raw Data'!G337)),LEN('Raw Data'!G337)=5), IF(YEAR('Raw Data'!G337)=2026,CONCATENATE(DAY('Raw Data'!G337),".",IF(LEN(MONTH('Raw Data'!G337))=2,MONTH('Raw Data'!G337),CONCATENATE("0",MONTH('Raw Data'!G337)))),CONCATENATE(MONTH('Raw Data'!G337),".",RIGHT(YEAR('Raw Data'!G337),2))),'Raw Data'!G337))</f>
        <v>28.45</v>
      </c>
      <c r="H337">
        <f>'Raw Data'!H337</f>
        <v>5</v>
      </c>
      <c r="I337" s="6">
        <f t="shared" si="15"/>
        <v>7.1125000000000114</v>
      </c>
      <c r="J337" s="6">
        <f>'Raw Data'!J337</f>
        <v>149.36250000000001</v>
      </c>
      <c r="K337" s="1">
        <f>VALUE(IFERROR(VALUE('Raw Data'!K337),CONCATENATE(MID('Raw Data'!K337,3,2),".","0",LEFT('Raw Data'!K337,1),".", RIGHT('Raw Data'!K337,4))))</f>
        <v>43545</v>
      </c>
      <c r="L337" s="2">
        <f>'Raw Data'!L337</f>
        <v>0.4284722222222222</v>
      </c>
      <c r="M337" t="s">
        <v>33</v>
      </c>
      <c r="N337">
        <f>VALUE(IF(AND(ISERR(FIND(".",'Raw Data'!N337)),LEN('Raw Data'!N337)=5), IF(YEAR('Raw Data'!N337)=2026,CONCATENATE(DAY('Raw Data'!N337),".",IF(LEN(MONTH('Raw Data'!N337))=2,MONTH('Raw Data'!N337),CONCATENATE("0",MONTH('Raw Data'!N337)))),CONCATENATE(MONTH('Raw Data'!N337),".",RIGHT(YEAR('Raw Data'!N337),2))),'Raw Data'!N337))</f>
        <v>142.25</v>
      </c>
      <c r="O337" s="6">
        <f t="shared" si="16"/>
        <v>4.761904761904769</v>
      </c>
      <c r="P337" s="6">
        <f t="shared" si="17"/>
        <v>7.1125000000000114</v>
      </c>
      <c r="Q337">
        <f>VALUE(IF(AND(ISERR(FIND(".",'Raw Data'!Q337)),LEN('Raw Data'!Q337)=5), IF(YEAR('Raw Data'!Q337)=2026,CONCATENATE(DAY('Raw Data'!Q337),".",IF(LEN(MONTH('Raw Data'!Q337))=2,MONTH('Raw Data'!Q337),CONCATENATE(MONTH('Raw Data'!Q337)))),CONCATENATE(MONTH('Raw Data'!Q337),".",RIGHT(YEAR('Raw Data'!Q337),2))),'Raw Data'!Q337))</f>
        <v>9.1</v>
      </c>
    </row>
    <row r="338" spans="1:17">
      <c r="A338" t="s">
        <v>424</v>
      </c>
      <c r="B338" t="s">
        <v>18</v>
      </c>
      <c r="C338" t="s">
        <v>19</v>
      </c>
      <c r="D338" t="s">
        <v>27</v>
      </c>
      <c r="E338" t="s">
        <v>30</v>
      </c>
      <c r="F338" t="s">
        <v>43</v>
      </c>
      <c r="G338">
        <f>VALUE(IF(AND(ISERR(FIND(".",'Raw Data'!G338)),LEN('Raw Data'!G338)=5), IF(YEAR('Raw Data'!G338)=2026,CONCATENATE(DAY('Raw Data'!G338),".",IF(LEN(MONTH('Raw Data'!G338))=2,MONTH('Raw Data'!G338),CONCATENATE("0",MONTH('Raw Data'!G338)))),CONCATENATE(MONTH('Raw Data'!G338),".",RIGHT(YEAR('Raw Data'!G338),2))),'Raw Data'!G338))</f>
        <v>76.400000000000006</v>
      </c>
      <c r="H338">
        <f>'Raw Data'!H338</f>
        <v>9</v>
      </c>
      <c r="I338" s="6">
        <f t="shared" si="15"/>
        <v>34.379999999999995</v>
      </c>
      <c r="J338" s="6">
        <f>'Raw Data'!J338</f>
        <v>721.98</v>
      </c>
      <c r="K338" s="1">
        <f>VALUE(IFERROR(VALUE('Raw Data'!K338),CONCATENATE(MID('Raw Data'!K338,3,2),".","0",LEFT('Raw Data'!K338,1),".", RIGHT('Raw Data'!K338,4))))</f>
        <v>43543</v>
      </c>
      <c r="L338" s="2">
        <f>'Raw Data'!L338</f>
        <v>0.65902777777777777</v>
      </c>
      <c r="M338" t="s">
        <v>23</v>
      </c>
      <c r="N338">
        <f>VALUE(IF(AND(ISERR(FIND(".",'Raw Data'!N338)),LEN('Raw Data'!N338)=5), IF(YEAR('Raw Data'!N338)=2026,CONCATENATE(DAY('Raw Data'!N338),".",IF(LEN(MONTH('Raw Data'!N338))=2,MONTH('Raw Data'!N338),CONCATENATE("0",MONTH('Raw Data'!N338)))),CONCATENATE(MONTH('Raw Data'!N338),".",RIGHT(YEAR('Raw Data'!N338),2))),'Raw Data'!N338))</f>
        <v>687.6</v>
      </c>
      <c r="O338" s="6">
        <f t="shared" si="16"/>
        <v>4.761904761904761</v>
      </c>
      <c r="P338" s="6">
        <f t="shared" si="17"/>
        <v>34.379999999999995</v>
      </c>
      <c r="Q338">
        <f>VALUE(IF(AND(ISERR(FIND(".",'Raw Data'!Q338)),LEN('Raw Data'!Q338)=5), IF(YEAR('Raw Data'!Q338)=2026,CONCATENATE(DAY('Raw Data'!Q338),".",IF(LEN(MONTH('Raw Data'!Q338))=2,MONTH('Raw Data'!Q338),CONCATENATE(MONTH('Raw Data'!Q338)))),CONCATENATE(MONTH('Raw Data'!Q338),".",RIGHT(YEAR('Raw Data'!Q338),2))),'Raw Data'!Q338))</f>
        <v>7.5</v>
      </c>
    </row>
    <row r="339" spans="1:17">
      <c r="A339" t="s">
        <v>425</v>
      </c>
      <c r="B339" t="s">
        <v>34</v>
      </c>
      <c r="C339" t="s">
        <v>35</v>
      </c>
      <c r="D339" t="s">
        <v>27</v>
      </c>
      <c r="E339" t="s">
        <v>21</v>
      </c>
      <c r="F339" t="s">
        <v>38</v>
      </c>
      <c r="G339">
        <f>VALUE(IF(AND(ISERR(FIND(".",'Raw Data'!G339)),LEN('Raw Data'!G339)=5), IF(YEAR('Raw Data'!G339)=2026,CONCATENATE(DAY('Raw Data'!G339),".",IF(LEN(MONTH('Raw Data'!G339))=2,MONTH('Raw Data'!G339),CONCATENATE("0",MONTH('Raw Data'!G339)))),CONCATENATE(MONTH('Raw Data'!G339),".",RIGHT(YEAR('Raw Data'!G339),2))),'Raw Data'!G339))</f>
        <v>57.95</v>
      </c>
      <c r="H339">
        <f>'Raw Data'!H339</f>
        <v>6</v>
      </c>
      <c r="I339" s="6">
        <f t="shared" si="15"/>
        <v>17.384999999999934</v>
      </c>
      <c r="J339" s="6">
        <f>'Raw Data'!J339</f>
        <v>365.08499999999998</v>
      </c>
      <c r="K339" s="1">
        <f>VALUE(IFERROR(VALUE('Raw Data'!K339),CONCATENATE(MID('Raw Data'!K339,3,2),".","0",LEFT('Raw Data'!K339,1),".", RIGHT('Raw Data'!K339,4))))</f>
        <v>43520</v>
      </c>
      <c r="L339" s="2">
        <f>'Raw Data'!L339</f>
        <v>0.54305555555555551</v>
      </c>
      <c r="M339" t="s">
        <v>29</v>
      </c>
      <c r="N339">
        <f>VALUE(IF(AND(ISERR(FIND(".",'Raw Data'!N339)),LEN('Raw Data'!N339)=5), IF(YEAR('Raw Data'!N339)=2026,CONCATENATE(DAY('Raw Data'!N339),".",IF(LEN(MONTH('Raw Data'!N339))=2,MONTH('Raw Data'!N339),CONCATENATE("0",MONTH('Raw Data'!N339)))),CONCATENATE(MONTH('Raw Data'!N339),".",RIGHT(YEAR('Raw Data'!N339),2))),'Raw Data'!N339))</f>
        <v>347.7</v>
      </c>
      <c r="O339" s="6">
        <f t="shared" si="16"/>
        <v>4.7619047619047592</v>
      </c>
      <c r="P339" s="6">
        <f t="shared" si="17"/>
        <v>17.384999999999991</v>
      </c>
      <c r="Q339">
        <f>VALUE(IF(AND(ISERR(FIND(".",'Raw Data'!Q339)),LEN('Raw Data'!Q339)=5), IF(YEAR('Raw Data'!Q339)=2026,CONCATENATE(DAY('Raw Data'!Q339),".",IF(LEN(MONTH('Raw Data'!Q339))=2,MONTH('Raw Data'!Q339),CONCATENATE(MONTH('Raw Data'!Q339)))),CONCATENATE(MONTH('Raw Data'!Q339),".",RIGHT(YEAR('Raw Data'!Q339),2))),'Raw Data'!Q339))</f>
        <v>5.2</v>
      </c>
    </row>
    <row r="340" spans="1:17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f>VALUE(IF(AND(ISERR(FIND(".",'Raw Data'!G340)),LEN('Raw Data'!G340)=5), IF(YEAR('Raw Data'!G340)=2026,CONCATENATE(DAY('Raw Data'!G340),".",IF(LEN(MONTH('Raw Data'!G340))=2,MONTH('Raw Data'!G340),CONCATENATE("0",MONTH('Raw Data'!G340)))),CONCATENATE(MONTH('Raw Data'!G340),".",RIGHT(YEAR('Raw Data'!G340),2))),'Raw Data'!G340))</f>
        <v>47.65</v>
      </c>
      <c r="H340">
        <f>'Raw Data'!H340</f>
        <v>3</v>
      </c>
      <c r="I340" s="6">
        <f t="shared" si="15"/>
        <v>7.147500000000008</v>
      </c>
      <c r="J340" s="6">
        <f>'Raw Data'!J340</f>
        <v>150.0975</v>
      </c>
      <c r="K340" s="1">
        <f>VALUE(IFERROR(VALUE('Raw Data'!K340),CONCATENATE(MID('Raw Data'!K340,3,2),".","0",LEFT('Raw Data'!K340,1),".", RIGHT('Raw Data'!K340,4))))</f>
        <v>43552</v>
      </c>
      <c r="L340" s="2">
        <f>'Raw Data'!L340</f>
        <v>0.54027777777777775</v>
      </c>
      <c r="M340" t="s">
        <v>33</v>
      </c>
      <c r="N340">
        <f>VALUE(IF(AND(ISERR(FIND(".",'Raw Data'!N340)),LEN('Raw Data'!N340)=5), IF(YEAR('Raw Data'!N340)=2026,CONCATENATE(DAY('Raw Data'!N340),".",IF(LEN(MONTH('Raw Data'!N340))=2,MONTH('Raw Data'!N340),CONCATENATE("0",MONTH('Raw Data'!N340)))),CONCATENATE(MONTH('Raw Data'!N340),".",RIGHT(YEAR('Raw Data'!N340),2))),'Raw Data'!N340))</f>
        <v>142.94999999999999</v>
      </c>
      <c r="O340" s="6">
        <f t="shared" si="16"/>
        <v>4.7619047619047672</v>
      </c>
      <c r="P340" s="6">
        <f t="shared" si="17"/>
        <v>7.147500000000008</v>
      </c>
      <c r="Q340">
        <f>VALUE(IF(AND(ISERR(FIND(".",'Raw Data'!Q340)),LEN('Raw Data'!Q340)=5), IF(YEAR('Raw Data'!Q340)=2026,CONCATENATE(DAY('Raw Data'!Q340),".",IF(LEN(MONTH('Raw Data'!Q340))=2,MONTH('Raw Data'!Q340),CONCATENATE(MONTH('Raw Data'!Q340)))),CONCATENATE(MONTH('Raw Data'!Q340),".",RIGHT(YEAR('Raw Data'!Q340),2))),'Raw Data'!Q340))</f>
        <v>9.5</v>
      </c>
    </row>
    <row r="341" spans="1:17">
      <c r="A341" t="s">
        <v>427</v>
      </c>
      <c r="B341" t="s">
        <v>34</v>
      </c>
      <c r="C341" t="s">
        <v>35</v>
      </c>
      <c r="D341" t="s">
        <v>20</v>
      </c>
      <c r="E341" t="s">
        <v>21</v>
      </c>
      <c r="F341" t="s">
        <v>40</v>
      </c>
      <c r="G341">
        <f>VALUE(IF(AND(ISERR(FIND(".",'Raw Data'!G341)),LEN('Raw Data'!G341)=5), IF(YEAR('Raw Data'!G341)=2026,CONCATENATE(DAY('Raw Data'!G341),".",IF(LEN(MONTH('Raw Data'!G341))=2,MONTH('Raw Data'!G341),CONCATENATE("0",MONTH('Raw Data'!G341)))),CONCATENATE(MONTH('Raw Data'!G341),".",RIGHT(YEAR('Raw Data'!G341),2))),'Raw Data'!G341))</f>
        <v>42.82</v>
      </c>
      <c r="H341">
        <f>'Raw Data'!H341</f>
        <v>9</v>
      </c>
      <c r="I341" s="6">
        <f t="shared" si="15"/>
        <v>19.269000000000005</v>
      </c>
      <c r="J341" s="6">
        <f>'Raw Data'!J341</f>
        <v>404.649</v>
      </c>
      <c r="K341" s="1">
        <f>VALUE(IFERROR(VALUE('Raw Data'!K341),CONCATENATE(MID('Raw Data'!K341,3,2),".","0",LEFT('Raw Data'!K341,1),".", RIGHT('Raw Data'!K341,4))))</f>
        <v>43587</v>
      </c>
      <c r="L341" s="2">
        <f>'Raw Data'!L341</f>
        <v>0.6430555555555556</v>
      </c>
      <c r="M341" t="s">
        <v>33</v>
      </c>
      <c r="N341">
        <f>VALUE(IF(AND(ISERR(FIND(".",'Raw Data'!N341)),LEN('Raw Data'!N341)=5), IF(YEAR('Raw Data'!N341)=2026,CONCATENATE(DAY('Raw Data'!N341),".",IF(LEN(MONTH('Raw Data'!N341))=2,MONTH('Raw Data'!N341),CONCATENATE("0",MONTH('Raw Data'!N341)))),CONCATENATE(MONTH('Raw Data'!N341),".",RIGHT(YEAR('Raw Data'!N341),2))),'Raw Data'!N341))</f>
        <v>385.38</v>
      </c>
      <c r="O341" s="6">
        <f t="shared" si="16"/>
        <v>4.7619047619047628</v>
      </c>
      <c r="P341" s="6">
        <f t="shared" si="17"/>
        <v>19.269000000000005</v>
      </c>
      <c r="Q341">
        <f>VALUE(IF(AND(ISERR(FIND(".",'Raw Data'!Q341)),LEN('Raw Data'!Q341)=5), IF(YEAR('Raw Data'!Q341)=2026,CONCATENATE(DAY('Raw Data'!Q341),".",IF(LEN(MONTH('Raw Data'!Q341))=2,MONTH('Raw Data'!Q341),CONCATENATE(MONTH('Raw Data'!Q341)))),CONCATENATE(MONTH('Raw Data'!Q341),".",RIGHT(YEAR('Raw Data'!Q341),2))),'Raw Data'!Q341))</f>
        <v>8.9</v>
      </c>
    </row>
    <row r="342" spans="1:17">
      <c r="A342" t="s">
        <v>428</v>
      </c>
      <c r="B342" t="s">
        <v>34</v>
      </c>
      <c r="C342" t="s">
        <v>35</v>
      </c>
      <c r="D342" t="s">
        <v>20</v>
      </c>
      <c r="E342" t="s">
        <v>30</v>
      </c>
      <c r="F342" t="s">
        <v>28</v>
      </c>
      <c r="G342">
        <f>VALUE(IF(AND(ISERR(FIND(".",'Raw Data'!G342)),LEN('Raw Data'!G342)=5), IF(YEAR('Raw Data'!G342)=2026,CONCATENATE(DAY('Raw Data'!G342),".",IF(LEN(MONTH('Raw Data'!G342))=2,MONTH('Raw Data'!G342),CONCATENATE("0",MONTH('Raw Data'!G342)))),CONCATENATE(MONTH('Raw Data'!G342),".",RIGHT(YEAR('Raw Data'!G342),2))),'Raw Data'!G342))</f>
        <v>48.09</v>
      </c>
      <c r="H342">
        <f>'Raw Data'!H342</f>
        <v>3</v>
      </c>
      <c r="I342" s="6">
        <f t="shared" si="15"/>
        <v>7.213499999999982</v>
      </c>
      <c r="J342" s="6">
        <f>'Raw Data'!J342</f>
        <v>151.48349999999999</v>
      </c>
      <c r="K342" s="1">
        <f>VALUE(IFERROR(VALUE('Raw Data'!K342),CONCATENATE(MID('Raw Data'!K342,3,2),".","0",LEFT('Raw Data'!K342,1),".", RIGHT('Raw Data'!K342,4))))</f>
        <v>43740</v>
      </c>
      <c r="L342" s="2">
        <f>'Raw Data'!L342</f>
        <v>0.76597222222222217</v>
      </c>
      <c r="M342" t="s">
        <v>33</v>
      </c>
      <c r="N342">
        <f>VALUE(IF(AND(ISERR(FIND(".",'Raw Data'!N342)),LEN('Raw Data'!N342)=5), IF(YEAR('Raw Data'!N342)=2026,CONCATENATE(DAY('Raw Data'!N342),".",IF(LEN(MONTH('Raw Data'!N342))=2,MONTH('Raw Data'!N342),CONCATENATE("0",MONTH('Raw Data'!N342)))),CONCATENATE(MONTH('Raw Data'!N342),".",RIGHT(YEAR('Raw Data'!N342),2))),'Raw Data'!N342))</f>
        <v>144.27000000000001</v>
      </c>
      <c r="O342" s="6">
        <f t="shared" si="16"/>
        <v>4.7619047619047503</v>
      </c>
      <c r="P342" s="6">
        <f t="shared" si="17"/>
        <v>7.213499999999982</v>
      </c>
      <c r="Q342">
        <f>VALUE(IF(AND(ISERR(FIND(".",'Raw Data'!Q342)),LEN('Raw Data'!Q342)=5), IF(YEAR('Raw Data'!Q342)=2026,CONCATENATE(DAY('Raw Data'!Q342),".",IF(LEN(MONTH('Raw Data'!Q342))=2,MONTH('Raw Data'!Q342),CONCATENATE(MONTH('Raw Data'!Q342)))),CONCATENATE(MONTH('Raw Data'!Q342),".",RIGHT(YEAR('Raw Data'!Q342),2))),'Raw Data'!Q342))</f>
        <v>7.8</v>
      </c>
    </row>
    <row r="343" spans="1:17">
      <c r="A343" t="s">
        <v>429</v>
      </c>
      <c r="B343" t="s">
        <v>34</v>
      </c>
      <c r="C343" t="s">
        <v>35</v>
      </c>
      <c r="D343" t="s">
        <v>20</v>
      </c>
      <c r="E343" t="s">
        <v>21</v>
      </c>
      <c r="F343" t="s">
        <v>22</v>
      </c>
      <c r="G343">
        <f>VALUE(IF(AND(ISERR(FIND(".",'Raw Data'!G343)),LEN('Raw Data'!G343)=5), IF(YEAR('Raw Data'!G343)=2026,CONCATENATE(DAY('Raw Data'!G343),".",IF(LEN(MONTH('Raw Data'!G343))=2,MONTH('Raw Data'!G343),CONCATENATE("0",MONTH('Raw Data'!G343)))),CONCATENATE(MONTH('Raw Data'!G343),".",RIGHT(YEAR('Raw Data'!G343),2))),'Raw Data'!G343))</f>
        <v>55.97</v>
      </c>
      <c r="H343">
        <f>'Raw Data'!H343</f>
        <v>7</v>
      </c>
      <c r="I343" s="6">
        <f t="shared" si="15"/>
        <v>19.589500000000044</v>
      </c>
      <c r="J343" s="6">
        <f>'Raw Data'!J343</f>
        <v>411.37950000000001</v>
      </c>
      <c r="K343" s="1">
        <f>VALUE(IFERROR(VALUE('Raw Data'!K343),CONCATENATE(MID('Raw Data'!K343,3,2),".","0",LEFT('Raw Data'!K343,1),".", RIGHT('Raw Data'!K343,4))))</f>
        <v>43588</v>
      </c>
      <c r="L343" s="2">
        <f>'Raw Data'!L343</f>
        <v>0.79583333333333339</v>
      </c>
      <c r="M343" t="s">
        <v>23</v>
      </c>
      <c r="N343">
        <f>VALUE(IF(AND(ISERR(FIND(".",'Raw Data'!N343)),LEN('Raw Data'!N343)=5), IF(YEAR('Raw Data'!N343)=2026,CONCATENATE(DAY('Raw Data'!N343),".",IF(LEN(MONTH('Raw Data'!N343))=2,MONTH('Raw Data'!N343),CONCATENATE("0",MONTH('Raw Data'!N343)))),CONCATENATE(MONTH('Raw Data'!N343),".",RIGHT(YEAR('Raw Data'!N343),2))),'Raw Data'!N343))</f>
        <v>391.79</v>
      </c>
      <c r="O343" s="6">
        <f t="shared" si="16"/>
        <v>4.7619047619047592</v>
      </c>
      <c r="P343" s="6">
        <f t="shared" si="17"/>
        <v>19.589499999999987</v>
      </c>
      <c r="Q343">
        <f>VALUE(IF(AND(ISERR(FIND(".",'Raw Data'!Q343)),LEN('Raw Data'!Q343)=5), IF(YEAR('Raw Data'!Q343)=2026,CONCATENATE(DAY('Raw Data'!Q343),".",IF(LEN(MONTH('Raw Data'!Q343))=2,MONTH('Raw Data'!Q343),CONCATENATE(MONTH('Raw Data'!Q343)))),CONCATENATE(MONTH('Raw Data'!Q343),".",RIGHT(YEAR('Raw Data'!Q343),2))),'Raw Data'!Q343))</f>
        <v>8.9</v>
      </c>
    </row>
    <row r="344" spans="1:17">
      <c r="A344" t="s">
        <v>430</v>
      </c>
      <c r="B344" t="s">
        <v>34</v>
      </c>
      <c r="C344" t="s">
        <v>35</v>
      </c>
      <c r="D344" t="s">
        <v>20</v>
      </c>
      <c r="E344" t="s">
        <v>21</v>
      </c>
      <c r="F344" t="s">
        <v>22</v>
      </c>
      <c r="G344">
        <f>VALUE(IF(AND(ISERR(FIND(".",'Raw Data'!G344)),LEN('Raw Data'!G344)=5), IF(YEAR('Raw Data'!G344)=2026,CONCATENATE(DAY('Raw Data'!G344),".",IF(LEN(MONTH('Raw Data'!G344))=2,MONTH('Raw Data'!G344),CONCATENATE("0",MONTH('Raw Data'!G344)))),CONCATENATE(MONTH('Raw Data'!G344),".",RIGHT(YEAR('Raw Data'!G344),2))),'Raw Data'!G344))</f>
        <v>76.900000000000006</v>
      </c>
      <c r="H344">
        <f>'Raw Data'!H344</f>
        <v>7</v>
      </c>
      <c r="I344" s="6">
        <f t="shared" si="15"/>
        <v>26.914999999999964</v>
      </c>
      <c r="J344" s="6">
        <f>'Raw Data'!J344</f>
        <v>565.21500000000003</v>
      </c>
      <c r="K344" s="1">
        <f>VALUE(IFERROR(VALUE('Raw Data'!K344),CONCATENATE(MID('Raw Data'!K344,3,2),".","0",LEFT('Raw Data'!K344,1),".", RIGHT('Raw Data'!K344,4))))</f>
        <v>43511</v>
      </c>
      <c r="L344" s="2">
        <f>'Raw Data'!L344</f>
        <v>0.84791666666666676</v>
      </c>
      <c r="M344" t="s">
        <v>29</v>
      </c>
      <c r="N344">
        <f>VALUE(IF(AND(ISERR(FIND(".",'Raw Data'!N344)),LEN('Raw Data'!N344)=5), IF(YEAR('Raw Data'!N344)=2026,CONCATENATE(DAY('Raw Data'!N344),".",IF(LEN(MONTH('Raw Data'!N344))=2,MONTH('Raw Data'!N344),CONCATENATE("0",MONTH('Raw Data'!N344)))),CONCATENATE(MONTH('Raw Data'!N344),".",RIGHT(YEAR('Raw Data'!N344),2))),'Raw Data'!N344))</f>
        <v>538.29999999999995</v>
      </c>
      <c r="O344" s="6">
        <f t="shared" si="16"/>
        <v>4.7619047619047752</v>
      </c>
      <c r="P344" s="6">
        <f t="shared" si="17"/>
        <v>26.915000000000077</v>
      </c>
      <c r="Q344">
        <f>VALUE(IF(AND(ISERR(FIND(".",'Raw Data'!Q344)),LEN('Raw Data'!Q344)=5), IF(YEAR('Raw Data'!Q344)=2026,CONCATENATE(DAY('Raw Data'!Q344),".",IF(LEN(MONTH('Raw Data'!Q344))=2,MONTH('Raw Data'!Q344),CONCATENATE(MONTH('Raw Data'!Q344)))),CONCATENATE(MONTH('Raw Data'!Q344),".",RIGHT(YEAR('Raw Data'!Q344),2))),'Raw Data'!Q344))</f>
        <v>7.7</v>
      </c>
    </row>
    <row r="345" spans="1:17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40</v>
      </c>
      <c r="G345">
        <f>VALUE(IF(AND(ISERR(FIND(".",'Raw Data'!G345)),LEN('Raw Data'!G345)=5), IF(YEAR('Raw Data'!G345)=2026,CONCATENATE(DAY('Raw Data'!G345),".",IF(LEN(MONTH('Raw Data'!G345))=2,MONTH('Raw Data'!G345),CONCATENATE("0",MONTH('Raw Data'!G345)))),CONCATENATE(MONTH('Raw Data'!G345),".",RIGHT(YEAR('Raw Data'!G345),2))),'Raw Data'!G345))</f>
        <v>97.03</v>
      </c>
      <c r="H345">
        <f>'Raw Data'!H345</f>
        <v>5</v>
      </c>
      <c r="I345" s="6">
        <f t="shared" si="15"/>
        <v>24.25750000000005</v>
      </c>
      <c r="J345" s="6">
        <f>'Raw Data'!J345</f>
        <v>509.40750000000003</v>
      </c>
      <c r="K345" s="1">
        <f>VALUE(IFERROR(VALUE('Raw Data'!K345),CONCATENATE(MID('Raw Data'!K345,3,2),".","0",LEFT('Raw Data'!K345,1),".", RIGHT('Raw Data'!K345,4))))</f>
        <v>43495</v>
      </c>
      <c r="L345" s="2">
        <f>'Raw Data'!L345</f>
        <v>0.68333333333333324</v>
      </c>
      <c r="M345" t="s">
        <v>23</v>
      </c>
      <c r="N345">
        <f>VALUE(IF(AND(ISERR(FIND(".",'Raw Data'!N345)),LEN('Raw Data'!N345)=5), IF(YEAR('Raw Data'!N345)=2026,CONCATENATE(DAY('Raw Data'!N345),".",IF(LEN(MONTH('Raw Data'!N345))=2,MONTH('Raw Data'!N345),CONCATENATE("0",MONTH('Raw Data'!N345)))),CONCATENATE(MONTH('Raw Data'!N345),".",RIGHT(YEAR('Raw Data'!N345),2))),'Raw Data'!N345))</f>
        <v>485.15</v>
      </c>
      <c r="O345" s="6">
        <f t="shared" si="16"/>
        <v>4.7619047619047716</v>
      </c>
      <c r="P345" s="6">
        <f t="shared" si="17"/>
        <v>24.25750000000005</v>
      </c>
      <c r="Q345">
        <f>VALUE(IF(AND(ISERR(FIND(".",'Raw Data'!Q345)),LEN('Raw Data'!Q345)=5), IF(YEAR('Raw Data'!Q345)=2026,CONCATENATE(DAY('Raw Data'!Q345),".",IF(LEN(MONTH('Raw Data'!Q345))=2,MONTH('Raw Data'!Q345),CONCATENATE(MONTH('Raw Data'!Q345)))),CONCATENATE(MONTH('Raw Data'!Q345),".",RIGHT(YEAR('Raw Data'!Q345),2))),'Raw Data'!Q345))</f>
        <v>9.3000000000000007</v>
      </c>
    </row>
    <row r="346" spans="1:17">
      <c r="A346" t="s">
        <v>432</v>
      </c>
      <c r="B346" t="s">
        <v>18</v>
      </c>
      <c r="C346" t="s">
        <v>19</v>
      </c>
      <c r="D346" t="s">
        <v>27</v>
      </c>
      <c r="E346" t="s">
        <v>30</v>
      </c>
      <c r="F346" t="s">
        <v>38</v>
      </c>
      <c r="G346">
        <f>VALUE(IF(AND(ISERR(FIND(".",'Raw Data'!G346)),LEN('Raw Data'!G346)=5), IF(YEAR('Raw Data'!G346)=2026,CONCATENATE(DAY('Raw Data'!G346),".",IF(LEN(MONTH('Raw Data'!G346))=2,MONTH('Raw Data'!G346),CONCATENATE("0",MONTH('Raw Data'!G346)))),CONCATENATE(MONTH('Raw Data'!G346),".",RIGHT(YEAR('Raw Data'!G346),2))),'Raw Data'!G346))</f>
        <v>44.65</v>
      </c>
      <c r="H346">
        <f>'Raw Data'!H346</f>
        <v>3</v>
      </c>
      <c r="I346" s="6">
        <f t="shared" si="15"/>
        <v>6.6975000000000193</v>
      </c>
      <c r="J346" s="6">
        <f>'Raw Data'!J346</f>
        <v>140.64750000000001</v>
      </c>
      <c r="K346" s="1">
        <f>VALUE(IFERROR(VALUE('Raw Data'!K346),CONCATENATE(MID('Raw Data'!K346,3,2),".","0",LEFT('Raw Data'!K346,1),".", RIGHT('Raw Data'!K346,4))))</f>
        <v>43510</v>
      </c>
      <c r="L346" s="2">
        <f>'Raw Data'!L346</f>
        <v>0.62777777777777777</v>
      </c>
      <c r="M346" t="s">
        <v>29</v>
      </c>
      <c r="N346">
        <f>VALUE(IF(AND(ISERR(FIND(".",'Raw Data'!N346)),LEN('Raw Data'!N346)=5), IF(YEAR('Raw Data'!N346)=2026,CONCATENATE(DAY('Raw Data'!N346),".",IF(LEN(MONTH('Raw Data'!N346))=2,MONTH('Raw Data'!N346),CONCATENATE("0",MONTH('Raw Data'!N346)))),CONCATENATE(MONTH('Raw Data'!N346),".",RIGHT(YEAR('Raw Data'!N346),2))),'Raw Data'!N346))</f>
        <v>133.94999999999999</v>
      </c>
      <c r="O346" s="6">
        <f t="shared" si="16"/>
        <v>4.7619047619047752</v>
      </c>
      <c r="P346" s="6">
        <f t="shared" si="17"/>
        <v>6.6975000000000193</v>
      </c>
      <c r="Q346">
        <f>VALUE(IF(AND(ISERR(FIND(".",'Raw Data'!Q346)),LEN('Raw Data'!Q346)=5), IF(YEAR('Raw Data'!Q346)=2026,CONCATENATE(DAY('Raw Data'!Q346),".",IF(LEN(MONTH('Raw Data'!Q346))=2,MONTH('Raw Data'!Q346),CONCATENATE(MONTH('Raw Data'!Q346)))),CONCATENATE(MONTH('Raw Data'!Q346),".",RIGHT(YEAR('Raw Data'!Q346),2))),'Raw Data'!Q346))</f>
        <v>6.2</v>
      </c>
    </row>
    <row r="347" spans="1:17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43</v>
      </c>
      <c r="G347">
        <f>VALUE(IF(AND(ISERR(FIND(".",'Raw Data'!G347)),LEN('Raw Data'!G347)=5), IF(YEAR('Raw Data'!G347)=2026,CONCATENATE(DAY('Raw Data'!G347),".",IF(LEN(MONTH('Raw Data'!G347))=2,MONTH('Raw Data'!G347),CONCATENATE("0",MONTH('Raw Data'!G347)))),CONCATENATE(MONTH('Raw Data'!G347),".",RIGHT(YEAR('Raw Data'!G347),2))),'Raw Data'!G347))</f>
        <v>77.930000000000007</v>
      </c>
      <c r="H347">
        <f>'Raw Data'!H347</f>
        <v>9</v>
      </c>
      <c r="I347" s="6">
        <f t="shared" si="15"/>
        <v>35.068499999999858</v>
      </c>
      <c r="J347" s="6">
        <f>'Raw Data'!J347</f>
        <v>736.43849999999998</v>
      </c>
      <c r="K347" s="1">
        <f>VALUE(IFERROR(VALUE('Raw Data'!K347),CONCATENATE(MID('Raw Data'!K347,3,2),".","0",LEFT('Raw Data'!K347,1),".", RIGHT('Raw Data'!K347,4))))</f>
        <v>43523</v>
      </c>
      <c r="L347" s="2">
        <f>'Raw Data'!L347</f>
        <v>0.67361111111111116</v>
      </c>
      <c r="M347" t="s">
        <v>23</v>
      </c>
      <c r="N347">
        <f>VALUE(IF(AND(ISERR(FIND(".",'Raw Data'!N347)),LEN('Raw Data'!N347)=5), IF(YEAR('Raw Data'!N347)=2026,CONCATENATE(DAY('Raw Data'!N347),".",IF(LEN(MONTH('Raw Data'!N347))=2,MONTH('Raw Data'!N347),CONCATENATE("0",MONTH('Raw Data'!N347)))),CONCATENATE(MONTH('Raw Data'!N347),".",RIGHT(YEAR('Raw Data'!N347),2))),'Raw Data'!N347))</f>
        <v>701.37</v>
      </c>
      <c r="O347" s="6">
        <f t="shared" si="16"/>
        <v>4.7619047619047583</v>
      </c>
      <c r="P347" s="6">
        <f t="shared" si="17"/>
        <v>35.068499999999972</v>
      </c>
      <c r="Q347">
        <f>VALUE(IF(AND(ISERR(FIND(".",'Raw Data'!Q347)),LEN('Raw Data'!Q347)=5), IF(YEAR('Raw Data'!Q347)=2026,CONCATENATE(DAY('Raw Data'!Q347),".",IF(LEN(MONTH('Raw Data'!Q347))=2,MONTH('Raw Data'!Q347),CONCATENATE(MONTH('Raw Data'!Q347)))),CONCATENATE(MONTH('Raw Data'!Q347),".",RIGHT(YEAR('Raw Data'!Q347),2))),'Raw Data'!Q347))</f>
        <v>7.6</v>
      </c>
    </row>
    <row r="348" spans="1:17">
      <c r="A348" t="s">
        <v>434</v>
      </c>
      <c r="B348" t="s">
        <v>18</v>
      </c>
      <c r="C348" t="s">
        <v>19</v>
      </c>
      <c r="D348" t="s">
        <v>20</v>
      </c>
      <c r="E348" t="s">
        <v>30</v>
      </c>
      <c r="F348" t="s">
        <v>28</v>
      </c>
      <c r="G348">
        <f>VALUE(IF(AND(ISERR(FIND(".",'Raw Data'!G348)),LEN('Raw Data'!G348)=5), IF(YEAR('Raw Data'!G348)=2026,CONCATENATE(DAY('Raw Data'!G348),".",IF(LEN(MONTH('Raw Data'!G348))=2,MONTH('Raw Data'!G348),CONCATENATE("0",MONTH('Raw Data'!G348)))),CONCATENATE(MONTH('Raw Data'!G348),".",RIGHT(YEAR('Raw Data'!G348),2))),'Raw Data'!G348))</f>
        <v>71.95</v>
      </c>
      <c r="H348">
        <f>'Raw Data'!H348</f>
        <v>1</v>
      </c>
      <c r="I348" s="6">
        <f t="shared" si="15"/>
        <v>3.5974999999999966</v>
      </c>
      <c r="J348" s="6">
        <f>'Raw Data'!J348</f>
        <v>75.547499999999999</v>
      </c>
      <c r="K348" s="1">
        <f>VALUE(IFERROR(VALUE('Raw Data'!K348),CONCATENATE(MID('Raw Data'!K348,3,2),".","0",LEFT('Raw Data'!K348,1),".", RIGHT('Raw Data'!K348,4))))</f>
        <v>43557</v>
      </c>
      <c r="L348" s="2">
        <f>'Raw Data'!L348</f>
        <v>0.50972222222222219</v>
      </c>
      <c r="M348" t="s">
        <v>29</v>
      </c>
      <c r="N348">
        <f>VALUE(IF(AND(ISERR(FIND(".",'Raw Data'!N348)),LEN('Raw Data'!N348)=5), IF(YEAR('Raw Data'!N348)=2026,CONCATENATE(DAY('Raw Data'!N348),".",IF(LEN(MONTH('Raw Data'!N348))=2,MONTH('Raw Data'!N348),CONCATENATE("0",MONTH('Raw Data'!N348)))),CONCATENATE(MONTH('Raw Data'!N348),".",RIGHT(YEAR('Raw Data'!N348),2))),'Raw Data'!N348))</f>
        <v>71.95</v>
      </c>
      <c r="O348" s="6">
        <f t="shared" si="16"/>
        <v>4.7619047619047574</v>
      </c>
      <c r="P348" s="6">
        <f t="shared" si="17"/>
        <v>3.5974999999999966</v>
      </c>
      <c r="Q348">
        <f>VALUE(IF(AND(ISERR(FIND(".",'Raw Data'!Q348)),LEN('Raw Data'!Q348)=5), IF(YEAR('Raw Data'!Q348)=2026,CONCATENATE(DAY('Raw Data'!Q348),".",IF(LEN(MONTH('Raw Data'!Q348))=2,MONTH('Raw Data'!Q348),CONCATENATE(MONTH('Raw Data'!Q348)))),CONCATENATE(MONTH('Raw Data'!Q348),".",RIGHT(YEAR('Raw Data'!Q348),2))),'Raw Data'!Q348))</f>
        <v>7.3</v>
      </c>
    </row>
    <row r="349" spans="1:17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f>VALUE(IF(AND(ISERR(FIND(".",'Raw Data'!G349)),LEN('Raw Data'!G349)=5), IF(YEAR('Raw Data'!G349)=2026,CONCATENATE(DAY('Raw Data'!G349),".",IF(LEN(MONTH('Raw Data'!G349))=2,MONTH('Raw Data'!G349),CONCATENATE("0",MONTH('Raw Data'!G349)))),CONCATENATE(MONTH('Raw Data'!G349),".",RIGHT(YEAR('Raw Data'!G349),2))),'Raw Data'!G349))</f>
        <v>89.25</v>
      </c>
      <c r="H349">
        <f>'Raw Data'!H349</f>
        <v>8</v>
      </c>
      <c r="I349" s="6">
        <f t="shared" si="15"/>
        <v>35.700000000000045</v>
      </c>
      <c r="J349" s="6">
        <f>'Raw Data'!J349</f>
        <v>749.7</v>
      </c>
      <c r="K349" s="1">
        <f>VALUE(IFERROR(VALUE('Raw Data'!K349),CONCATENATE(MID('Raw Data'!K349,3,2),".","0",LEFT('Raw Data'!K349,1),".", RIGHT('Raw Data'!K349,4))))</f>
        <v>43485</v>
      </c>
      <c r="L349" s="2">
        <f>'Raw Data'!L349</f>
        <v>0.42569444444444443</v>
      </c>
      <c r="M349" t="s">
        <v>29</v>
      </c>
      <c r="N349">
        <f>VALUE(IF(AND(ISERR(FIND(".",'Raw Data'!N349)),LEN('Raw Data'!N349)=5), IF(YEAR('Raw Data'!N349)=2026,CONCATENATE(DAY('Raw Data'!N349),".",IF(LEN(MONTH('Raw Data'!N349))=2,MONTH('Raw Data'!N349),CONCATENATE("0",MONTH('Raw Data'!N349)))),CONCATENATE(MONTH('Raw Data'!N349),".",RIGHT(YEAR('Raw Data'!N349),2))),'Raw Data'!N349))</f>
        <v>714</v>
      </c>
      <c r="O349" s="6">
        <f t="shared" si="16"/>
        <v>4.7619047619047681</v>
      </c>
      <c r="P349" s="6">
        <f t="shared" si="17"/>
        <v>35.700000000000045</v>
      </c>
      <c r="Q349">
        <f>VALUE(IF(AND(ISERR(FIND(".",'Raw Data'!Q349)),LEN('Raw Data'!Q349)=5), IF(YEAR('Raw Data'!Q349)=2026,CONCATENATE(DAY('Raw Data'!Q349),".",IF(LEN(MONTH('Raw Data'!Q349))=2,MONTH('Raw Data'!Q349),CONCATENATE(MONTH('Raw Data'!Q349)))),CONCATENATE(MONTH('Raw Data'!Q349),".",RIGHT(YEAR('Raw Data'!Q349),2))),'Raw Data'!Q349))</f>
        <v>4.7</v>
      </c>
    </row>
    <row r="350" spans="1:17">
      <c r="A350" t="s">
        <v>436</v>
      </c>
      <c r="B350" t="s">
        <v>18</v>
      </c>
      <c r="C350" t="s">
        <v>19</v>
      </c>
      <c r="D350" t="s">
        <v>27</v>
      </c>
      <c r="E350" t="s">
        <v>30</v>
      </c>
      <c r="F350" t="s">
        <v>28</v>
      </c>
      <c r="G350">
        <f>VALUE(IF(AND(ISERR(FIND(".",'Raw Data'!G350)),LEN('Raw Data'!G350)=5), IF(YEAR('Raw Data'!G350)=2026,CONCATENATE(DAY('Raw Data'!G350),".",IF(LEN(MONTH('Raw Data'!G350))=2,MONTH('Raw Data'!G350),CONCATENATE("0",MONTH('Raw Data'!G350)))),CONCATENATE(MONTH('Raw Data'!G350),".",RIGHT(YEAR('Raw Data'!G350),2))),'Raw Data'!G350))</f>
        <v>26.02</v>
      </c>
      <c r="H350">
        <f>'Raw Data'!H350</f>
        <v>7</v>
      </c>
      <c r="I350" s="6">
        <f t="shared" si="15"/>
        <v>9.1070000000000277</v>
      </c>
      <c r="J350" s="6">
        <f>'Raw Data'!J350</f>
        <v>191.24700000000001</v>
      </c>
      <c r="K350" s="1">
        <f>VALUE(IFERROR(VALUE('Raw Data'!K350),CONCATENATE(MID('Raw Data'!K350,3,2),".","0",LEFT('Raw Data'!K350,1),".", RIGHT('Raw Data'!K350,4))))</f>
        <v>43552</v>
      </c>
      <c r="L350" s="2">
        <f>'Raw Data'!L350</f>
        <v>0.73472222222222217</v>
      </c>
      <c r="M350" t="s">
        <v>29</v>
      </c>
      <c r="N350">
        <f>VALUE(IF(AND(ISERR(FIND(".",'Raw Data'!N350)),LEN('Raw Data'!N350)=5), IF(YEAR('Raw Data'!N350)=2026,CONCATENATE(DAY('Raw Data'!N350),".",IF(LEN(MONTH('Raw Data'!N350))=2,MONTH('Raw Data'!N350),CONCATENATE("0",MONTH('Raw Data'!N350)))),CONCATENATE(MONTH('Raw Data'!N350),".",RIGHT(YEAR('Raw Data'!N350),2))),'Raw Data'!N350))</f>
        <v>182.14</v>
      </c>
      <c r="O350" s="6">
        <f t="shared" si="16"/>
        <v>4.7619047619047761</v>
      </c>
      <c r="P350" s="6">
        <f t="shared" si="17"/>
        <v>9.1070000000000277</v>
      </c>
      <c r="Q350">
        <f>VALUE(IF(AND(ISERR(FIND(".",'Raw Data'!Q350)),LEN('Raw Data'!Q350)=5), IF(YEAR('Raw Data'!Q350)=2026,CONCATENATE(DAY('Raw Data'!Q350),".",IF(LEN(MONTH('Raw Data'!Q350))=2,MONTH('Raw Data'!Q350),CONCATENATE(MONTH('Raw Data'!Q350)))),CONCATENATE(MONTH('Raw Data'!Q350),".",RIGHT(YEAR('Raw Data'!Q350),2))),'Raw Data'!Q350))</f>
        <v>5.0999999999999996</v>
      </c>
    </row>
    <row r="351" spans="1:17">
      <c r="A351" t="s">
        <v>437</v>
      </c>
      <c r="B351" t="s">
        <v>34</v>
      </c>
      <c r="C351" t="s">
        <v>35</v>
      </c>
      <c r="D351" t="s">
        <v>27</v>
      </c>
      <c r="E351" t="s">
        <v>21</v>
      </c>
      <c r="F351" t="s">
        <v>22</v>
      </c>
      <c r="G351">
        <f>VALUE(IF(AND(ISERR(FIND(".",'Raw Data'!G351)),LEN('Raw Data'!G351)=5), IF(YEAR('Raw Data'!G351)=2026,CONCATENATE(DAY('Raw Data'!G351),".",IF(LEN(MONTH('Raw Data'!G351))=2,MONTH('Raw Data'!G351),CONCATENATE("0",MONTH('Raw Data'!G351)))),CONCATENATE(MONTH('Raw Data'!G351),".",RIGHT(YEAR('Raw Data'!G351),2))),'Raw Data'!G351))</f>
        <v>13.05</v>
      </c>
      <c r="H351">
        <f>'Raw Data'!H351</f>
        <v>10</v>
      </c>
      <c r="I351" s="6">
        <f t="shared" si="15"/>
        <v>11.25</v>
      </c>
      <c r="J351" s="6">
        <f>'Raw Data'!J351</f>
        <v>141.75</v>
      </c>
      <c r="K351" s="1">
        <f>VALUE(IFERROR(VALUE('Raw Data'!K351),CONCATENATE(MID('Raw Data'!K351,3,2),".","0",LEFT('Raw Data'!K351,1),".", RIGHT('Raw Data'!K351,4))))</f>
        <v>43523</v>
      </c>
      <c r="L351" s="2">
        <f>'Raw Data'!L351</f>
        <v>0.46249999999999997</v>
      </c>
      <c r="M351" t="s">
        <v>33</v>
      </c>
      <c r="N351">
        <f>VALUE(IF(AND(ISERR(FIND(".",'Raw Data'!N351)),LEN('Raw Data'!N351)=5), IF(YEAR('Raw Data'!N351)=2026,CONCATENATE(DAY('Raw Data'!N351),".",IF(LEN(MONTH('Raw Data'!N351))=2,MONTH('Raw Data'!N351),CONCATENATE("0",MONTH('Raw Data'!N351)))),CONCATENATE(MONTH('Raw Data'!N351),".",RIGHT(YEAR('Raw Data'!N351),2))),'Raw Data'!N351))</f>
        <v>135</v>
      </c>
      <c r="O351" s="6">
        <f t="shared" si="16"/>
        <v>4.7619047619047619</v>
      </c>
      <c r="P351" s="6">
        <f t="shared" si="17"/>
        <v>6.75</v>
      </c>
      <c r="Q351">
        <f>VALUE(IF(AND(ISERR(FIND(".",'Raw Data'!Q351)),LEN('Raw Data'!Q351)=5), IF(YEAR('Raw Data'!Q351)=2026,CONCATENATE(DAY('Raw Data'!Q351),".",IF(LEN(MONTH('Raw Data'!Q351))=2,MONTH('Raw Data'!Q351),CONCATENATE(MONTH('Raw Data'!Q351)))),CONCATENATE(MONTH('Raw Data'!Q351),".",RIGHT(YEAR('Raw Data'!Q351),2))),'Raw Data'!Q351))</f>
        <v>4.8</v>
      </c>
    </row>
    <row r="352" spans="1:17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43</v>
      </c>
      <c r="G352">
        <f>VALUE(IF(AND(ISERR(FIND(".",'Raw Data'!G352)),LEN('Raw Data'!G352)=5), IF(YEAR('Raw Data'!G352)=2026,CONCATENATE(DAY('Raw Data'!G352),".",IF(LEN(MONTH('Raw Data'!G352))=2,MONTH('Raw Data'!G352),CONCATENATE("0",MONTH('Raw Data'!G352)))),CONCATENATE(MONTH('Raw Data'!G352),".",RIGHT(YEAR('Raw Data'!G352),2))),'Raw Data'!G352))</f>
        <v>99.3</v>
      </c>
      <c r="H352">
        <f>'Raw Data'!H352</f>
        <v>10</v>
      </c>
      <c r="I352" s="6">
        <f t="shared" si="15"/>
        <v>49.650000000000091</v>
      </c>
      <c r="J352" s="6">
        <f>'Raw Data'!J352</f>
        <v>1042.6500000000001</v>
      </c>
      <c r="K352" s="1">
        <f>VALUE(IFERROR(VALUE('Raw Data'!K352),CONCATENATE(MID('Raw Data'!K352,3,2),".","0",LEFT('Raw Data'!K352,1),".", RIGHT('Raw Data'!K352,4))))</f>
        <v>43511</v>
      </c>
      <c r="L352" s="2">
        <f>'Raw Data'!L352</f>
        <v>0.62013888888888891</v>
      </c>
      <c r="M352" t="s">
        <v>33</v>
      </c>
      <c r="N352">
        <f>VALUE(IF(AND(ISERR(FIND(".",'Raw Data'!N352)),LEN('Raw Data'!N352)=5), IF(YEAR('Raw Data'!N352)=2026,CONCATENATE(DAY('Raw Data'!N352),".",IF(LEN(MONTH('Raw Data'!N352))=2,MONTH('Raw Data'!N352),CONCATENATE("0",MONTH('Raw Data'!N352)))),CONCATENATE(MONTH('Raw Data'!N352),".",RIGHT(YEAR('Raw Data'!N352),2))),'Raw Data'!N352))</f>
        <v>993</v>
      </c>
      <c r="O352" s="6">
        <f t="shared" si="16"/>
        <v>4.7619047619047699</v>
      </c>
      <c r="P352" s="6">
        <f t="shared" si="17"/>
        <v>49.650000000000091</v>
      </c>
      <c r="Q352">
        <f>VALUE(IF(AND(ISERR(FIND(".",'Raw Data'!Q352)),LEN('Raw Data'!Q352)=5), IF(YEAR('Raw Data'!Q352)=2026,CONCATENATE(DAY('Raw Data'!Q352),".",IF(LEN(MONTH('Raw Data'!Q352))=2,MONTH('Raw Data'!Q352),CONCATENATE(MONTH('Raw Data'!Q352)))),CONCATENATE(MONTH('Raw Data'!Q352),".",RIGHT(YEAR('Raw Data'!Q352),2))),'Raw Data'!Q352))</f>
        <v>6.6</v>
      </c>
    </row>
    <row r="353" spans="1:17">
      <c r="A353" t="s">
        <v>439</v>
      </c>
      <c r="B353" t="s">
        <v>18</v>
      </c>
      <c r="C353" t="s">
        <v>19</v>
      </c>
      <c r="D353" t="s">
        <v>27</v>
      </c>
      <c r="E353" t="s">
        <v>30</v>
      </c>
      <c r="F353" t="s">
        <v>28</v>
      </c>
      <c r="G353">
        <f>VALUE(IF(AND(ISERR(FIND(".",'Raw Data'!G353)),LEN('Raw Data'!G353)=5), IF(YEAR('Raw Data'!G353)=2026,CONCATENATE(DAY('Raw Data'!G353),".",IF(LEN(MONTH('Raw Data'!G353))=2,MONTH('Raw Data'!G353),CONCATENATE("0",MONTH('Raw Data'!G353)))),CONCATENATE(MONTH('Raw Data'!G353),".",RIGHT(YEAR('Raw Data'!G353),2))),'Raw Data'!G353))</f>
        <v>51.69</v>
      </c>
      <c r="H353">
        <f>'Raw Data'!H353</f>
        <v>7</v>
      </c>
      <c r="I353" s="6">
        <f t="shared" si="15"/>
        <v>18.091499999999996</v>
      </c>
      <c r="J353" s="6">
        <f>'Raw Data'!J353</f>
        <v>379.92149999999998</v>
      </c>
      <c r="K353" s="1">
        <f>VALUE(IFERROR(VALUE('Raw Data'!K353),CONCATENATE(MID('Raw Data'!K353,3,2),".","0",LEFT('Raw Data'!K353,1),".", RIGHT('Raw Data'!K353,4))))</f>
        <v>43491</v>
      </c>
      <c r="L353" s="2">
        <f>'Raw Data'!L353</f>
        <v>0.76527777777777783</v>
      </c>
      <c r="M353" t="s">
        <v>29</v>
      </c>
      <c r="N353">
        <f>VALUE(IF(AND(ISERR(FIND(".",'Raw Data'!N353)),LEN('Raw Data'!N353)=5), IF(YEAR('Raw Data'!N353)=2026,CONCATENATE(DAY('Raw Data'!N353),".",IF(LEN(MONTH('Raw Data'!N353))=2,MONTH('Raw Data'!N353),CONCATENATE("0",MONTH('Raw Data'!N353)))),CONCATENATE(MONTH('Raw Data'!N353),".",RIGHT(YEAR('Raw Data'!N353),2))),'Raw Data'!N353))</f>
        <v>361.83</v>
      </c>
      <c r="O353" s="6">
        <f t="shared" si="16"/>
        <v>4.761904761904761</v>
      </c>
      <c r="P353" s="6">
        <f t="shared" si="17"/>
        <v>18.091499999999996</v>
      </c>
      <c r="Q353">
        <f>VALUE(IF(AND(ISERR(FIND(".",'Raw Data'!Q353)),LEN('Raw Data'!Q353)=5), IF(YEAR('Raw Data'!Q353)=2026,CONCATENATE(DAY('Raw Data'!Q353),".",IF(LEN(MONTH('Raw Data'!Q353))=2,MONTH('Raw Data'!Q353),CONCATENATE(MONTH('Raw Data'!Q353)))),CONCATENATE(MONTH('Raw Data'!Q353),".",RIGHT(YEAR('Raw Data'!Q353),2))),'Raw Data'!Q353))</f>
        <v>5.5</v>
      </c>
    </row>
    <row r="354" spans="1:17">
      <c r="A354" t="s">
        <v>440</v>
      </c>
      <c r="B354" t="s">
        <v>34</v>
      </c>
      <c r="C354" t="s">
        <v>35</v>
      </c>
      <c r="D354" t="s">
        <v>20</v>
      </c>
      <c r="E354" t="s">
        <v>21</v>
      </c>
      <c r="F354" t="s">
        <v>43</v>
      </c>
      <c r="G354">
        <f>VALUE(IF(AND(ISERR(FIND(".",'Raw Data'!G354)),LEN('Raw Data'!G354)=5), IF(YEAR('Raw Data'!G354)=2026,CONCATENATE(DAY('Raw Data'!G354),".",IF(LEN(MONTH('Raw Data'!G354))=2,MONTH('Raw Data'!G354),CONCATENATE("0",MONTH('Raw Data'!G354)))),CONCATENATE(MONTH('Raw Data'!G354),".",RIGHT(YEAR('Raw Data'!G354),2))),'Raw Data'!G354))</f>
        <v>54.73</v>
      </c>
      <c r="H354">
        <f>'Raw Data'!H354</f>
        <v>7</v>
      </c>
      <c r="I354" s="6">
        <f t="shared" si="15"/>
        <v>19.155500000000018</v>
      </c>
      <c r="J354" s="6">
        <f>'Raw Data'!J354</f>
        <v>402.26549999999997</v>
      </c>
      <c r="K354" s="1">
        <f>VALUE(IFERROR(VALUE('Raw Data'!K354),CONCATENATE(MID('Raw Data'!K354,3,2),".","0",LEFT('Raw Data'!K354,1),".", RIGHT('Raw Data'!K354,4))))</f>
        <v>43538</v>
      </c>
      <c r="L354" s="2">
        <f>'Raw Data'!L354</f>
        <v>0.79305555555555562</v>
      </c>
      <c r="M354" t="s">
        <v>33</v>
      </c>
      <c r="N354">
        <f>VALUE(IF(AND(ISERR(FIND(".",'Raw Data'!N354)),LEN('Raw Data'!N354)=5), IF(YEAR('Raw Data'!N354)=2026,CONCATENATE(DAY('Raw Data'!N354),".",IF(LEN(MONTH('Raw Data'!N354))=2,MONTH('Raw Data'!N354),CONCATENATE("0",MONTH('Raw Data'!N354)))),CONCATENATE(MONTH('Raw Data'!N354),".",RIGHT(YEAR('Raw Data'!N354),2))),'Raw Data'!N354))</f>
        <v>383.11</v>
      </c>
      <c r="O354" s="6">
        <f t="shared" si="16"/>
        <v>4.761904761904753</v>
      </c>
      <c r="P354" s="6">
        <f t="shared" si="17"/>
        <v>19.155499999999961</v>
      </c>
      <c r="Q354">
        <f>VALUE(IF(AND(ISERR(FIND(".",'Raw Data'!Q354)),LEN('Raw Data'!Q354)=5), IF(YEAR('Raw Data'!Q354)=2026,CONCATENATE(DAY('Raw Data'!Q354),".",IF(LEN(MONTH('Raw Data'!Q354))=2,MONTH('Raw Data'!Q354),CONCATENATE(MONTH('Raw Data'!Q354)))),CONCATENATE(MONTH('Raw Data'!Q354),".",RIGHT(YEAR('Raw Data'!Q354),2))),'Raw Data'!Q354))</f>
        <v>8.5</v>
      </c>
    </row>
    <row r="355" spans="1:17">
      <c r="A355" t="s">
        <v>441</v>
      </c>
      <c r="B355" t="s">
        <v>34</v>
      </c>
      <c r="C355" t="s">
        <v>35</v>
      </c>
      <c r="D355" t="s">
        <v>20</v>
      </c>
      <c r="E355" t="s">
        <v>30</v>
      </c>
      <c r="F355" t="s">
        <v>32</v>
      </c>
      <c r="G355">
        <f>VALUE(IF(AND(ISERR(FIND(".",'Raw Data'!G355)),LEN('Raw Data'!G355)=5), IF(YEAR('Raw Data'!G355)=2026,CONCATENATE(DAY('Raw Data'!G355),".",IF(LEN(MONTH('Raw Data'!G355))=2,MONTH('Raw Data'!G355),CONCATENATE("0",MONTH('Raw Data'!G355)))),CONCATENATE(MONTH('Raw Data'!G355),".",RIGHT(YEAR('Raw Data'!G355),2))),'Raw Data'!G355))</f>
        <v>27</v>
      </c>
      <c r="H355">
        <f>'Raw Data'!H355</f>
        <v>9</v>
      </c>
      <c r="I355" s="6">
        <f t="shared" si="15"/>
        <v>12.150000000000006</v>
      </c>
      <c r="J355" s="6">
        <f>'Raw Data'!J355</f>
        <v>255.15</v>
      </c>
      <c r="K355" s="1">
        <f>VALUE(IFERROR(VALUE('Raw Data'!K355),CONCATENATE(MID('Raw Data'!K355,3,2),".","0",LEFT('Raw Data'!K355,1),".", RIGHT('Raw Data'!K355,4))))</f>
        <v>43499</v>
      </c>
      <c r="L355" s="2">
        <f>'Raw Data'!L355</f>
        <v>0.59444444444444444</v>
      </c>
      <c r="M355" t="s">
        <v>29</v>
      </c>
      <c r="N355">
        <f>VALUE(IF(AND(ISERR(FIND(".",'Raw Data'!N355)),LEN('Raw Data'!N355)=5), IF(YEAR('Raw Data'!N355)=2026,CONCATENATE(DAY('Raw Data'!N355),".",IF(LEN(MONTH('Raw Data'!N355))=2,MONTH('Raw Data'!N355),CONCATENATE("0",MONTH('Raw Data'!N355)))),CONCATENATE(MONTH('Raw Data'!N355),".",RIGHT(YEAR('Raw Data'!N355),2))),'Raw Data'!N355))</f>
        <v>243</v>
      </c>
      <c r="O355" s="6">
        <f t="shared" si="16"/>
        <v>4.7619047619047636</v>
      </c>
      <c r="P355" s="6">
        <f t="shared" si="17"/>
        <v>12.150000000000006</v>
      </c>
      <c r="Q355">
        <f>VALUE(IF(AND(ISERR(FIND(".",'Raw Data'!Q355)),LEN('Raw Data'!Q355)=5), IF(YEAR('Raw Data'!Q355)=2026,CONCATENATE(DAY('Raw Data'!Q355),".",IF(LEN(MONTH('Raw Data'!Q355))=2,MONTH('Raw Data'!Q355),CONCATENATE(MONTH('Raw Data'!Q355)))),CONCATENATE(MONTH('Raw Data'!Q355),".",RIGHT(YEAR('Raw Data'!Q355),2))),'Raw Data'!Q355))</f>
        <v>4.8</v>
      </c>
    </row>
    <row r="356" spans="1:17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f>VALUE(IF(AND(ISERR(FIND(".",'Raw Data'!G356)),LEN('Raw Data'!G356)=5), IF(YEAR('Raw Data'!G356)=2026,CONCATENATE(DAY('Raw Data'!G356),".",IF(LEN(MONTH('Raw Data'!G356))=2,MONTH('Raw Data'!G356),CONCATENATE("0",MONTH('Raw Data'!G356)))),CONCATENATE(MONTH('Raw Data'!G356),".",RIGHT(YEAR('Raw Data'!G356),2))),'Raw Data'!G356))</f>
        <v>30.24</v>
      </c>
      <c r="H356">
        <f>'Raw Data'!H356</f>
        <v>1</v>
      </c>
      <c r="I356" s="6">
        <f t="shared" si="15"/>
        <v>1.5120000000000005</v>
      </c>
      <c r="J356" s="6">
        <f>'Raw Data'!J356</f>
        <v>31.751999999999999</v>
      </c>
      <c r="K356" s="1">
        <f>VALUE(IFERROR(VALUE('Raw Data'!K356),CONCATENATE(MID('Raw Data'!K356,3,2),".","0",LEFT('Raw Data'!K356,1),".", RIGHT('Raw Data'!K356,4))))</f>
        <v>43558</v>
      </c>
      <c r="L356" s="2">
        <f>'Raw Data'!L356</f>
        <v>0.65555555555555556</v>
      </c>
      <c r="M356" t="s">
        <v>29</v>
      </c>
      <c r="N356">
        <f>VALUE(IF(AND(ISERR(FIND(".",'Raw Data'!N356)),LEN('Raw Data'!N356)=5), IF(YEAR('Raw Data'!N356)=2026,CONCATENATE(DAY('Raw Data'!N356),".",IF(LEN(MONTH('Raw Data'!N356))=2,MONTH('Raw Data'!N356),CONCATENATE("0",MONTH('Raw Data'!N356)))),CONCATENATE(MONTH('Raw Data'!N356),".",RIGHT(YEAR('Raw Data'!N356),2))),'Raw Data'!N356))</f>
        <v>30.24</v>
      </c>
      <c r="O356" s="6">
        <f t="shared" si="16"/>
        <v>4.7619047619047636</v>
      </c>
      <c r="P356" s="6">
        <f t="shared" si="17"/>
        <v>1.5120000000000005</v>
      </c>
      <c r="Q356">
        <f>VALUE(IF(AND(ISERR(FIND(".",'Raw Data'!Q356)),LEN('Raw Data'!Q356)=5), IF(YEAR('Raw Data'!Q356)=2026,CONCATENATE(DAY('Raw Data'!Q356),".",IF(LEN(MONTH('Raw Data'!Q356))=2,MONTH('Raw Data'!Q356),CONCATENATE(MONTH('Raw Data'!Q356)))),CONCATENATE(MONTH('Raw Data'!Q356),".",RIGHT(YEAR('Raw Data'!Q356),2))),'Raw Data'!Q356))</f>
        <v>8.4</v>
      </c>
    </row>
    <row r="357" spans="1:17">
      <c r="A357" t="s">
        <v>443</v>
      </c>
      <c r="B357" t="s">
        <v>34</v>
      </c>
      <c r="C357" t="s">
        <v>35</v>
      </c>
      <c r="D357" t="s">
        <v>20</v>
      </c>
      <c r="E357" t="s">
        <v>21</v>
      </c>
      <c r="F357" t="s">
        <v>40</v>
      </c>
      <c r="G357">
        <f>VALUE(IF(AND(ISERR(FIND(".",'Raw Data'!G357)),LEN('Raw Data'!G357)=5), IF(YEAR('Raw Data'!G357)=2026,CONCATENATE(DAY('Raw Data'!G357),".",IF(LEN(MONTH('Raw Data'!G357))=2,MONTH('Raw Data'!G357),CONCATENATE("0",MONTH('Raw Data'!G357)))),CONCATENATE(MONTH('Raw Data'!G357),".",RIGHT(YEAR('Raw Data'!G357),2))),'Raw Data'!G357))</f>
        <v>89.14</v>
      </c>
      <c r="H357">
        <f>'Raw Data'!H357</f>
        <v>4</v>
      </c>
      <c r="I357" s="6">
        <f t="shared" si="15"/>
        <v>17.827999999999975</v>
      </c>
      <c r="J357" s="6">
        <f>'Raw Data'!J357</f>
        <v>374.38799999999998</v>
      </c>
      <c r="K357" s="1">
        <f>VALUE(IFERROR(VALUE('Raw Data'!K357),CONCATENATE(MID('Raw Data'!K357,3,2),".","0",LEFT('Raw Data'!K357,1),".", RIGHT('Raw Data'!K357,4))))</f>
        <v>43647</v>
      </c>
      <c r="L357" s="2">
        <f>'Raw Data'!L357</f>
        <v>0.51388888888888895</v>
      </c>
      <c r="M357" t="s">
        <v>33</v>
      </c>
      <c r="N357">
        <f>VALUE(IF(AND(ISERR(FIND(".",'Raw Data'!N357)),LEN('Raw Data'!N357)=5), IF(YEAR('Raw Data'!N357)=2026,CONCATENATE(DAY('Raw Data'!N357),".",IF(LEN(MONTH('Raw Data'!N357))=2,MONTH('Raw Data'!N357),CONCATENATE("0",MONTH('Raw Data'!N357)))),CONCATENATE(MONTH('Raw Data'!N357),".",RIGHT(YEAR('Raw Data'!N357),2))),'Raw Data'!N357))</f>
        <v>356.56</v>
      </c>
      <c r="O357" s="6">
        <f t="shared" si="16"/>
        <v>4.7619047619047556</v>
      </c>
      <c r="P357" s="6">
        <f t="shared" si="17"/>
        <v>17.827999999999975</v>
      </c>
      <c r="Q357">
        <f>VALUE(IF(AND(ISERR(FIND(".",'Raw Data'!Q357)),LEN('Raw Data'!Q357)=5), IF(YEAR('Raw Data'!Q357)=2026,CONCATENATE(DAY('Raw Data'!Q357),".",IF(LEN(MONTH('Raw Data'!Q357))=2,MONTH('Raw Data'!Q357),CONCATENATE(MONTH('Raw Data'!Q357)))),CONCATENATE(MONTH('Raw Data'!Q357),".",RIGHT(YEAR('Raw Data'!Q357),2))),'Raw Data'!Q357))</f>
        <v>7.8</v>
      </c>
    </row>
    <row r="358" spans="1:17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43</v>
      </c>
      <c r="G358">
        <f>VALUE(IF(AND(ISERR(FIND(".",'Raw Data'!G358)),LEN('Raw Data'!G358)=5), IF(YEAR('Raw Data'!G358)=2026,CONCATENATE(DAY('Raw Data'!G358),".",IF(LEN(MONTH('Raw Data'!G358))=2,MONTH('Raw Data'!G358),CONCATENATE("0",MONTH('Raw Data'!G358)))),CONCATENATE(MONTH('Raw Data'!G358),".",RIGHT(YEAR('Raw Data'!G358),2))),'Raw Data'!G358))</f>
        <v>37.549999999999997</v>
      </c>
      <c r="H358">
        <f>'Raw Data'!H358</f>
        <v>10</v>
      </c>
      <c r="I358" s="6">
        <f t="shared" si="15"/>
        <v>18.774999999999977</v>
      </c>
      <c r="J358" s="6">
        <f>'Raw Data'!J358</f>
        <v>394.27499999999998</v>
      </c>
      <c r="K358" s="1">
        <f>VALUE(IFERROR(VALUE('Raw Data'!K358),CONCATENATE(MID('Raw Data'!K358,3,2),".","0",LEFT('Raw Data'!K358,1),".", RIGHT('Raw Data'!K358,4))))</f>
        <v>43680</v>
      </c>
      <c r="L358" s="2">
        <f>'Raw Data'!L358</f>
        <v>0.8340277777777777</v>
      </c>
      <c r="M358" t="s">
        <v>33</v>
      </c>
      <c r="N358">
        <f>VALUE(IF(AND(ISERR(FIND(".",'Raw Data'!N358)),LEN('Raw Data'!N358)=5), IF(YEAR('Raw Data'!N358)=2026,CONCATENATE(DAY('Raw Data'!N358),".",IF(LEN(MONTH('Raw Data'!N358))=2,MONTH('Raw Data'!N358),CONCATENATE("0",MONTH('Raw Data'!N358)))),CONCATENATE(MONTH('Raw Data'!N358),".",RIGHT(YEAR('Raw Data'!N358),2))),'Raw Data'!N358))</f>
        <v>375.5</v>
      </c>
      <c r="O358" s="6">
        <f t="shared" si="16"/>
        <v>4.7619047619047556</v>
      </c>
      <c r="P358" s="6">
        <f t="shared" si="17"/>
        <v>18.774999999999977</v>
      </c>
      <c r="Q358">
        <f>VALUE(IF(AND(ISERR(FIND(".",'Raw Data'!Q358)),LEN('Raw Data'!Q358)=5), IF(YEAR('Raw Data'!Q358)=2026,CONCATENATE(DAY('Raw Data'!Q358),".",IF(LEN(MONTH('Raw Data'!Q358))=2,MONTH('Raw Data'!Q358),CONCATENATE(MONTH('Raw Data'!Q358)))),CONCATENATE(MONTH('Raw Data'!Q358),".",RIGHT(YEAR('Raw Data'!Q358),2))),'Raw Data'!Q358))</f>
        <v>9.3000000000000007</v>
      </c>
    </row>
    <row r="359" spans="1:17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38</v>
      </c>
      <c r="G359">
        <f>VALUE(IF(AND(ISERR(FIND(".",'Raw Data'!G359)),LEN('Raw Data'!G359)=5), IF(YEAR('Raw Data'!G359)=2026,CONCATENATE(DAY('Raw Data'!G359),".",IF(LEN(MONTH('Raw Data'!G359))=2,MONTH('Raw Data'!G359),CONCATENATE("0",MONTH('Raw Data'!G359)))),CONCATENATE(MONTH('Raw Data'!G359),".",RIGHT(YEAR('Raw Data'!G359),2))),'Raw Data'!G359))</f>
        <v>95.44</v>
      </c>
      <c r="H359">
        <f>'Raw Data'!H359</f>
        <v>10</v>
      </c>
      <c r="I359" s="6">
        <f t="shared" si="15"/>
        <v>47.720000000000027</v>
      </c>
      <c r="J359" s="6">
        <f>'Raw Data'!J359</f>
        <v>1002.12</v>
      </c>
      <c r="K359" s="1">
        <f>VALUE(IFERROR(VALUE('Raw Data'!K359),CONCATENATE(MID('Raw Data'!K359,3,2),".","0",LEFT('Raw Data'!K359,1),".", RIGHT('Raw Data'!K359,4))))</f>
        <v>43709</v>
      </c>
      <c r="L359" s="2">
        <f>'Raw Data'!L359</f>
        <v>0.57291666666666663</v>
      </c>
      <c r="M359" t="s">
        <v>29</v>
      </c>
      <c r="N359">
        <f>VALUE(IF(AND(ISERR(FIND(".",'Raw Data'!N359)),LEN('Raw Data'!N359)=5), IF(YEAR('Raw Data'!N359)=2026,CONCATENATE(DAY('Raw Data'!N359),".",IF(LEN(MONTH('Raw Data'!N359))=2,MONTH('Raw Data'!N359),CONCATENATE("0",MONTH('Raw Data'!N359)))),CONCATENATE(MONTH('Raw Data'!N359),".",RIGHT(YEAR('Raw Data'!N359),2))),'Raw Data'!N359))</f>
        <v>954.4</v>
      </c>
      <c r="O359" s="6">
        <f t="shared" si="16"/>
        <v>4.7619047619047645</v>
      </c>
      <c r="P359" s="6">
        <f t="shared" si="17"/>
        <v>47.720000000000027</v>
      </c>
      <c r="Q359">
        <f>VALUE(IF(AND(ISERR(FIND(".",'Raw Data'!Q359)),LEN('Raw Data'!Q359)=5), IF(YEAR('Raw Data'!Q359)=2026,CONCATENATE(DAY('Raw Data'!Q359),".",IF(LEN(MONTH('Raw Data'!Q359))=2,MONTH('Raw Data'!Q359),CONCATENATE(MONTH('Raw Data'!Q359)))),CONCATENATE(MONTH('Raw Data'!Q359),".",RIGHT(YEAR('Raw Data'!Q359),2))),'Raw Data'!Q359))</f>
        <v>5.2</v>
      </c>
    </row>
    <row r="360" spans="1:17">
      <c r="A360" t="s">
        <v>446</v>
      </c>
      <c r="B360" t="s">
        <v>34</v>
      </c>
      <c r="C360" t="s">
        <v>35</v>
      </c>
      <c r="D360" t="s">
        <v>27</v>
      </c>
      <c r="E360" t="s">
        <v>30</v>
      </c>
      <c r="F360" t="s">
        <v>28</v>
      </c>
      <c r="G360">
        <f>VALUE(IF(AND(ISERR(FIND(".",'Raw Data'!G360)),LEN('Raw Data'!G360)=5), IF(YEAR('Raw Data'!G360)=2026,CONCATENATE(DAY('Raw Data'!G360),".",IF(LEN(MONTH('Raw Data'!G360))=2,MONTH('Raw Data'!G360),CONCATENATE("0",MONTH('Raw Data'!G360)))),CONCATENATE(MONTH('Raw Data'!G360),".",RIGHT(YEAR('Raw Data'!G360),2))),'Raw Data'!G360))</f>
        <v>27.05</v>
      </c>
      <c r="H360">
        <f>'Raw Data'!H360</f>
        <v>3</v>
      </c>
      <c r="I360" s="6">
        <f t="shared" si="15"/>
        <v>5.4749999999999943</v>
      </c>
      <c r="J360" s="6">
        <f>'Raw Data'!J360</f>
        <v>86.625</v>
      </c>
      <c r="K360" s="1">
        <f>VALUE(IFERROR(VALUE('Raw Data'!K360),CONCATENATE(MID('Raw Data'!K360,3,2),".","0",LEFT('Raw Data'!K360,1),".", RIGHT('Raw Data'!K360,4))))</f>
        <v>43468</v>
      </c>
      <c r="L360" s="2">
        <f>'Raw Data'!L360</f>
        <v>0.65277777777777779</v>
      </c>
      <c r="M360" t="s">
        <v>23</v>
      </c>
      <c r="N360">
        <f>VALUE(IF(AND(ISERR(FIND(".",'Raw Data'!N360)),LEN('Raw Data'!N360)=5), IF(YEAR('Raw Data'!N360)=2026,CONCATENATE(DAY('Raw Data'!N360),".",IF(LEN(MONTH('Raw Data'!N360))=2,MONTH('Raw Data'!N360),CONCATENATE("0",MONTH('Raw Data'!N360)))),CONCATENATE(MONTH('Raw Data'!N360),".",RIGHT(YEAR('Raw Data'!N360),2))),'Raw Data'!N360))</f>
        <v>82.5</v>
      </c>
      <c r="O360" s="6">
        <f t="shared" si="16"/>
        <v>4.7619047619047619</v>
      </c>
      <c r="P360" s="6">
        <f t="shared" si="17"/>
        <v>4.125</v>
      </c>
      <c r="Q360">
        <f>VALUE(IF(AND(ISERR(FIND(".",'Raw Data'!Q360)),LEN('Raw Data'!Q360)=5), IF(YEAR('Raw Data'!Q360)=2026,CONCATENATE(DAY('Raw Data'!Q360),".",IF(LEN(MONTH('Raw Data'!Q360))=2,MONTH('Raw Data'!Q360),CONCATENATE(MONTH('Raw Data'!Q360)))),CONCATENATE(MONTH('Raw Data'!Q360),".",RIGHT(YEAR('Raw Data'!Q360),2))),'Raw Data'!Q360))</f>
        <v>6.5</v>
      </c>
    </row>
    <row r="361" spans="1:17">
      <c r="A361" t="s">
        <v>447</v>
      </c>
      <c r="B361" t="s">
        <v>34</v>
      </c>
      <c r="C361" t="s">
        <v>35</v>
      </c>
      <c r="D361" t="s">
        <v>27</v>
      </c>
      <c r="E361" t="s">
        <v>30</v>
      </c>
      <c r="F361" t="s">
        <v>38</v>
      </c>
      <c r="G361">
        <f>VALUE(IF(AND(ISERR(FIND(".",'Raw Data'!G361)),LEN('Raw Data'!G361)=5), IF(YEAR('Raw Data'!G361)=2026,CONCATENATE(DAY('Raw Data'!G361),".",IF(LEN(MONTH('Raw Data'!G361))=2,MONTH('Raw Data'!G361),CONCATENATE("0",MONTH('Raw Data'!G361)))),CONCATENATE(MONTH('Raw Data'!G361),".",RIGHT(YEAR('Raw Data'!G361),2))),'Raw Data'!G361))</f>
        <v>74.97</v>
      </c>
      <c r="H361">
        <f>'Raw Data'!H361</f>
        <v>1</v>
      </c>
      <c r="I361" s="6">
        <f t="shared" si="15"/>
        <v>3.748500000000007</v>
      </c>
      <c r="J361" s="6">
        <f>'Raw Data'!J361</f>
        <v>78.718500000000006</v>
      </c>
      <c r="K361" s="1">
        <f>VALUE(IFERROR(VALUE('Raw Data'!K361),CONCATENATE(MID('Raw Data'!K361,3,2),".","0",LEFT('Raw Data'!K361,1),".", RIGHT('Raw Data'!K361,4))))</f>
        <v>43540</v>
      </c>
      <c r="L361" s="2">
        <f>'Raw Data'!L361</f>
        <v>0.70694444444444438</v>
      </c>
      <c r="M361" t="s">
        <v>29</v>
      </c>
      <c r="N361">
        <f>VALUE(IF(AND(ISERR(FIND(".",'Raw Data'!N361)),LEN('Raw Data'!N361)=5), IF(YEAR('Raw Data'!N361)=2026,CONCATENATE(DAY('Raw Data'!N361),".",IF(LEN(MONTH('Raw Data'!N361))=2,MONTH('Raw Data'!N361),CONCATENATE("0",MONTH('Raw Data'!N361)))),CONCATENATE(MONTH('Raw Data'!N361),".",RIGHT(YEAR('Raw Data'!N361),2))),'Raw Data'!N361))</f>
        <v>74.97</v>
      </c>
      <c r="O361" s="6">
        <f t="shared" si="16"/>
        <v>4.7619047619047707</v>
      </c>
      <c r="P361" s="6">
        <f t="shared" si="17"/>
        <v>3.748500000000007</v>
      </c>
      <c r="Q361">
        <f>VALUE(IF(AND(ISERR(FIND(".",'Raw Data'!Q361)),LEN('Raw Data'!Q361)=5), IF(YEAR('Raw Data'!Q361)=2026,CONCATENATE(DAY('Raw Data'!Q361),".",IF(LEN(MONTH('Raw Data'!Q361))=2,MONTH('Raw Data'!Q361),CONCATENATE(MONTH('Raw Data'!Q361)))),CONCATENATE(MONTH('Raw Data'!Q361),".",RIGHT(YEAR('Raw Data'!Q361),2))),'Raw Data'!Q361))</f>
        <v>5.6</v>
      </c>
    </row>
    <row r="362" spans="1:17">
      <c r="A362" t="s">
        <v>448</v>
      </c>
      <c r="B362" t="s">
        <v>18</v>
      </c>
      <c r="C362" t="s">
        <v>19</v>
      </c>
      <c r="D362" t="s">
        <v>20</v>
      </c>
      <c r="E362" t="s">
        <v>30</v>
      </c>
      <c r="F362" t="s">
        <v>40</v>
      </c>
      <c r="G362">
        <f>VALUE(IF(AND(ISERR(FIND(".",'Raw Data'!G362)),LEN('Raw Data'!G362)=5), IF(YEAR('Raw Data'!G362)=2026,CONCATENATE(DAY('Raw Data'!G362),".",IF(LEN(MONTH('Raw Data'!G362))=2,MONTH('Raw Data'!G362),CONCATENATE("0",MONTH('Raw Data'!G362)))),CONCATENATE(MONTH('Raw Data'!G362),".",RIGHT(YEAR('Raw Data'!G362),2))),'Raw Data'!G362))</f>
        <v>80.959999999999994</v>
      </c>
      <c r="H362">
        <f>'Raw Data'!H362</f>
        <v>8</v>
      </c>
      <c r="I362" s="6">
        <f t="shared" si="15"/>
        <v>32.384000000000015</v>
      </c>
      <c r="J362" s="6">
        <f>'Raw Data'!J362</f>
        <v>680.06399999999996</v>
      </c>
      <c r="K362" s="1">
        <f>VALUE(IFERROR(VALUE('Raw Data'!K362),CONCATENATE(MID('Raw Data'!K362,3,2),".","0",LEFT('Raw Data'!K362,1),".", RIGHT('Raw Data'!K362,4))))</f>
        <v>43513</v>
      </c>
      <c r="L362" s="2">
        <f>'Raw Data'!L362</f>
        <v>0.46666666666666662</v>
      </c>
      <c r="M362" t="s">
        <v>33</v>
      </c>
      <c r="N362">
        <f>VALUE(IF(AND(ISERR(FIND(".",'Raw Data'!N362)),LEN('Raw Data'!N362)=5), IF(YEAR('Raw Data'!N362)=2026,CONCATENATE(DAY('Raw Data'!N362),".",IF(LEN(MONTH('Raw Data'!N362))=2,MONTH('Raw Data'!N362),CONCATENATE("0",MONTH('Raw Data'!N362)))),CONCATENATE(MONTH('Raw Data'!N362),".",RIGHT(YEAR('Raw Data'!N362),2))),'Raw Data'!N362))</f>
        <v>647.67999999999995</v>
      </c>
      <c r="O362" s="6">
        <f t="shared" si="16"/>
        <v>4.7619047619047645</v>
      </c>
      <c r="P362" s="6">
        <f t="shared" si="17"/>
        <v>32.384000000000015</v>
      </c>
      <c r="Q362">
        <f>VALUE(IF(AND(ISERR(FIND(".",'Raw Data'!Q362)),LEN('Raw Data'!Q362)=5), IF(YEAR('Raw Data'!Q362)=2026,CONCATENATE(DAY('Raw Data'!Q362),".",IF(LEN(MONTH('Raw Data'!Q362))=2,MONTH('Raw Data'!Q362),CONCATENATE(MONTH('Raw Data'!Q362)))),CONCATENATE(MONTH('Raw Data'!Q362),".",RIGHT(YEAR('Raw Data'!Q362),2))),'Raw Data'!Q362))</f>
        <v>7.4</v>
      </c>
    </row>
    <row r="363" spans="1:17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40</v>
      </c>
      <c r="G363">
        <f>VALUE(IF(AND(ISERR(FIND(".",'Raw Data'!G363)),LEN('Raw Data'!G363)=5), IF(YEAR('Raw Data'!G363)=2026,CONCATENATE(DAY('Raw Data'!G363),".",IF(LEN(MONTH('Raw Data'!G363))=2,MONTH('Raw Data'!G363),CONCATENATE("0",MONTH('Raw Data'!G363)))),CONCATENATE(MONTH('Raw Data'!G363),".",RIGHT(YEAR('Raw Data'!G363),2))),'Raw Data'!G363))</f>
        <v>94.47</v>
      </c>
      <c r="H363">
        <f>'Raw Data'!H363</f>
        <v>8</v>
      </c>
      <c r="I363" s="6">
        <f t="shared" si="15"/>
        <v>37.788000000000011</v>
      </c>
      <c r="J363" s="6">
        <f>'Raw Data'!J363</f>
        <v>793.548</v>
      </c>
      <c r="K363" s="1">
        <f>VALUE(IFERROR(VALUE('Raw Data'!K363),CONCATENATE(MID('Raw Data'!K363,3,2),".","0",LEFT('Raw Data'!K363,1),".", RIGHT('Raw Data'!K363,4))))</f>
        <v>43523</v>
      </c>
      <c r="L363" s="2">
        <f>'Raw Data'!L363</f>
        <v>0.6333333333333333</v>
      </c>
      <c r="M363" t="s">
        <v>29</v>
      </c>
      <c r="N363">
        <f>VALUE(IF(AND(ISERR(FIND(".",'Raw Data'!N363)),LEN('Raw Data'!N363)=5), IF(YEAR('Raw Data'!N363)=2026,CONCATENATE(DAY('Raw Data'!N363),".",IF(LEN(MONTH('Raw Data'!N363))=2,MONTH('Raw Data'!N363),CONCATENATE("0",MONTH('Raw Data'!N363)))),CONCATENATE(MONTH('Raw Data'!N363),".",RIGHT(YEAR('Raw Data'!N363),2))),'Raw Data'!N363))</f>
        <v>755.76</v>
      </c>
      <c r="O363" s="6">
        <f t="shared" si="16"/>
        <v>4.7619047619047628</v>
      </c>
      <c r="P363" s="6">
        <f t="shared" si="17"/>
        <v>37.788000000000011</v>
      </c>
      <c r="Q363">
        <f>VALUE(IF(AND(ISERR(FIND(".",'Raw Data'!Q363)),LEN('Raw Data'!Q363)=5), IF(YEAR('Raw Data'!Q363)=2026,CONCATENATE(DAY('Raw Data'!Q363),".",IF(LEN(MONTH('Raw Data'!Q363))=2,MONTH('Raw Data'!Q363),CONCATENATE(MONTH('Raw Data'!Q363)))),CONCATENATE(MONTH('Raw Data'!Q363),".",RIGHT(YEAR('Raw Data'!Q363),2))),'Raw Data'!Q363))</f>
        <v>9.1</v>
      </c>
    </row>
    <row r="364" spans="1:17">
      <c r="A364" t="s">
        <v>450</v>
      </c>
      <c r="B364" t="s">
        <v>25</v>
      </c>
      <c r="C364" t="s">
        <v>26</v>
      </c>
      <c r="D364" t="s">
        <v>27</v>
      </c>
      <c r="E364" t="s">
        <v>30</v>
      </c>
      <c r="F364" t="s">
        <v>40</v>
      </c>
      <c r="G364">
        <f>VALUE(IF(AND(ISERR(FIND(".",'Raw Data'!G364)),LEN('Raw Data'!G364)=5), IF(YEAR('Raw Data'!G364)=2026,CONCATENATE(DAY('Raw Data'!G364),".",IF(LEN(MONTH('Raw Data'!G364))=2,MONTH('Raw Data'!G364),CONCATENATE("0",MONTH('Raw Data'!G364)))),CONCATENATE(MONTH('Raw Data'!G364),".",RIGHT(YEAR('Raw Data'!G364),2))),'Raw Data'!G364))</f>
        <v>99.79</v>
      </c>
      <c r="H364">
        <f>'Raw Data'!H364</f>
        <v>2</v>
      </c>
      <c r="I364" s="6">
        <f t="shared" si="15"/>
        <v>9.978999999999985</v>
      </c>
      <c r="J364" s="6">
        <f>'Raw Data'!J364</f>
        <v>209.559</v>
      </c>
      <c r="K364" s="1">
        <f>VALUE(IFERROR(VALUE('Raw Data'!K364),CONCATENATE(MID('Raw Data'!K364,3,2),".","0",LEFT('Raw Data'!K364,1),".", RIGHT('Raw Data'!K364,4))))</f>
        <v>43649</v>
      </c>
      <c r="L364" s="2">
        <f>'Raw Data'!L364</f>
        <v>0.85902777777777783</v>
      </c>
      <c r="M364" t="s">
        <v>23</v>
      </c>
      <c r="N364">
        <f>VALUE(IF(AND(ISERR(FIND(".",'Raw Data'!N364)),LEN('Raw Data'!N364)=5), IF(YEAR('Raw Data'!N364)=2026,CONCATENATE(DAY('Raw Data'!N364),".",IF(LEN(MONTH('Raw Data'!N364))=2,MONTH('Raw Data'!N364),CONCATENATE("0",MONTH('Raw Data'!N364)))),CONCATENATE(MONTH('Raw Data'!N364),".",RIGHT(YEAR('Raw Data'!N364),2))),'Raw Data'!N364))</f>
        <v>199.58</v>
      </c>
      <c r="O364" s="6">
        <f t="shared" si="16"/>
        <v>4.7619047619047548</v>
      </c>
      <c r="P364" s="6">
        <f t="shared" si="17"/>
        <v>9.978999999999985</v>
      </c>
      <c r="Q364">
        <f>VALUE(IF(AND(ISERR(FIND(".",'Raw Data'!Q364)),LEN('Raw Data'!Q364)=5), IF(YEAR('Raw Data'!Q364)=2026,CONCATENATE(DAY('Raw Data'!Q364),".",IF(LEN(MONTH('Raw Data'!Q364))=2,MONTH('Raw Data'!Q364),CONCATENATE(MONTH('Raw Data'!Q364)))),CONCATENATE(MONTH('Raw Data'!Q364),".",RIGHT(YEAR('Raw Data'!Q364),2))),'Raw Data'!Q364))</f>
        <v>8</v>
      </c>
    </row>
    <row r="365" spans="1:17">
      <c r="A365" t="s">
        <v>451</v>
      </c>
      <c r="B365" t="s">
        <v>18</v>
      </c>
      <c r="C365" t="s">
        <v>19</v>
      </c>
      <c r="D365" t="s">
        <v>27</v>
      </c>
      <c r="E365" t="s">
        <v>30</v>
      </c>
      <c r="F365" t="s">
        <v>32</v>
      </c>
      <c r="G365">
        <f>VALUE(IF(AND(ISERR(FIND(".",'Raw Data'!G365)),LEN('Raw Data'!G365)=5), IF(YEAR('Raw Data'!G365)=2026,CONCATENATE(DAY('Raw Data'!G365),".",IF(LEN(MONTH('Raw Data'!G365))=2,MONTH('Raw Data'!G365),CONCATENATE("0",MONTH('Raw Data'!G365)))),CONCATENATE(MONTH('Raw Data'!G365),".",RIGHT(YEAR('Raw Data'!G365),2))),'Raw Data'!G365))</f>
        <v>73.22</v>
      </c>
      <c r="H365">
        <f>'Raw Data'!H365</f>
        <v>6</v>
      </c>
      <c r="I365" s="6">
        <f t="shared" si="15"/>
        <v>21.966000000000008</v>
      </c>
      <c r="J365" s="6">
        <f>'Raw Data'!J365</f>
        <v>461.286</v>
      </c>
      <c r="K365" s="1">
        <f>VALUE(IFERROR(VALUE('Raw Data'!K365),CONCATENATE(MID('Raw Data'!K365,3,2),".","0",LEFT('Raw Data'!K365,1),".", RIGHT('Raw Data'!K365,4))))</f>
        <v>43486</v>
      </c>
      <c r="L365" s="2">
        <f>'Raw Data'!L365</f>
        <v>0.73888888888888893</v>
      </c>
      <c r="M365" t="s">
        <v>29</v>
      </c>
      <c r="N365">
        <f>VALUE(IF(AND(ISERR(FIND(".",'Raw Data'!N365)),LEN('Raw Data'!N365)=5), IF(YEAR('Raw Data'!N365)=2026,CONCATENATE(DAY('Raw Data'!N365),".",IF(LEN(MONTH('Raw Data'!N365))=2,MONTH('Raw Data'!N365),CONCATENATE("0",MONTH('Raw Data'!N365)))),CONCATENATE(MONTH('Raw Data'!N365),".",RIGHT(YEAR('Raw Data'!N365),2))),'Raw Data'!N365))</f>
        <v>439.32</v>
      </c>
      <c r="O365" s="6">
        <f t="shared" si="16"/>
        <v>4.7619047619047636</v>
      </c>
      <c r="P365" s="6">
        <f t="shared" si="17"/>
        <v>21.966000000000008</v>
      </c>
      <c r="Q365">
        <f>VALUE(IF(AND(ISERR(FIND(".",'Raw Data'!Q365)),LEN('Raw Data'!Q365)=5), IF(YEAR('Raw Data'!Q365)=2026,CONCATENATE(DAY('Raw Data'!Q365),".",IF(LEN(MONTH('Raw Data'!Q365))=2,MONTH('Raw Data'!Q365),CONCATENATE(MONTH('Raw Data'!Q365)))),CONCATENATE(MONTH('Raw Data'!Q365),".",RIGHT(YEAR('Raw Data'!Q365),2))),'Raw Data'!Q365))</f>
        <v>7.2</v>
      </c>
    </row>
    <row r="366" spans="1:17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40</v>
      </c>
      <c r="G366">
        <f>VALUE(IF(AND(ISERR(FIND(".",'Raw Data'!G366)),LEN('Raw Data'!G366)=5), IF(YEAR('Raw Data'!G366)=2026,CONCATENATE(DAY('Raw Data'!G366),".",IF(LEN(MONTH('Raw Data'!G366))=2,MONTH('Raw Data'!G366),CONCATENATE("0",MONTH('Raw Data'!G366)))),CONCATENATE(MONTH('Raw Data'!G366),".",RIGHT(YEAR('Raw Data'!G366),2))),'Raw Data'!G366))</f>
        <v>41.24</v>
      </c>
      <c r="H366">
        <f>'Raw Data'!H366</f>
        <v>4</v>
      </c>
      <c r="I366" s="6">
        <f t="shared" si="15"/>
        <v>8.2479999999999905</v>
      </c>
      <c r="J366" s="6">
        <f>'Raw Data'!J366</f>
        <v>173.208</v>
      </c>
      <c r="K366" s="1">
        <f>VALUE(IFERROR(VALUE('Raw Data'!K366),CONCATENATE(MID('Raw Data'!K366,3,2),".","0",LEFT('Raw Data'!K366,1),".", RIGHT('Raw Data'!K366,4))))</f>
        <v>43515</v>
      </c>
      <c r="L366" s="2">
        <f>'Raw Data'!L366</f>
        <v>0.68263888888888891</v>
      </c>
      <c r="M366" t="s">
        <v>29</v>
      </c>
      <c r="N366">
        <f>VALUE(IF(AND(ISERR(FIND(".",'Raw Data'!N366)),LEN('Raw Data'!N366)=5), IF(YEAR('Raw Data'!N366)=2026,CONCATENATE(DAY('Raw Data'!N366),".",IF(LEN(MONTH('Raw Data'!N366))=2,MONTH('Raw Data'!N366),CONCATENATE("0",MONTH('Raw Data'!N366)))),CONCATENATE(MONTH('Raw Data'!N366),".",RIGHT(YEAR('Raw Data'!N366),2))),'Raw Data'!N366))</f>
        <v>164.96</v>
      </c>
      <c r="O366" s="6">
        <f t="shared" si="16"/>
        <v>4.7619047619047556</v>
      </c>
      <c r="P366" s="6">
        <f t="shared" si="17"/>
        <v>8.2479999999999905</v>
      </c>
      <c r="Q366">
        <f>VALUE(IF(AND(ISERR(FIND(".",'Raw Data'!Q366)),LEN('Raw Data'!Q366)=5), IF(YEAR('Raw Data'!Q366)=2026,CONCATENATE(DAY('Raw Data'!Q366),".",IF(LEN(MONTH('Raw Data'!Q366))=2,MONTH('Raw Data'!Q366),CONCATENATE(MONTH('Raw Data'!Q366)))),CONCATENATE(MONTH('Raw Data'!Q366),".",RIGHT(YEAR('Raw Data'!Q366),2))),'Raw Data'!Q366))</f>
        <v>7.1</v>
      </c>
    </row>
    <row r="367" spans="1:17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43</v>
      </c>
      <c r="G367">
        <f>VALUE(IF(AND(ISERR(FIND(".",'Raw Data'!G367)),LEN('Raw Data'!G367)=5), IF(YEAR('Raw Data'!G367)=2026,CONCATENATE(DAY('Raw Data'!G367),".",IF(LEN(MONTH('Raw Data'!G367))=2,MONTH('Raw Data'!G367),CONCATENATE("0",MONTH('Raw Data'!G367)))),CONCATENATE(MONTH('Raw Data'!G367),".",RIGHT(YEAR('Raw Data'!G367),2))),'Raw Data'!G367))</f>
        <v>81.680000000000007</v>
      </c>
      <c r="H367">
        <f>'Raw Data'!H367</f>
        <v>4</v>
      </c>
      <c r="I367" s="6">
        <f t="shared" si="15"/>
        <v>16.335999999999956</v>
      </c>
      <c r="J367" s="6">
        <f>'Raw Data'!J367</f>
        <v>343.05599999999998</v>
      </c>
      <c r="K367" s="1">
        <f>VALUE(IFERROR(VALUE('Raw Data'!K367),CONCATENATE(MID('Raw Data'!K367,3,2),".","0",LEFT('Raw Data'!K367,1),".", RIGHT('Raw Data'!K367,4))))</f>
        <v>43617</v>
      </c>
      <c r="L367" s="2">
        <f>'Raw Data'!L367</f>
        <v>0.5083333333333333</v>
      </c>
      <c r="M367" t="s">
        <v>29</v>
      </c>
      <c r="N367">
        <f>VALUE(IF(AND(ISERR(FIND(".",'Raw Data'!N367)),LEN('Raw Data'!N367)=5), IF(YEAR('Raw Data'!N367)=2026,CONCATENATE(DAY('Raw Data'!N367),".",IF(LEN(MONTH('Raw Data'!N367))=2,MONTH('Raw Data'!N367),CONCATENATE("0",MONTH('Raw Data'!N367)))),CONCATENATE(MONTH('Raw Data'!N367),".",RIGHT(YEAR('Raw Data'!N367),2))),'Raw Data'!N367))</f>
        <v>326.72000000000003</v>
      </c>
      <c r="O367" s="6">
        <f t="shared" si="16"/>
        <v>4.7619047619047494</v>
      </c>
      <c r="P367" s="6">
        <f t="shared" si="17"/>
        <v>16.335999999999956</v>
      </c>
      <c r="Q367">
        <f>VALUE(IF(AND(ISERR(FIND(".",'Raw Data'!Q367)),LEN('Raw Data'!Q367)=5), IF(YEAR('Raw Data'!Q367)=2026,CONCATENATE(DAY('Raw Data'!Q367),".",IF(LEN(MONTH('Raw Data'!Q367))=2,MONTH('Raw Data'!Q367),CONCATENATE(MONTH('Raw Data'!Q367)))),CONCATENATE(MONTH('Raw Data'!Q367),".",RIGHT(YEAR('Raw Data'!Q367),2))),'Raw Data'!Q367))</f>
        <v>9.1</v>
      </c>
    </row>
    <row r="368" spans="1:17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f>VALUE(IF(AND(ISERR(FIND(".",'Raw Data'!G368)),LEN('Raw Data'!G368)=5), IF(YEAR('Raw Data'!G368)=2026,CONCATENATE(DAY('Raw Data'!G368),".",IF(LEN(MONTH('Raw Data'!G368))=2,MONTH('Raw Data'!G368),CONCATENATE("0",MONTH('Raw Data'!G368)))),CONCATENATE(MONTH('Raw Data'!G368),".",RIGHT(YEAR('Raw Data'!G368),2))),'Raw Data'!G368))</f>
        <v>51.32</v>
      </c>
      <c r="H368">
        <f>'Raw Data'!H368</f>
        <v>9</v>
      </c>
      <c r="I368" s="6">
        <f t="shared" si="15"/>
        <v>23.093999999999994</v>
      </c>
      <c r="J368" s="6">
        <f>'Raw Data'!J368</f>
        <v>484.97399999999999</v>
      </c>
      <c r="K368" s="1">
        <f>VALUE(IFERROR(VALUE('Raw Data'!K368),CONCATENATE(MID('Raw Data'!K368,3,2),".","0",LEFT('Raw Data'!K368,1),".", RIGHT('Raw Data'!K368,4))))</f>
        <v>43538</v>
      </c>
      <c r="L368" s="2">
        <f>'Raw Data'!L368</f>
        <v>0.81458333333333333</v>
      </c>
      <c r="M368" t="s">
        <v>29</v>
      </c>
      <c r="N368">
        <f>VALUE(IF(AND(ISERR(FIND(".",'Raw Data'!N368)),LEN('Raw Data'!N368)=5), IF(YEAR('Raw Data'!N368)=2026,CONCATENATE(DAY('Raw Data'!N368),".",IF(LEN(MONTH('Raw Data'!N368))=2,MONTH('Raw Data'!N368),CONCATENATE("0",MONTH('Raw Data'!N368)))),CONCATENATE(MONTH('Raw Data'!N368),".",RIGHT(YEAR('Raw Data'!N368),2))),'Raw Data'!N368))</f>
        <v>461.88</v>
      </c>
      <c r="O368" s="6">
        <f t="shared" si="16"/>
        <v>4.761904761904761</v>
      </c>
      <c r="P368" s="6">
        <f t="shared" si="17"/>
        <v>23.093999999999994</v>
      </c>
      <c r="Q368">
        <f>VALUE(IF(AND(ISERR(FIND(".",'Raw Data'!Q368)),LEN('Raw Data'!Q368)=5), IF(YEAR('Raw Data'!Q368)=2026,CONCATENATE(DAY('Raw Data'!Q368),".",IF(LEN(MONTH('Raw Data'!Q368))=2,MONTH('Raw Data'!Q368),CONCATENATE(MONTH('Raw Data'!Q368)))),CONCATENATE(MONTH('Raw Data'!Q368),".",RIGHT(YEAR('Raw Data'!Q368),2))),'Raw Data'!Q368))</f>
        <v>5.6</v>
      </c>
    </row>
    <row r="369" spans="1:17">
      <c r="A369" t="s">
        <v>456</v>
      </c>
      <c r="B369" t="s">
        <v>18</v>
      </c>
      <c r="C369" t="s">
        <v>19</v>
      </c>
      <c r="D369" t="s">
        <v>20</v>
      </c>
      <c r="E369" t="s">
        <v>30</v>
      </c>
      <c r="F369" t="s">
        <v>32</v>
      </c>
      <c r="G369">
        <f>VALUE(IF(AND(ISERR(FIND(".",'Raw Data'!G369)),LEN('Raw Data'!G369)=5), IF(YEAR('Raw Data'!G369)=2026,CONCATENATE(DAY('Raw Data'!G369),".",IF(LEN(MONTH('Raw Data'!G369))=2,MONTH('Raw Data'!G369),CONCATENATE("0",MONTH('Raw Data'!G369)))),CONCATENATE(MONTH('Raw Data'!G369),".",RIGHT(YEAR('Raw Data'!G369),2))),'Raw Data'!G369))</f>
        <v>65.94</v>
      </c>
      <c r="H369">
        <f>'Raw Data'!H369</f>
        <v>4</v>
      </c>
      <c r="I369" s="6">
        <f t="shared" si="15"/>
        <v>13.187999999999988</v>
      </c>
      <c r="J369" s="6">
        <f>'Raw Data'!J369</f>
        <v>276.94799999999998</v>
      </c>
      <c r="K369" s="1">
        <f>VALUE(IFERROR(VALUE('Raw Data'!K369),CONCATENATE(MID('Raw Data'!K369,3,2),".","0",LEFT('Raw Data'!K369,1),".", RIGHT('Raw Data'!K369,4))))</f>
        <v>43548</v>
      </c>
      <c r="L369" s="2">
        <f>'Raw Data'!L369</f>
        <v>0.4368055555555555</v>
      </c>
      <c r="M369" t="s">
        <v>29</v>
      </c>
      <c r="N369">
        <f>VALUE(IF(AND(ISERR(FIND(".",'Raw Data'!N369)),LEN('Raw Data'!N369)=5), IF(YEAR('Raw Data'!N369)=2026,CONCATENATE(DAY('Raw Data'!N369),".",IF(LEN(MONTH('Raw Data'!N369))=2,MONTH('Raw Data'!N369),CONCATENATE("0",MONTH('Raw Data'!N369)))),CONCATENATE(MONTH('Raw Data'!N369),".",RIGHT(YEAR('Raw Data'!N369),2))),'Raw Data'!N369))</f>
        <v>263.76</v>
      </c>
      <c r="O369" s="6">
        <f t="shared" si="16"/>
        <v>4.7619047619047583</v>
      </c>
      <c r="P369" s="6">
        <f t="shared" si="17"/>
        <v>13.187999999999988</v>
      </c>
      <c r="Q369">
        <f>VALUE(IF(AND(ISERR(FIND(".",'Raw Data'!Q369)),LEN('Raw Data'!Q369)=5), IF(YEAR('Raw Data'!Q369)=2026,CONCATENATE(DAY('Raw Data'!Q369),".",IF(LEN(MONTH('Raw Data'!Q369))=2,MONTH('Raw Data'!Q369),CONCATENATE(MONTH('Raw Data'!Q369)))),CONCATENATE(MONTH('Raw Data'!Q369),".",RIGHT(YEAR('Raw Data'!Q369),2))),'Raw Data'!Q369))</f>
        <v>6</v>
      </c>
    </row>
    <row r="370" spans="1:17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38</v>
      </c>
      <c r="G370">
        <f>VALUE(IF(AND(ISERR(FIND(".",'Raw Data'!G370)),LEN('Raw Data'!G370)=5), IF(YEAR('Raw Data'!G370)=2026,CONCATENATE(DAY('Raw Data'!G370),".",IF(LEN(MONTH('Raw Data'!G370))=2,MONTH('Raw Data'!G370),CONCATENATE("0",MONTH('Raw Data'!G370)))),CONCATENATE(MONTH('Raw Data'!G370),".",RIGHT(YEAR('Raw Data'!G370),2))),'Raw Data'!G370))</f>
        <v>14.36</v>
      </c>
      <c r="H370">
        <f>'Raw Data'!H370</f>
        <v>10</v>
      </c>
      <c r="I370" s="6">
        <f t="shared" si="15"/>
        <v>7.1800000000000068</v>
      </c>
      <c r="J370" s="6">
        <f>'Raw Data'!J370</f>
        <v>150.78</v>
      </c>
      <c r="K370" s="1">
        <f>VALUE(IFERROR(VALUE('Raw Data'!K370),CONCATENATE(MID('Raw Data'!K370,3,2),".","0",LEFT('Raw Data'!K370,1),".", RIGHT('Raw Data'!K370,4))))</f>
        <v>43492</v>
      </c>
      <c r="L370" s="2">
        <f>'Raw Data'!L370</f>
        <v>0.60277777777777775</v>
      </c>
      <c r="M370" t="s">
        <v>29</v>
      </c>
      <c r="N370">
        <f>VALUE(IF(AND(ISERR(FIND(".",'Raw Data'!N370)),LEN('Raw Data'!N370)=5), IF(YEAR('Raw Data'!N370)=2026,CONCATENATE(DAY('Raw Data'!N370),".",IF(LEN(MONTH('Raw Data'!N370))=2,MONTH('Raw Data'!N370),CONCATENATE("0",MONTH('Raw Data'!N370)))),CONCATENATE(MONTH('Raw Data'!N370),".",RIGHT(YEAR('Raw Data'!N370),2))),'Raw Data'!N370))</f>
        <v>143.6</v>
      </c>
      <c r="O370" s="6">
        <f t="shared" si="16"/>
        <v>4.7619047619047663</v>
      </c>
      <c r="P370" s="6">
        <f t="shared" si="17"/>
        <v>7.1800000000000068</v>
      </c>
      <c r="Q370">
        <f>VALUE(IF(AND(ISERR(FIND(".",'Raw Data'!Q370)),LEN('Raw Data'!Q370)=5), IF(YEAR('Raw Data'!Q370)=2026,CONCATENATE(DAY('Raw Data'!Q370),".",IF(LEN(MONTH('Raw Data'!Q370))=2,MONTH('Raw Data'!Q370),CONCATENATE(MONTH('Raw Data'!Q370)))),CONCATENATE(MONTH('Raw Data'!Q370),".",RIGHT(YEAR('Raw Data'!Q370),2))),'Raw Data'!Q370))</f>
        <v>5.4</v>
      </c>
    </row>
    <row r="371" spans="1:17">
      <c r="A371" t="s">
        <v>458</v>
      </c>
      <c r="B371" t="s">
        <v>18</v>
      </c>
      <c r="C371" t="s">
        <v>19</v>
      </c>
      <c r="D371" t="s">
        <v>20</v>
      </c>
      <c r="E371" t="s">
        <v>30</v>
      </c>
      <c r="F371" t="s">
        <v>28</v>
      </c>
      <c r="G371">
        <f>VALUE(IF(AND(ISERR(FIND(".",'Raw Data'!G371)),LEN('Raw Data'!G371)=5), IF(YEAR('Raw Data'!G371)=2026,CONCATENATE(DAY('Raw Data'!G371),".",IF(LEN(MONTH('Raw Data'!G371))=2,MONTH('Raw Data'!G371),CONCATENATE("0",MONTH('Raw Data'!G371)))),CONCATENATE(MONTH('Raw Data'!G371),".",RIGHT(YEAR('Raw Data'!G371),2))),'Raw Data'!G371))</f>
        <v>21.05</v>
      </c>
      <c r="H371">
        <f>'Raw Data'!H371</f>
        <v>9</v>
      </c>
      <c r="I371" s="6">
        <f t="shared" si="15"/>
        <v>13.724999999999994</v>
      </c>
      <c r="J371" s="6">
        <f>'Raw Data'!J371</f>
        <v>203.17500000000001</v>
      </c>
      <c r="K371" s="1">
        <f>VALUE(IFERROR(VALUE('Raw Data'!K371),CONCATENATE(MID('Raw Data'!K371,3,2),".","0",LEFT('Raw Data'!K371,1),".", RIGHT('Raw Data'!K371,4))))</f>
        <v>43619</v>
      </c>
      <c r="L371" s="2">
        <f>'Raw Data'!L371</f>
        <v>0.53194444444444444</v>
      </c>
      <c r="M371" t="s">
        <v>33</v>
      </c>
      <c r="N371">
        <f>VALUE(IF(AND(ISERR(FIND(".",'Raw Data'!N371)),LEN('Raw Data'!N371)=5), IF(YEAR('Raw Data'!N371)=2026,CONCATENATE(DAY('Raw Data'!N371),".",IF(LEN(MONTH('Raw Data'!N371))=2,MONTH('Raw Data'!N371),CONCATENATE("0",MONTH('Raw Data'!N371)))),CONCATENATE(MONTH('Raw Data'!N371),".",RIGHT(YEAR('Raw Data'!N371),2))),'Raw Data'!N371))</f>
        <v>193.5</v>
      </c>
      <c r="O371" s="6">
        <f t="shared" si="16"/>
        <v>4.7619047619047672</v>
      </c>
      <c r="P371" s="6">
        <f t="shared" si="17"/>
        <v>9.6750000000000114</v>
      </c>
      <c r="Q371">
        <f>VALUE(IF(AND(ISERR(FIND(".",'Raw Data'!Q371)),LEN('Raw Data'!Q371)=5), IF(YEAR('Raw Data'!Q371)=2026,CONCATENATE(DAY('Raw Data'!Q371),".",IF(LEN(MONTH('Raw Data'!Q371))=2,MONTH('Raw Data'!Q371),CONCATENATE(MONTH('Raw Data'!Q371)))),CONCATENATE(MONTH('Raw Data'!Q371),".",RIGHT(YEAR('Raw Data'!Q371),2))),'Raw Data'!Q371))</f>
        <v>7.8</v>
      </c>
    </row>
    <row r="372" spans="1:17">
      <c r="A372" t="s">
        <v>459</v>
      </c>
      <c r="B372" t="s">
        <v>34</v>
      </c>
      <c r="C372" t="s">
        <v>35</v>
      </c>
      <c r="D372" t="s">
        <v>20</v>
      </c>
      <c r="E372" t="s">
        <v>21</v>
      </c>
      <c r="F372" t="s">
        <v>28</v>
      </c>
      <c r="G372">
        <f>VALUE(IF(AND(ISERR(FIND(".",'Raw Data'!G372)),LEN('Raw Data'!G372)=5), IF(YEAR('Raw Data'!G372)=2026,CONCATENATE(DAY('Raw Data'!G372),".",IF(LEN(MONTH('Raw Data'!G372))=2,MONTH('Raw Data'!G372),CONCATENATE("0",MONTH('Raw Data'!G372)))),CONCATENATE(MONTH('Raw Data'!G372),".",RIGHT(YEAR('Raw Data'!G372),2))),'Raw Data'!G372))</f>
        <v>26.26</v>
      </c>
      <c r="H372">
        <f>'Raw Data'!H372</f>
        <v>7</v>
      </c>
      <c r="I372" s="6">
        <f t="shared" si="15"/>
        <v>9.1909999999999741</v>
      </c>
      <c r="J372" s="6">
        <f>'Raw Data'!J372</f>
        <v>193.011</v>
      </c>
      <c r="K372" s="1">
        <f>VALUE(IFERROR(VALUE('Raw Data'!K372),CONCATENATE(MID('Raw Data'!K372,3,2),".","0",LEFT('Raw Data'!K372,1),".", RIGHT('Raw Data'!K372,4))))</f>
        <v>43498</v>
      </c>
      <c r="L372" s="2">
        <f>'Raw Data'!L372</f>
        <v>0.81944444444444453</v>
      </c>
      <c r="M372" t="s">
        <v>29</v>
      </c>
      <c r="N372">
        <f>VALUE(IF(AND(ISERR(FIND(".",'Raw Data'!N372)),LEN('Raw Data'!N372)=5), IF(YEAR('Raw Data'!N372)=2026,CONCATENATE(DAY('Raw Data'!N372),".",IF(LEN(MONTH('Raw Data'!N372))=2,MONTH('Raw Data'!N372),CONCATENATE("0",MONTH('Raw Data'!N372)))),CONCATENATE(MONTH('Raw Data'!N372),".",RIGHT(YEAR('Raw Data'!N372),2))),'Raw Data'!N372))</f>
        <v>183.82</v>
      </c>
      <c r="O372" s="6">
        <f t="shared" si="16"/>
        <v>4.7619047619047628</v>
      </c>
      <c r="P372" s="6">
        <f t="shared" si="17"/>
        <v>9.1910000000000025</v>
      </c>
      <c r="Q372">
        <f>VALUE(IF(AND(ISERR(FIND(".",'Raw Data'!Q372)),LEN('Raw Data'!Q372)=5), IF(YEAR('Raw Data'!Q372)=2026,CONCATENATE(DAY('Raw Data'!Q372),".",IF(LEN(MONTH('Raw Data'!Q372))=2,MONTH('Raw Data'!Q372),CONCATENATE(MONTH('Raw Data'!Q372)))),CONCATENATE(MONTH('Raw Data'!Q372),".",RIGHT(YEAR('Raw Data'!Q372),2))),'Raw Data'!Q372))</f>
        <v>9.9</v>
      </c>
    </row>
    <row r="373" spans="1:17">
      <c r="A373" t="s">
        <v>460</v>
      </c>
      <c r="B373" t="s">
        <v>34</v>
      </c>
      <c r="C373" t="s">
        <v>35</v>
      </c>
      <c r="D373" t="s">
        <v>27</v>
      </c>
      <c r="E373" t="s">
        <v>21</v>
      </c>
      <c r="F373" t="s">
        <v>43</v>
      </c>
      <c r="G373">
        <f>VALUE(IF(AND(ISERR(FIND(".",'Raw Data'!G373)),LEN('Raw Data'!G373)=5), IF(YEAR('Raw Data'!G373)=2026,CONCATENATE(DAY('Raw Data'!G373),".",IF(LEN(MONTH('Raw Data'!G373))=2,MONTH('Raw Data'!G373),CONCATENATE("0",MONTH('Raw Data'!G373)))),CONCATENATE(MONTH('Raw Data'!G373),".",RIGHT(YEAR('Raw Data'!G373),2))),'Raw Data'!G373))</f>
        <v>60.96</v>
      </c>
      <c r="H373">
        <f>'Raw Data'!H373</f>
        <v>2</v>
      </c>
      <c r="I373" s="6">
        <f t="shared" si="15"/>
        <v>6.0959999999999894</v>
      </c>
      <c r="J373" s="6">
        <f>'Raw Data'!J373</f>
        <v>128.01599999999999</v>
      </c>
      <c r="K373" s="1">
        <f>VALUE(IFERROR(VALUE('Raw Data'!K373),CONCATENATE(MID('Raw Data'!K373,3,2),".","0",LEFT('Raw Data'!K373,1),".", RIGHT('Raw Data'!K373,4))))</f>
        <v>43490</v>
      </c>
      <c r="L373" s="2">
        <f>'Raw Data'!L373</f>
        <v>0.81874999999999998</v>
      </c>
      <c r="M373" t="s">
        <v>33</v>
      </c>
      <c r="N373">
        <f>VALUE(IF(AND(ISERR(FIND(".",'Raw Data'!N373)),LEN('Raw Data'!N373)=5), IF(YEAR('Raw Data'!N373)=2026,CONCATENATE(DAY('Raw Data'!N373),".",IF(LEN(MONTH('Raw Data'!N373))=2,MONTH('Raw Data'!N373),CONCATENATE("0",MONTH('Raw Data'!N373)))),CONCATENATE(MONTH('Raw Data'!N373),".",RIGHT(YEAR('Raw Data'!N373),2))),'Raw Data'!N373))</f>
        <v>121.92</v>
      </c>
      <c r="O373" s="6">
        <f t="shared" si="16"/>
        <v>4.7619047619047539</v>
      </c>
      <c r="P373" s="6">
        <f t="shared" si="17"/>
        <v>6.0959999999999894</v>
      </c>
      <c r="Q373">
        <f>VALUE(IF(AND(ISERR(FIND(".",'Raw Data'!Q373)),LEN('Raw Data'!Q373)=5), IF(YEAR('Raw Data'!Q373)=2026,CONCATENATE(DAY('Raw Data'!Q373),".",IF(LEN(MONTH('Raw Data'!Q373))=2,MONTH('Raw Data'!Q373),CONCATENATE(MONTH('Raw Data'!Q373)))),CONCATENATE(MONTH('Raw Data'!Q373),".",RIGHT(YEAR('Raw Data'!Q373),2))),'Raw Data'!Q373))</f>
        <v>4.9000000000000004</v>
      </c>
    </row>
    <row r="374" spans="1:17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f>VALUE(IF(AND(ISERR(FIND(".",'Raw Data'!G374)),LEN('Raw Data'!G374)=5), IF(YEAR('Raw Data'!G374)=2026,CONCATENATE(DAY('Raw Data'!G374),".",IF(LEN(MONTH('Raw Data'!G374))=2,MONTH('Raw Data'!G374),CONCATENATE("0",MONTH('Raw Data'!G374)))),CONCATENATE(MONTH('Raw Data'!G374),".",RIGHT(YEAR('Raw Data'!G374),2))),'Raw Data'!G374))</f>
        <v>70.11</v>
      </c>
      <c r="H374">
        <f>'Raw Data'!H374</f>
        <v>6</v>
      </c>
      <c r="I374" s="6">
        <f t="shared" si="15"/>
        <v>21.033000000000015</v>
      </c>
      <c r="J374" s="6">
        <f>'Raw Data'!J374</f>
        <v>441.69299999999998</v>
      </c>
      <c r="K374" s="1">
        <f>VALUE(IFERROR(VALUE('Raw Data'!K374),CONCATENATE(MID('Raw Data'!K374,3,2),".","0",LEFT('Raw Data'!K374,1),".", RIGHT('Raw Data'!K374,4))))</f>
        <v>43538</v>
      </c>
      <c r="L374" s="2">
        <f>'Raw Data'!L374</f>
        <v>0.74583333333333324</v>
      </c>
      <c r="M374" t="s">
        <v>23</v>
      </c>
      <c r="N374">
        <f>VALUE(IF(AND(ISERR(FIND(".",'Raw Data'!N374)),LEN('Raw Data'!N374)=5), IF(YEAR('Raw Data'!N374)=2026,CONCATENATE(DAY('Raw Data'!N374),".",IF(LEN(MONTH('Raw Data'!N374))=2,MONTH('Raw Data'!N374),CONCATENATE("0",MONTH('Raw Data'!N374)))),CONCATENATE(MONTH('Raw Data'!N374),".",RIGHT(YEAR('Raw Data'!N374),2))),'Raw Data'!N374))</f>
        <v>420.66</v>
      </c>
      <c r="O374" s="6">
        <f t="shared" si="16"/>
        <v>4.761904761904753</v>
      </c>
      <c r="P374" s="6">
        <f t="shared" si="17"/>
        <v>21.032999999999959</v>
      </c>
      <c r="Q374">
        <f>VALUE(IF(AND(ISERR(FIND(".",'Raw Data'!Q374)),LEN('Raw Data'!Q374)=5), IF(YEAR('Raw Data'!Q374)=2026,CONCATENATE(DAY('Raw Data'!Q374),".",IF(LEN(MONTH('Raw Data'!Q374))=2,MONTH('Raw Data'!Q374),CONCATENATE(MONTH('Raw Data'!Q374)))),CONCATENATE(MONTH('Raw Data'!Q374),".",RIGHT(YEAR('Raw Data'!Q374),2))),'Raw Data'!Q374))</f>
        <v>5.2</v>
      </c>
    </row>
    <row r="375" spans="1:17">
      <c r="A375" t="s">
        <v>462</v>
      </c>
      <c r="B375" t="s">
        <v>25</v>
      </c>
      <c r="C375" t="s">
        <v>26</v>
      </c>
      <c r="D375" t="s">
        <v>27</v>
      </c>
      <c r="E375" t="s">
        <v>30</v>
      </c>
      <c r="F375" t="s">
        <v>43</v>
      </c>
      <c r="G375">
        <f>VALUE(IF(AND(ISERR(FIND(".",'Raw Data'!G375)),LEN('Raw Data'!G375)=5), IF(YEAR('Raw Data'!G375)=2026,CONCATENATE(DAY('Raw Data'!G375),".",IF(LEN(MONTH('Raw Data'!G375))=2,MONTH('Raw Data'!G375),CONCATENATE("0",MONTH('Raw Data'!G375)))),CONCATENATE(MONTH('Raw Data'!G375),".",RIGHT(YEAR('Raw Data'!G375),2))),'Raw Data'!G375))</f>
        <v>42.08</v>
      </c>
      <c r="H375">
        <f>'Raw Data'!H375</f>
        <v>6</v>
      </c>
      <c r="I375" s="6">
        <f t="shared" si="15"/>
        <v>12.623999999999995</v>
      </c>
      <c r="J375" s="6">
        <f>'Raw Data'!J375</f>
        <v>265.10399999999998</v>
      </c>
      <c r="K375" s="1">
        <f>VALUE(IFERROR(VALUE('Raw Data'!K375),CONCATENATE(MID('Raw Data'!K375,3,2),".","0",LEFT('Raw Data'!K375,1),".", RIGHT('Raw Data'!K375,4))))</f>
        <v>43494</v>
      </c>
      <c r="L375" s="2">
        <f>'Raw Data'!L375</f>
        <v>0.51736111111111105</v>
      </c>
      <c r="M375" t="s">
        <v>29</v>
      </c>
      <c r="N375">
        <f>VALUE(IF(AND(ISERR(FIND(".",'Raw Data'!N375)),LEN('Raw Data'!N375)=5), IF(YEAR('Raw Data'!N375)=2026,CONCATENATE(DAY('Raw Data'!N375),".",IF(LEN(MONTH('Raw Data'!N375))=2,MONTH('Raw Data'!N375),CONCATENATE("0",MONTH('Raw Data'!N375)))),CONCATENATE(MONTH('Raw Data'!N375),".",RIGHT(YEAR('Raw Data'!N375),2))),'Raw Data'!N375))</f>
        <v>252.48</v>
      </c>
      <c r="O375" s="6">
        <f t="shared" si="16"/>
        <v>4.7619047619047601</v>
      </c>
      <c r="P375" s="6">
        <f t="shared" si="17"/>
        <v>12.623999999999995</v>
      </c>
      <c r="Q375">
        <f>VALUE(IF(AND(ISERR(FIND(".",'Raw Data'!Q375)),LEN('Raw Data'!Q375)=5), IF(YEAR('Raw Data'!Q375)=2026,CONCATENATE(DAY('Raw Data'!Q375),".",IF(LEN(MONTH('Raw Data'!Q375))=2,MONTH('Raw Data'!Q375),CONCATENATE(MONTH('Raw Data'!Q375)))),CONCATENATE(MONTH('Raw Data'!Q375),".",RIGHT(YEAR('Raw Data'!Q375),2))),'Raw Data'!Q375))</f>
        <v>8.9</v>
      </c>
    </row>
    <row r="376" spans="1:17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f>VALUE(IF(AND(ISERR(FIND(".",'Raw Data'!G376)),LEN('Raw Data'!G376)=5), IF(YEAR('Raw Data'!G376)=2026,CONCATENATE(DAY('Raw Data'!G376),".",IF(LEN(MONTH('Raw Data'!G376))=2,MONTH('Raw Data'!G376),CONCATENATE("0",MONTH('Raw Data'!G376)))),CONCATENATE(MONTH('Raw Data'!G376),".",RIGHT(YEAR('Raw Data'!G376),2))),'Raw Data'!G376))</f>
        <v>67.09</v>
      </c>
      <c r="H376">
        <f>'Raw Data'!H376</f>
        <v>5</v>
      </c>
      <c r="I376" s="6">
        <f t="shared" si="15"/>
        <v>16.77249999999998</v>
      </c>
      <c r="J376" s="6">
        <f>'Raw Data'!J376</f>
        <v>352.22250000000003</v>
      </c>
      <c r="K376" s="1">
        <f>VALUE(IFERROR(VALUE('Raw Data'!K376),CONCATENATE(MID('Raw Data'!K376,3,2),".","0",LEFT('Raw Data'!K376,1),".", RIGHT('Raw Data'!K376,4))))</f>
        <v>43525</v>
      </c>
      <c r="L376" s="2">
        <f>'Raw Data'!L376</f>
        <v>0.69930555555555562</v>
      </c>
      <c r="M376" t="s">
        <v>33</v>
      </c>
      <c r="N376">
        <f>VALUE(IF(AND(ISERR(FIND(".",'Raw Data'!N376)),LEN('Raw Data'!N376)=5), IF(YEAR('Raw Data'!N376)=2026,CONCATENATE(DAY('Raw Data'!N376),".",IF(LEN(MONTH('Raw Data'!N376))=2,MONTH('Raw Data'!N376),CONCATENATE("0",MONTH('Raw Data'!N376)))),CONCATENATE(MONTH('Raw Data'!N376),".",RIGHT(YEAR('Raw Data'!N376),2))),'Raw Data'!N376))</f>
        <v>335.45</v>
      </c>
      <c r="O376" s="6">
        <f t="shared" si="16"/>
        <v>4.7619047619047716</v>
      </c>
      <c r="P376" s="6">
        <f t="shared" si="17"/>
        <v>16.772500000000036</v>
      </c>
      <c r="Q376">
        <f>VALUE(IF(AND(ISERR(FIND(".",'Raw Data'!Q376)),LEN('Raw Data'!Q376)=5), IF(YEAR('Raw Data'!Q376)=2026,CONCATENATE(DAY('Raw Data'!Q376),".",IF(LEN(MONTH('Raw Data'!Q376))=2,MONTH('Raw Data'!Q376),CONCATENATE(MONTH('Raw Data'!Q376)))),CONCATENATE(MONTH('Raw Data'!Q376),".",RIGHT(YEAR('Raw Data'!Q376),2))),'Raw Data'!Q376))</f>
        <v>9.1</v>
      </c>
    </row>
    <row r="377" spans="1:17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43</v>
      </c>
      <c r="G377">
        <f>VALUE(IF(AND(ISERR(FIND(".",'Raw Data'!G377)),LEN('Raw Data'!G377)=5), IF(YEAR('Raw Data'!G377)=2026,CONCATENATE(DAY('Raw Data'!G377),".",IF(LEN(MONTH('Raw Data'!G377))=2,MONTH('Raw Data'!G377),CONCATENATE("0",MONTH('Raw Data'!G377)))),CONCATENATE(MONTH('Raw Data'!G377),".",RIGHT(YEAR('Raw Data'!G377),2))),'Raw Data'!G377))</f>
        <v>96.7</v>
      </c>
      <c r="H377">
        <f>'Raw Data'!H377</f>
        <v>5</v>
      </c>
      <c r="I377" s="6">
        <f t="shared" si="15"/>
        <v>24.175000000000011</v>
      </c>
      <c r="J377" s="6">
        <f>'Raw Data'!J377</f>
        <v>507.67500000000001</v>
      </c>
      <c r="K377" s="1">
        <f>VALUE(IFERROR(VALUE('Raw Data'!K377),CONCATENATE(MID('Raw Data'!K377,3,2),".","0",LEFT('Raw Data'!K377,1),".", RIGHT('Raw Data'!K377,4))))</f>
        <v>43479</v>
      </c>
      <c r="L377" s="2">
        <f>'Raw Data'!L377</f>
        <v>0.53611111111111109</v>
      </c>
      <c r="M377" t="s">
        <v>23</v>
      </c>
      <c r="N377">
        <f>VALUE(IF(AND(ISERR(FIND(".",'Raw Data'!N377)),LEN('Raw Data'!N377)=5), IF(YEAR('Raw Data'!N377)=2026,CONCATENATE(DAY('Raw Data'!N377),".",IF(LEN(MONTH('Raw Data'!N377))=2,MONTH('Raw Data'!N377),CONCATENATE("0",MONTH('Raw Data'!N377)))),CONCATENATE(MONTH('Raw Data'!N377),".",RIGHT(YEAR('Raw Data'!N377),2))),'Raw Data'!N377))</f>
        <v>483.5</v>
      </c>
      <c r="O377" s="6">
        <f t="shared" si="16"/>
        <v>4.7619047619047636</v>
      </c>
      <c r="P377" s="6">
        <f t="shared" si="17"/>
        <v>24.175000000000011</v>
      </c>
      <c r="Q377">
        <f>VALUE(IF(AND(ISERR(FIND(".",'Raw Data'!Q377)),LEN('Raw Data'!Q377)=5), IF(YEAR('Raw Data'!Q377)=2026,CONCATENATE(DAY('Raw Data'!Q377),".",IF(LEN(MONTH('Raw Data'!Q377))=2,MONTH('Raw Data'!Q377),CONCATENATE(MONTH('Raw Data'!Q377)))),CONCATENATE(MONTH('Raw Data'!Q377),".",RIGHT(YEAR('Raw Data'!Q377),2))),'Raw Data'!Q377))</f>
        <v>7</v>
      </c>
    </row>
    <row r="378" spans="1:17">
      <c r="A378" t="s">
        <v>465</v>
      </c>
      <c r="B378" t="s">
        <v>34</v>
      </c>
      <c r="C378" t="s">
        <v>35</v>
      </c>
      <c r="D378" t="s">
        <v>20</v>
      </c>
      <c r="E378" t="s">
        <v>21</v>
      </c>
      <c r="F378" t="s">
        <v>32</v>
      </c>
      <c r="G378">
        <f>VALUE(IF(AND(ISERR(FIND(".",'Raw Data'!G378)),LEN('Raw Data'!G378)=5), IF(YEAR('Raw Data'!G378)=2026,CONCATENATE(DAY('Raw Data'!G378),".",IF(LEN(MONTH('Raw Data'!G378))=2,MONTH('Raw Data'!G378),CONCATENATE("0",MONTH('Raw Data'!G378)))),CONCATENATE(MONTH('Raw Data'!G378),".",RIGHT(YEAR('Raw Data'!G378),2))),'Raw Data'!G378))</f>
        <v>35.380000000000003</v>
      </c>
      <c r="H378">
        <f>'Raw Data'!H378</f>
        <v>9</v>
      </c>
      <c r="I378" s="6">
        <f t="shared" si="15"/>
        <v>15.920999999999992</v>
      </c>
      <c r="J378" s="6">
        <f>'Raw Data'!J378</f>
        <v>334.34100000000001</v>
      </c>
      <c r="K378" s="1">
        <f>VALUE(IFERROR(VALUE('Raw Data'!K378),CONCATENATE(MID('Raw Data'!K378,3,2),".","0",LEFT('Raw Data'!K378,1),".", RIGHT('Raw Data'!K378,4))))</f>
        <v>43586</v>
      </c>
      <c r="L378" s="2">
        <f>'Raw Data'!L378</f>
        <v>0.82638888888888884</v>
      </c>
      <c r="M378" t="s">
        <v>33</v>
      </c>
      <c r="N378">
        <f>VALUE(IF(AND(ISERR(FIND(".",'Raw Data'!N378)),LEN('Raw Data'!N378)=5), IF(YEAR('Raw Data'!N378)=2026,CONCATENATE(DAY('Raw Data'!N378),".",IF(LEN(MONTH('Raw Data'!N378))=2,MONTH('Raw Data'!N378),CONCATENATE("0",MONTH('Raw Data'!N378)))),CONCATENATE(MONTH('Raw Data'!N378),".",RIGHT(YEAR('Raw Data'!N378),2))),'Raw Data'!N378))</f>
        <v>318.42</v>
      </c>
      <c r="O378" s="6">
        <f t="shared" si="16"/>
        <v>4.7619047619047592</v>
      </c>
      <c r="P378" s="6">
        <f t="shared" si="17"/>
        <v>15.920999999999992</v>
      </c>
      <c r="Q378">
        <f>VALUE(IF(AND(ISERR(FIND(".",'Raw Data'!Q378)),LEN('Raw Data'!Q378)=5), IF(YEAR('Raw Data'!Q378)=2026,CONCATENATE(DAY('Raw Data'!Q378),".",IF(LEN(MONTH('Raw Data'!Q378))=2,MONTH('Raw Data'!Q378),CONCATENATE(MONTH('Raw Data'!Q378)))),CONCATENATE(MONTH('Raw Data'!Q378),".",RIGHT(YEAR('Raw Data'!Q378),2))),'Raw Data'!Q378))</f>
        <v>9.6</v>
      </c>
    </row>
    <row r="379" spans="1:17">
      <c r="A379" t="s">
        <v>466</v>
      </c>
      <c r="B379" t="s">
        <v>25</v>
      </c>
      <c r="C379" t="s">
        <v>26</v>
      </c>
      <c r="D379" t="s">
        <v>27</v>
      </c>
      <c r="E379" t="s">
        <v>30</v>
      </c>
      <c r="F379" t="s">
        <v>38</v>
      </c>
      <c r="G379">
        <f>VALUE(IF(AND(ISERR(FIND(".",'Raw Data'!G379)),LEN('Raw Data'!G379)=5), IF(YEAR('Raw Data'!G379)=2026,CONCATENATE(DAY('Raw Data'!G379),".",IF(LEN(MONTH('Raw Data'!G379))=2,MONTH('Raw Data'!G379),CONCATENATE("0",MONTH('Raw Data'!G379)))),CONCATENATE(MONTH('Raw Data'!G379),".",RIGHT(YEAR('Raw Data'!G379),2))),'Raw Data'!G379))</f>
        <v>95.49</v>
      </c>
      <c r="H379">
        <f>'Raw Data'!H379</f>
        <v>7</v>
      </c>
      <c r="I379" s="6">
        <f t="shared" si="15"/>
        <v>33.421500000000037</v>
      </c>
      <c r="J379" s="6">
        <f>'Raw Data'!J379</f>
        <v>701.85149999999999</v>
      </c>
      <c r="K379" s="1">
        <f>VALUE(IFERROR(VALUE('Raw Data'!K379),CONCATENATE(MID('Raw Data'!K379,3,2),".","0",LEFT('Raw Data'!K379,1),".", RIGHT('Raw Data'!K379,4))))</f>
        <v>43518</v>
      </c>
      <c r="L379" s="2">
        <f>'Raw Data'!L379</f>
        <v>0.76180555555555562</v>
      </c>
      <c r="M379" t="s">
        <v>23</v>
      </c>
      <c r="N379">
        <f>VALUE(IF(AND(ISERR(FIND(".",'Raw Data'!N379)),LEN('Raw Data'!N379)=5), IF(YEAR('Raw Data'!N379)=2026,CONCATENATE(DAY('Raw Data'!N379),".",IF(LEN(MONTH('Raw Data'!N379))=2,MONTH('Raw Data'!N379),CONCATENATE("0",MONTH('Raw Data'!N379)))),CONCATENATE(MONTH('Raw Data'!N379),".",RIGHT(YEAR('Raw Data'!N379),2))),'Raw Data'!N379))</f>
        <v>668.43</v>
      </c>
      <c r="O379" s="6">
        <f t="shared" si="16"/>
        <v>4.7619047619047672</v>
      </c>
      <c r="P379" s="6">
        <f t="shared" si="17"/>
        <v>33.421500000000037</v>
      </c>
      <c r="Q379">
        <f>VALUE(IF(AND(ISERR(FIND(".",'Raw Data'!Q379)),LEN('Raw Data'!Q379)=5), IF(YEAR('Raw Data'!Q379)=2026,CONCATENATE(DAY('Raw Data'!Q379),".",IF(LEN(MONTH('Raw Data'!Q379))=2,MONTH('Raw Data'!Q379),CONCATENATE(MONTH('Raw Data'!Q379)))),CONCATENATE(MONTH('Raw Data'!Q379),".",RIGHT(YEAR('Raw Data'!Q379),2))),'Raw Data'!Q379))</f>
        <v>8.6999999999999993</v>
      </c>
    </row>
    <row r="380" spans="1:17">
      <c r="A380" t="s">
        <v>467</v>
      </c>
      <c r="B380" t="s">
        <v>25</v>
      </c>
      <c r="C380" t="s">
        <v>26</v>
      </c>
      <c r="D380" t="s">
        <v>20</v>
      </c>
      <c r="E380" t="s">
        <v>30</v>
      </c>
      <c r="F380" t="s">
        <v>43</v>
      </c>
      <c r="G380">
        <f>VALUE(IF(AND(ISERR(FIND(".",'Raw Data'!G380)),LEN('Raw Data'!G380)=5), IF(YEAR('Raw Data'!G380)=2026,CONCATENATE(DAY('Raw Data'!G380),".",IF(LEN(MONTH('Raw Data'!G380))=2,MONTH('Raw Data'!G380),CONCATENATE("0",MONTH('Raw Data'!G380)))),CONCATENATE(MONTH('Raw Data'!G380),".",RIGHT(YEAR('Raw Data'!G380),2))),'Raw Data'!G380))</f>
        <v>96.98</v>
      </c>
      <c r="H380">
        <f>'Raw Data'!H380</f>
        <v>4</v>
      </c>
      <c r="I380" s="6">
        <f t="shared" si="15"/>
        <v>19.395999999999958</v>
      </c>
      <c r="J380" s="6">
        <f>'Raw Data'!J380</f>
        <v>407.31599999999997</v>
      </c>
      <c r="K380" s="1">
        <f>VALUE(IFERROR(VALUE('Raw Data'!K380),CONCATENATE(MID('Raw Data'!K380,3,2),".","0",LEFT('Raw Data'!K380,1),".", RIGHT('Raw Data'!K380,4))))</f>
        <v>43618</v>
      </c>
      <c r="L380" s="2">
        <f>'Raw Data'!L380</f>
        <v>0.72222222222222221</v>
      </c>
      <c r="M380" t="s">
        <v>23</v>
      </c>
      <c r="N380">
        <f>VALUE(IF(AND(ISERR(FIND(".",'Raw Data'!N380)),LEN('Raw Data'!N380)=5), IF(YEAR('Raw Data'!N380)=2026,CONCATENATE(DAY('Raw Data'!N380),".",IF(LEN(MONTH('Raw Data'!N380))=2,MONTH('Raw Data'!N380),CONCATENATE("0",MONTH('Raw Data'!N380)))),CONCATENATE(MONTH('Raw Data'!N380),".",RIGHT(YEAR('Raw Data'!N380),2))),'Raw Data'!N380))</f>
        <v>387.92</v>
      </c>
      <c r="O380" s="6">
        <f t="shared" si="16"/>
        <v>4.7619047619047521</v>
      </c>
      <c r="P380" s="6">
        <f t="shared" si="17"/>
        <v>19.395999999999958</v>
      </c>
      <c r="Q380">
        <f>VALUE(IF(AND(ISERR(FIND(".",'Raw Data'!Q380)),LEN('Raw Data'!Q380)=5), IF(YEAR('Raw Data'!Q380)=2026,CONCATENATE(DAY('Raw Data'!Q380),".",IF(LEN(MONTH('Raw Data'!Q380))=2,MONTH('Raw Data'!Q380),CONCATENATE(MONTH('Raw Data'!Q380)))),CONCATENATE(MONTH('Raw Data'!Q380),".",RIGHT(YEAR('Raw Data'!Q380),2))),'Raw Data'!Q380))</f>
        <v>9.4</v>
      </c>
    </row>
    <row r="381" spans="1:17">
      <c r="A381" t="s">
        <v>468</v>
      </c>
      <c r="B381" t="s">
        <v>34</v>
      </c>
      <c r="C381" t="s">
        <v>35</v>
      </c>
      <c r="D381" t="s">
        <v>27</v>
      </c>
      <c r="E381" t="s">
        <v>21</v>
      </c>
      <c r="F381" t="s">
        <v>28</v>
      </c>
      <c r="G381">
        <f>VALUE(IF(AND(ISERR(FIND(".",'Raw Data'!G381)),LEN('Raw Data'!G381)=5), IF(YEAR('Raw Data'!G381)=2026,CONCATENATE(DAY('Raw Data'!G381),".",IF(LEN(MONTH('Raw Data'!G381))=2,MONTH('Raw Data'!G381),CONCATENATE("0",MONTH('Raw Data'!G381)))),CONCATENATE(MONTH('Raw Data'!G381),".",RIGHT(YEAR('Raw Data'!G381),2))),'Raw Data'!G381))</f>
        <v>23.65</v>
      </c>
      <c r="H381">
        <f>'Raw Data'!H381</f>
        <v>4</v>
      </c>
      <c r="I381" s="6">
        <f t="shared" si="15"/>
        <v>4.730000000000004</v>
      </c>
      <c r="J381" s="6">
        <f>'Raw Data'!J381</f>
        <v>99.33</v>
      </c>
      <c r="K381" s="1">
        <f>VALUE(IFERROR(VALUE('Raw Data'!K381),CONCATENATE(MID('Raw Data'!K381,3,2),".","0",LEFT('Raw Data'!K381,1),".", RIGHT('Raw Data'!K381,4))))</f>
        <v>43495</v>
      </c>
      <c r="L381" s="2">
        <f>'Raw Data'!L381</f>
        <v>0.56388888888888888</v>
      </c>
      <c r="M381" t="s">
        <v>33</v>
      </c>
      <c r="N381">
        <f>VALUE(IF(AND(ISERR(FIND(".",'Raw Data'!N381)),LEN('Raw Data'!N381)=5), IF(YEAR('Raw Data'!N381)=2026,CONCATENATE(DAY('Raw Data'!N381),".",IF(LEN(MONTH('Raw Data'!N381))=2,MONTH('Raw Data'!N381),CONCATENATE("0",MONTH('Raw Data'!N381)))),CONCATENATE(MONTH('Raw Data'!N381),".",RIGHT(YEAR('Raw Data'!N381),2))),'Raw Data'!N381))</f>
        <v>94.6</v>
      </c>
      <c r="O381" s="6">
        <f t="shared" si="16"/>
        <v>4.7619047619047654</v>
      </c>
      <c r="P381" s="6">
        <f t="shared" si="17"/>
        <v>4.730000000000004</v>
      </c>
      <c r="Q381">
        <f>VALUE(IF(AND(ISERR(FIND(".",'Raw Data'!Q381)),LEN('Raw Data'!Q381)=5), IF(YEAR('Raw Data'!Q381)=2026,CONCATENATE(DAY('Raw Data'!Q381),".",IF(LEN(MONTH('Raw Data'!Q381))=2,MONTH('Raw Data'!Q381),CONCATENATE(MONTH('Raw Data'!Q381)))),CONCATENATE(MONTH('Raw Data'!Q381),".",RIGHT(YEAR('Raw Data'!Q381),2))),'Raw Data'!Q381))</f>
        <v>4</v>
      </c>
    </row>
    <row r="382" spans="1:17">
      <c r="A382" t="s">
        <v>469</v>
      </c>
      <c r="B382" t="s">
        <v>18</v>
      </c>
      <c r="C382" t="s">
        <v>19</v>
      </c>
      <c r="D382" t="s">
        <v>20</v>
      </c>
      <c r="E382" t="s">
        <v>30</v>
      </c>
      <c r="F382" t="s">
        <v>38</v>
      </c>
      <c r="G382">
        <f>VALUE(IF(AND(ISERR(FIND(".",'Raw Data'!G382)),LEN('Raw Data'!G382)=5), IF(YEAR('Raw Data'!G382)=2026,CONCATENATE(DAY('Raw Data'!G382),".",IF(LEN(MONTH('Raw Data'!G382))=2,MONTH('Raw Data'!G382),CONCATENATE("0",MONTH('Raw Data'!G382)))),CONCATENATE(MONTH('Raw Data'!G382),".",RIGHT(YEAR('Raw Data'!G382),2))),'Raw Data'!G382))</f>
        <v>82.33</v>
      </c>
      <c r="H382">
        <f>'Raw Data'!H382</f>
        <v>4</v>
      </c>
      <c r="I382" s="6">
        <f t="shared" si="15"/>
        <v>16.466000000000008</v>
      </c>
      <c r="J382" s="6">
        <f>'Raw Data'!J382</f>
        <v>345.786</v>
      </c>
      <c r="K382" s="1">
        <f>VALUE(IFERROR(VALUE('Raw Data'!K382),CONCATENATE(MID('Raw Data'!K382,3,2),".","0",LEFT('Raw Data'!K382,1),".", RIGHT('Raw Data'!K382,4))))</f>
        <v>43770</v>
      </c>
      <c r="L382" s="2">
        <f>'Raw Data'!L382</f>
        <v>0.44236111111111115</v>
      </c>
      <c r="M382" t="s">
        <v>33</v>
      </c>
      <c r="N382">
        <f>VALUE(IF(AND(ISERR(FIND(".",'Raw Data'!N382)),LEN('Raw Data'!N382)=5), IF(YEAR('Raw Data'!N382)=2026,CONCATENATE(DAY('Raw Data'!N382),".",IF(LEN(MONTH('Raw Data'!N382))=2,MONTH('Raw Data'!N382),CONCATENATE("0",MONTH('Raw Data'!N382)))),CONCATENATE(MONTH('Raw Data'!N382),".",RIGHT(YEAR('Raw Data'!N382),2))),'Raw Data'!N382))</f>
        <v>329.32</v>
      </c>
      <c r="O382" s="6">
        <f t="shared" si="16"/>
        <v>4.7619047619047645</v>
      </c>
      <c r="P382" s="6">
        <f t="shared" si="17"/>
        <v>16.466000000000008</v>
      </c>
      <c r="Q382">
        <f>VALUE(IF(AND(ISERR(FIND(".",'Raw Data'!Q382)),LEN('Raw Data'!Q382)=5), IF(YEAR('Raw Data'!Q382)=2026,CONCATENATE(DAY('Raw Data'!Q382),".",IF(LEN(MONTH('Raw Data'!Q382))=2,MONTH('Raw Data'!Q382),CONCATENATE(MONTH('Raw Data'!Q382)))),CONCATENATE(MONTH('Raw Data'!Q382),".",RIGHT(YEAR('Raw Data'!Q382),2))),'Raw Data'!Q382))</f>
        <v>7.5</v>
      </c>
    </row>
    <row r="383" spans="1:17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f>VALUE(IF(AND(ISERR(FIND(".",'Raw Data'!G383)),LEN('Raw Data'!G383)=5), IF(YEAR('Raw Data'!G383)=2026,CONCATENATE(DAY('Raw Data'!G383),".",IF(LEN(MONTH('Raw Data'!G383))=2,MONTH('Raw Data'!G383),CONCATENATE("0",MONTH('Raw Data'!G383)))),CONCATENATE(MONTH('Raw Data'!G383),".",RIGHT(YEAR('Raw Data'!G383),2))),'Raw Data'!G383))</f>
        <v>26.61</v>
      </c>
      <c r="H383">
        <f>'Raw Data'!H383</f>
        <v>2</v>
      </c>
      <c r="I383" s="6">
        <f t="shared" si="15"/>
        <v>2.6610000000000014</v>
      </c>
      <c r="J383" s="6">
        <f>'Raw Data'!J383</f>
        <v>55.881</v>
      </c>
      <c r="K383" s="1">
        <f>VALUE(IFERROR(VALUE('Raw Data'!K383),CONCATENATE(MID('Raw Data'!K383,3,2),".","0",LEFT('Raw Data'!K383,1),".", RIGHT('Raw Data'!K383,4))))</f>
        <v>43543</v>
      </c>
      <c r="L383" s="2">
        <f>'Raw Data'!L383</f>
        <v>0.60763888888888895</v>
      </c>
      <c r="M383" t="s">
        <v>29</v>
      </c>
      <c r="N383">
        <f>VALUE(IF(AND(ISERR(FIND(".",'Raw Data'!N383)),LEN('Raw Data'!N383)=5), IF(YEAR('Raw Data'!N383)=2026,CONCATENATE(DAY('Raw Data'!N383),".",IF(LEN(MONTH('Raw Data'!N383))=2,MONTH('Raw Data'!N383),CONCATENATE("0",MONTH('Raw Data'!N383)))),CONCATENATE(MONTH('Raw Data'!N383),".",RIGHT(YEAR('Raw Data'!N383),2))),'Raw Data'!N383))</f>
        <v>53.22</v>
      </c>
      <c r="O383" s="6">
        <f t="shared" si="16"/>
        <v>4.7619047619047645</v>
      </c>
      <c r="P383" s="6">
        <f t="shared" si="17"/>
        <v>2.6610000000000014</v>
      </c>
      <c r="Q383">
        <f>VALUE(IF(AND(ISERR(FIND(".",'Raw Data'!Q383)),LEN('Raw Data'!Q383)=5), IF(YEAR('Raw Data'!Q383)=2026,CONCATENATE(DAY('Raw Data'!Q383),".",IF(LEN(MONTH('Raw Data'!Q383))=2,MONTH('Raw Data'!Q383),CONCATENATE(MONTH('Raw Data'!Q383)))),CONCATENATE(MONTH('Raw Data'!Q383),".",RIGHT(YEAR('Raw Data'!Q383),2))),'Raw Data'!Q383))</f>
        <v>4.2</v>
      </c>
    </row>
    <row r="384" spans="1:17">
      <c r="A384" t="s">
        <v>471</v>
      </c>
      <c r="B384" t="s">
        <v>34</v>
      </c>
      <c r="C384" t="s">
        <v>35</v>
      </c>
      <c r="D384" t="s">
        <v>27</v>
      </c>
      <c r="E384" t="s">
        <v>21</v>
      </c>
      <c r="F384" t="s">
        <v>40</v>
      </c>
      <c r="G384">
        <f>VALUE(IF(AND(ISERR(FIND(".",'Raw Data'!G384)),LEN('Raw Data'!G384)=5), IF(YEAR('Raw Data'!G384)=2026,CONCATENATE(DAY('Raw Data'!G384),".",IF(LEN(MONTH('Raw Data'!G384))=2,MONTH('Raw Data'!G384),CONCATENATE("0",MONTH('Raw Data'!G384)))),CONCATENATE(MONTH('Raw Data'!G384),".",RIGHT(YEAR('Raw Data'!G384),2))),'Raw Data'!G384))</f>
        <v>99.69</v>
      </c>
      <c r="H384">
        <f>'Raw Data'!H384</f>
        <v>5</v>
      </c>
      <c r="I384" s="6">
        <f t="shared" si="15"/>
        <v>24.922499999999957</v>
      </c>
      <c r="J384" s="6">
        <f>'Raw Data'!J384</f>
        <v>523.37249999999995</v>
      </c>
      <c r="K384" s="1">
        <f>VALUE(IFERROR(VALUE('Raw Data'!K384),CONCATENATE(MID('Raw Data'!K384,3,2),".","0",LEFT('Raw Data'!K384,1),".", RIGHT('Raw Data'!K384,4))))</f>
        <v>43479</v>
      </c>
      <c r="L384" s="2">
        <f>'Raw Data'!L384</f>
        <v>0.50624999999999998</v>
      </c>
      <c r="M384" t="s">
        <v>29</v>
      </c>
      <c r="N384">
        <f>VALUE(IF(AND(ISERR(FIND(".",'Raw Data'!N384)),LEN('Raw Data'!N384)=5), IF(YEAR('Raw Data'!N384)=2026,CONCATENATE(DAY('Raw Data'!N384),".",IF(LEN(MONTH('Raw Data'!N384))=2,MONTH('Raw Data'!N384),CONCATENATE("0",MONTH('Raw Data'!N384)))),CONCATENATE(MONTH('Raw Data'!N384),".",RIGHT(YEAR('Raw Data'!N384),2))),'Raw Data'!N384))</f>
        <v>498.45</v>
      </c>
      <c r="O384" s="6">
        <f t="shared" si="16"/>
        <v>4.7619047619047539</v>
      </c>
      <c r="P384" s="6">
        <f t="shared" si="17"/>
        <v>24.922499999999957</v>
      </c>
      <c r="Q384">
        <f>VALUE(IF(AND(ISERR(FIND(".",'Raw Data'!Q384)),LEN('Raw Data'!Q384)=5), IF(YEAR('Raw Data'!Q384)=2026,CONCATENATE(DAY('Raw Data'!Q384),".",IF(LEN(MONTH('Raw Data'!Q384))=2,MONTH('Raw Data'!Q384),CONCATENATE(MONTH('Raw Data'!Q384)))),CONCATENATE(MONTH('Raw Data'!Q384),".",RIGHT(YEAR('Raw Data'!Q384),2))),'Raw Data'!Q384))</f>
        <v>9.9</v>
      </c>
    </row>
    <row r="385" spans="1:17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40</v>
      </c>
      <c r="G385">
        <f>VALUE(IF(AND(ISERR(FIND(".",'Raw Data'!G385)),LEN('Raw Data'!G385)=5), IF(YEAR('Raw Data'!G385)=2026,CONCATENATE(DAY('Raw Data'!G385),".",IF(LEN(MONTH('Raw Data'!G385))=2,MONTH('Raw Data'!G385),CONCATENATE("0",MONTH('Raw Data'!G385)))),CONCATENATE(MONTH('Raw Data'!G385),".",RIGHT(YEAR('Raw Data'!G385),2))),'Raw Data'!G385))</f>
        <v>74.89</v>
      </c>
      <c r="H385">
        <f>'Raw Data'!H385</f>
        <v>4</v>
      </c>
      <c r="I385" s="6">
        <f t="shared" si="15"/>
        <v>14.978000000000009</v>
      </c>
      <c r="J385" s="6">
        <f>'Raw Data'!J385</f>
        <v>314.53800000000001</v>
      </c>
      <c r="K385" s="1">
        <f>VALUE(IFERROR(VALUE('Raw Data'!K385),CONCATENATE(MID('Raw Data'!K385,3,2),".","0",LEFT('Raw Data'!K385,1),".", RIGHT('Raw Data'!K385,4))))</f>
        <v>43468</v>
      </c>
      <c r="L385" s="2">
        <f>'Raw Data'!L385</f>
        <v>0.64722222222222225</v>
      </c>
      <c r="M385" t="s">
        <v>23</v>
      </c>
      <c r="N385">
        <f>VALUE(IF(AND(ISERR(FIND(".",'Raw Data'!N385)),LEN('Raw Data'!N385)=5), IF(YEAR('Raw Data'!N385)=2026,CONCATENATE(DAY('Raw Data'!N385),".",IF(LEN(MONTH('Raw Data'!N385))=2,MONTH('Raw Data'!N385),CONCATENATE("0",MONTH('Raw Data'!N385)))),CONCATENATE(MONTH('Raw Data'!N385),".",RIGHT(YEAR('Raw Data'!N385),2))),'Raw Data'!N385))</f>
        <v>299.56</v>
      </c>
      <c r="O385" s="6">
        <f t="shared" si="16"/>
        <v>4.7619047619047645</v>
      </c>
      <c r="P385" s="6">
        <f t="shared" si="17"/>
        <v>14.978000000000009</v>
      </c>
      <c r="Q385">
        <f>VALUE(IF(AND(ISERR(FIND(".",'Raw Data'!Q385)),LEN('Raw Data'!Q385)=5), IF(YEAR('Raw Data'!Q385)=2026,CONCATENATE(DAY('Raw Data'!Q385),".",IF(LEN(MONTH('Raw Data'!Q385))=2,MONTH('Raw Data'!Q385),CONCATENATE(MONTH('Raw Data'!Q385)))),CONCATENATE(MONTH('Raw Data'!Q385),".",RIGHT(YEAR('Raw Data'!Q385),2))),'Raw Data'!Q385))</f>
        <v>4.2</v>
      </c>
    </row>
    <row r="386" spans="1:17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40</v>
      </c>
      <c r="G386">
        <f>VALUE(IF(AND(ISERR(FIND(".",'Raw Data'!G386)),LEN('Raw Data'!G386)=5), IF(YEAR('Raw Data'!G386)=2026,CONCATENATE(DAY('Raw Data'!G386),".",IF(LEN(MONTH('Raw Data'!G386))=2,MONTH('Raw Data'!G386),CONCATENATE("0",MONTH('Raw Data'!G386)))),CONCATENATE(MONTH('Raw Data'!G386),".",RIGHT(YEAR('Raw Data'!G386),2))),'Raw Data'!G386))</f>
        <v>40.94</v>
      </c>
      <c r="H386">
        <f>'Raw Data'!H386</f>
        <v>5</v>
      </c>
      <c r="I386" s="6">
        <f t="shared" si="15"/>
        <v>10.235000000000014</v>
      </c>
      <c r="J386" s="6">
        <f>'Raw Data'!J386</f>
        <v>214.935</v>
      </c>
      <c r="K386" s="1">
        <f>VALUE(IFERROR(VALUE('Raw Data'!K386),CONCATENATE(MID('Raw Data'!K386,3,2),".","0",LEFT('Raw Data'!K386,1),".", RIGHT('Raw Data'!K386,4))))</f>
        <v>43617</v>
      </c>
      <c r="L386" s="2">
        <f>'Raw Data'!L386</f>
        <v>0.58194444444444449</v>
      </c>
      <c r="M386" t="s">
        <v>23</v>
      </c>
      <c r="N386">
        <f>VALUE(IF(AND(ISERR(FIND(".",'Raw Data'!N386)),LEN('Raw Data'!N386)=5), IF(YEAR('Raw Data'!N386)=2026,CONCATENATE(DAY('Raw Data'!N386),".",IF(LEN(MONTH('Raw Data'!N386))=2,MONTH('Raw Data'!N386),CONCATENATE("0",MONTH('Raw Data'!N386)))),CONCATENATE(MONTH('Raw Data'!N386),".",RIGHT(YEAR('Raw Data'!N386),2))),'Raw Data'!N386))</f>
        <v>204.7</v>
      </c>
      <c r="O386" s="6">
        <f t="shared" si="16"/>
        <v>4.7619047619047681</v>
      </c>
      <c r="P386" s="6">
        <f t="shared" si="17"/>
        <v>10.235000000000014</v>
      </c>
      <c r="Q386">
        <f>VALUE(IF(AND(ISERR(FIND(".",'Raw Data'!Q386)),LEN('Raw Data'!Q386)=5), IF(YEAR('Raw Data'!Q386)=2026,CONCATENATE(DAY('Raw Data'!Q386),".",IF(LEN(MONTH('Raw Data'!Q386))=2,MONTH('Raw Data'!Q386),CONCATENATE(MONTH('Raw Data'!Q386)))),CONCATENATE(MONTH('Raw Data'!Q386),".",RIGHT(YEAR('Raw Data'!Q386),2))),'Raw Data'!Q386))</f>
        <v>9.9</v>
      </c>
    </row>
    <row r="387" spans="1:17">
      <c r="A387" t="s">
        <v>474</v>
      </c>
      <c r="B387" t="s">
        <v>34</v>
      </c>
      <c r="C387" t="s">
        <v>35</v>
      </c>
      <c r="D387" t="s">
        <v>20</v>
      </c>
      <c r="E387" t="s">
        <v>30</v>
      </c>
      <c r="F387" t="s">
        <v>38</v>
      </c>
      <c r="G387">
        <f>VALUE(IF(AND(ISERR(FIND(".",'Raw Data'!G387)),LEN('Raw Data'!G387)=5), IF(YEAR('Raw Data'!G387)=2026,CONCATENATE(DAY('Raw Data'!G387),".",IF(LEN(MONTH('Raw Data'!G387))=2,MONTH('Raw Data'!G387),CONCATENATE("0",MONTH('Raw Data'!G387)))),CONCATENATE(MONTH('Raw Data'!G387),".",RIGHT(YEAR('Raw Data'!G387),2))),'Raw Data'!G387))</f>
        <v>75.819999999999993</v>
      </c>
      <c r="H387">
        <f>'Raw Data'!H387</f>
        <v>1</v>
      </c>
      <c r="I387" s="6">
        <f t="shared" ref="I387:I450" si="18">J387-G387*H387</f>
        <v>3.791000000000011</v>
      </c>
      <c r="J387" s="6">
        <f>'Raw Data'!J387</f>
        <v>79.611000000000004</v>
      </c>
      <c r="K387" s="1">
        <f>VALUE(IFERROR(VALUE('Raw Data'!K387),CONCATENATE(MID('Raw Data'!K387,3,2),".","0",LEFT('Raw Data'!K387,1),".", RIGHT('Raw Data'!K387,4))))</f>
        <v>43496</v>
      </c>
      <c r="L387" s="2">
        <f>'Raw Data'!L387</f>
        <v>0.55486111111111114</v>
      </c>
      <c r="M387" t="s">
        <v>29</v>
      </c>
      <c r="N387">
        <f>VALUE(IF(AND(ISERR(FIND(".",'Raw Data'!N387)),LEN('Raw Data'!N387)=5), IF(YEAR('Raw Data'!N387)=2026,CONCATENATE(DAY('Raw Data'!N387),".",IF(LEN(MONTH('Raw Data'!N387))=2,MONTH('Raw Data'!N387),CONCATENATE("0",MONTH('Raw Data'!N387)))),CONCATENATE(MONTH('Raw Data'!N387),".",RIGHT(YEAR('Raw Data'!N387),2))),'Raw Data'!N387))</f>
        <v>75.819999999999993</v>
      </c>
      <c r="O387" s="6">
        <f t="shared" ref="O387:O450" si="19">P387/J387*100</f>
        <v>4.7619047619047752</v>
      </c>
      <c r="P387" s="6">
        <f t="shared" ref="P387:P450" si="20">J387-N387</f>
        <v>3.791000000000011</v>
      </c>
      <c r="Q387">
        <f>VALUE(IF(AND(ISERR(FIND(".",'Raw Data'!Q387)),LEN('Raw Data'!Q387)=5), IF(YEAR('Raw Data'!Q387)=2026,CONCATENATE(DAY('Raw Data'!Q387),".",IF(LEN(MONTH('Raw Data'!Q387))=2,MONTH('Raw Data'!Q387),CONCATENATE(MONTH('Raw Data'!Q387)))),CONCATENATE(MONTH('Raw Data'!Q387),".",RIGHT(YEAR('Raw Data'!Q387),2))),'Raw Data'!Q387))</f>
        <v>5.8</v>
      </c>
    </row>
    <row r="388" spans="1:17">
      <c r="A388" t="s">
        <v>475</v>
      </c>
      <c r="B388" t="s">
        <v>25</v>
      </c>
      <c r="C388" t="s">
        <v>26</v>
      </c>
      <c r="D388" t="s">
        <v>27</v>
      </c>
      <c r="E388" t="s">
        <v>30</v>
      </c>
      <c r="F388" t="s">
        <v>40</v>
      </c>
      <c r="G388">
        <f>VALUE(IF(AND(ISERR(FIND(".",'Raw Data'!G388)),LEN('Raw Data'!G388)=5), IF(YEAR('Raw Data'!G388)=2026,CONCATENATE(DAY('Raw Data'!G388),".",IF(LEN(MONTH('Raw Data'!G388))=2,MONTH('Raw Data'!G388),CONCATENATE("0",MONTH('Raw Data'!G388)))),CONCATENATE(MONTH('Raw Data'!G388),".",RIGHT(YEAR('Raw Data'!G388),2))),'Raw Data'!G388))</f>
        <v>46.77</v>
      </c>
      <c r="H388">
        <f>'Raw Data'!H388</f>
        <v>6</v>
      </c>
      <c r="I388" s="6">
        <f t="shared" si="18"/>
        <v>14.031000000000006</v>
      </c>
      <c r="J388" s="6">
        <f>'Raw Data'!J388</f>
        <v>294.65100000000001</v>
      </c>
      <c r="K388" s="1">
        <f>VALUE(IFERROR(VALUE('Raw Data'!K388),CONCATENATE(MID('Raw Data'!K388,3,2),".","0",LEFT('Raw Data'!K388,1),".", RIGHT('Raw Data'!K388,4))))</f>
        <v>43772</v>
      </c>
      <c r="L388" s="2">
        <f>'Raw Data'!L388</f>
        <v>0.56736111111111109</v>
      </c>
      <c r="M388" t="s">
        <v>29</v>
      </c>
      <c r="N388">
        <f>VALUE(IF(AND(ISERR(FIND(".",'Raw Data'!N388)),LEN('Raw Data'!N388)=5), IF(YEAR('Raw Data'!N388)=2026,CONCATENATE(DAY('Raw Data'!N388),".",IF(LEN(MONTH('Raw Data'!N388))=2,MONTH('Raw Data'!N388),CONCATENATE("0",MONTH('Raw Data'!N388)))),CONCATENATE(MONTH('Raw Data'!N388),".",RIGHT(YEAR('Raw Data'!N388),2))),'Raw Data'!N388))</f>
        <v>280.62</v>
      </c>
      <c r="O388" s="6">
        <f t="shared" si="19"/>
        <v>4.7619047619047636</v>
      </c>
      <c r="P388" s="6">
        <f t="shared" si="20"/>
        <v>14.031000000000006</v>
      </c>
      <c r="Q388">
        <f>VALUE(IF(AND(ISERR(FIND(".",'Raw Data'!Q388)),LEN('Raw Data'!Q388)=5), IF(YEAR('Raw Data'!Q388)=2026,CONCATENATE(DAY('Raw Data'!Q388),".",IF(LEN(MONTH('Raw Data'!Q388))=2,MONTH('Raw Data'!Q388),CONCATENATE(MONTH('Raw Data'!Q388)))),CONCATENATE(MONTH('Raw Data'!Q388),".",RIGHT(YEAR('Raw Data'!Q388),2))),'Raw Data'!Q388))</f>
        <v>6</v>
      </c>
    </row>
    <row r="389" spans="1:17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f>VALUE(IF(AND(ISERR(FIND(".",'Raw Data'!G389)),LEN('Raw Data'!G389)=5), IF(YEAR('Raw Data'!G389)=2026,CONCATENATE(DAY('Raw Data'!G389),".",IF(LEN(MONTH('Raw Data'!G389))=2,MONTH('Raw Data'!G389),CONCATENATE("0",MONTH('Raw Data'!G389)))),CONCATENATE(MONTH('Raw Data'!G389),".",RIGHT(YEAR('Raw Data'!G389),2))),'Raw Data'!G389))</f>
        <v>32.32</v>
      </c>
      <c r="H389">
        <f>'Raw Data'!H389</f>
        <v>10</v>
      </c>
      <c r="I389" s="6">
        <f t="shared" si="18"/>
        <v>16.160000000000025</v>
      </c>
      <c r="J389" s="6">
        <f>'Raw Data'!J389</f>
        <v>339.36</v>
      </c>
      <c r="K389" s="1">
        <f>VALUE(IFERROR(VALUE('Raw Data'!K389),CONCATENATE(MID('Raw Data'!K389,3,2),".","0",LEFT('Raw Data'!K389,1),".", RIGHT('Raw Data'!K389,4))))</f>
        <v>43516</v>
      </c>
      <c r="L389" s="2">
        <f>'Raw Data'!L389</f>
        <v>0.7006944444444444</v>
      </c>
      <c r="M389" t="s">
        <v>33</v>
      </c>
      <c r="N389">
        <f>VALUE(IF(AND(ISERR(FIND(".",'Raw Data'!N389)),LEN('Raw Data'!N389)=5), IF(YEAR('Raw Data'!N389)=2026,CONCATENATE(DAY('Raw Data'!N389),".",IF(LEN(MONTH('Raw Data'!N389))=2,MONTH('Raw Data'!N389),CONCATENATE("0",MONTH('Raw Data'!N389)))),CONCATENATE(MONTH('Raw Data'!N389),".",RIGHT(YEAR('Raw Data'!N389),2))),'Raw Data'!N389))</f>
        <v>323.2</v>
      </c>
      <c r="O389" s="6">
        <f t="shared" si="19"/>
        <v>4.761904761904769</v>
      </c>
      <c r="P389" s="6">
        <f t="shared" si="20"/>
        <v>16.160000000000025</v>
      </c>
      <c r="Q389">
        <f>VALUE(IF(AND(ISERR(FIND(".",'Raw Data'!Q389)),LEN('Raw Data'!Q389)=5), IF(YEAR('Raw Data'!Q389)=2026,CONCATENATE(DAY('Raw Data'!Q389),".",IF(LEN(MONTH('Raw Data'!Q389))=2,MONTH('Raw Data'!Q389),CONCATENATE(MONTH('Raw Data'!Q389)))),CONCATENATE(MONTH('Raw Data'!Q389),".",RIGHT(YEAR('Raw Data'!Q389),2))),'Raw Data'!Q389))</f>
        <v>10</v>
      </c>
    </row>
    <row r="390" spans="1:17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43</v>
      </c>
      <c r="G390">
        <f>VALUE(IF(AND(ISERR(FIND(".",'Raw Data'!G390)),LEN('Raw Data'!G390)=5), IF(YEAR('Raw Data'!G390)=2026,CONCATENATE(DAY('Raw Data'!G390),".",IF(LEN(MONTH('Raw Data'!G390))=2,MONTH('Raw Data'!G390),CONCATENATE("0",MONTH('Raw Data'!G390)))),CONCATENATE(MONTH('Raw Data'!G390),".",RIGHT(YEAR('Raw Data'!G390),2))),'Raw Data'!G390))</f>
        <v>54.07</v>
      </c>
      <c r="H390">
        <f>'Raw Data'!H390</f>
        <v>9</v>
      </c>
      <c r="I390" s="6">
        <f t="shared" si="18"/>
        <v>24.331500000000005</v>
      </c>
      <c r="J390" s="6">
        <f>'Raw Data'!J390</f>
        <v>510.9615</v>
      </c>
      <c r="K390" s="1">
        <f>VALUE(IFERROR(VALUE('Raw Data'!K390),CONCATENATE(MID('Raw Data'!K390,3,2),".","0",LEFT('Raw Data'!K390,1),".", RIGHT('Raw Data'!K390,4))))</f>
        <v>43492</v>
      </c>
      <c r="L390" s="2">
        <f>'Raw Data'!L390</f>
        <v>0.62152777777777779</v>
      </c>
      <c r="M390" t="s">
        <v>23</v>
      </c>
      <c r="N390">
        <f>VALUE(IF(AND(ISERR(FIND(".",'Raw Data'!N390)),LEN('Raw Data'!N390)=5), IF(YEAR('Raw Data'!N390)=2026,CONCATENATE(DAY('Raw Data'!N390),".",IF(LEN(MONTH('Raw Data'!N390))=2,MONTH('Raw Data'!N390),CONCATENATE("0",MONTH('Raw Data'!N390)))),CONCATENATE(MONTH('Raw Data'!N390),".",RIGHT(YEAR('Raw Data'!N390),2))),'Raw Data'!N390))</f>
        <v>486.63</v>
      </c>
      <c r="O390" s="6">
        <f t="shared" si="19"/>
        <v>4.7619047619047628</v>
      </c>
      <c r="P390" s="6">
        <f t="shared" si="20"/>
        <v>24.331500000000005</v>
      </c>
      <c r="Q390">
        <f>VALUE(IF(AND(ISERR(FIND(".",'Raw Data'!Q390)),LEN('Raw Data'!Q390)=5), IF(YEAR('Raw Data'!Q390)=2026,CONCATENATE(DAY('Raw Data'!Q390),".",IF(LEN(MONTH('Raw Data'!Q390))=2,MONTH('Raw Data'!Q390),CONCATENATE(MONTH('Raw Data'!Q390)))),CONCATENATE(MONTH('Raw Data'!Q390),".",RIGHT(YEAR('Raw Data'!Q390),2))),'Raw Data'!Q390))</f>
        <v>9.5</v>
      </c>
    </row>
    <row r="391" spans="1:17">
      <c r="A391" t="s">
        <v>478</v>
      </c>
      <c r="B391" t="s">
        <v>34</v>
      </c>
      <c r="C391" t="s">
        <v>35</v>
      </c>
      <c r="D391" t="s">
        <v>27</v>
      </c>
      <c r="E391" t="s">
        <v>30</v>
      </c>
      <c r="F391" t="s">
        <v>40</v>
      </c>
      <c r="G391">
        <f>VALUE(IF(AND(ISERR(FIND(".",'Raw Data'!G391)),LEN('Raw Data'!G391)=5), IF(YEAR('Raw Data'!G391)=2026,CONCATENATE(DAY('Raw Data'!G391),".",IF(LEN(MONTH('Raw Data'!G391))=2,MONTH('Raw Data'!G391),CONCATENATE("0",MONTH('Raw Data'!G391)))),CONCATENATE(MONTH('Raw Data'!G391),".",RIGHT(YEAR('Raw Data'!G391),2))),'Raw Data'!G391))</f>
        <v>18.22</v>
      </c>
      <c r="H391">
        <f>'Raw Data'!H391</f>
        <v>7</v>
      </c>
      <c r="I391" s="6">
        <f t="shared" si="18"/>
        <v>6.3770000000000095</v>
      </c>
      <c r="J391" s="6">
        <f>'Raw Data'!J391</f>
        <v>133.917</v>
      </c>
      <c r="K391" s="1">
        <f>VALUE(IFERROR(VALUE('Raw Data'!K391),CONCATENATE(MID('Raw Data'!K391,3,2),".","0",LEFT('Raw Data'!K391,1),".", RIGHT('Raw Data'!K391,4))))</f>
        <v>43741</v>
      </c>
      <c r="L391" s="2">
        <f>'Raw Data'!L391</f>
        <v>0.58611111111111114</v>
      </c>
      <c r="M391" t="s">
        <v>33</v>
      </c>
      <c r="N391">
        <f>VALUE(IF(AND(ISERR(FIND(".",'Raw Data'!N391)),LEN('Raw Data'!N391)=5), IF(YEAR('Raw Data'!N391)=2026,CONCATENATE(DAY('Raw Data'!N391),".",IF(LEN(MONTH('Raw Data'!N391))=2,MONTH('Raw Data'!N391),CONCATENATE("0",MONTH('Raw Data'!N391)))),CONCATENATE(MONTH('Raw Data'!N391),".",RIGHT(YEAR('Raw Data'!N391),2))),'Raw Data'!N391))</f>
        <v>127.54</v>
      </c>
      <c r="O391" s="6">
        <f t="shared" si="19"/>
        <v>4.7619047619047583</v>
      </c>
      <c r="P391" s="6">
        <f t="shared" si="20"/>
        <v>6.3769999999999953</v>
      </c>
      <c r="Q391">
        <f>VALUE(IF(AND(ISERR(FIND(".",'Raw Data'!Q391)),LEN('Raw Data'!Q391)=5), IF(YEAR('Raw Data'!Q391)=2026,CONCATENATE(DAY('Raw Data'!Q391),".",IF(LEN(MONTH('Raw Data'!Q391))=2,MONTH('Raw Data'!Q391),CONCATENATE(MONTH('Raw Data'!Q391)))),CONCATENATE(MONTH('Raw Data'!Q391),".",RIGHT(YEAR('Raw Data'!Q391),2))),'Raw Data'!Q391))</f>
        <v>6.6</v>
      </c>
    </row>
    <row r="392" spans="1:17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43</v>
      </c>
      <c r="G392">
        <f>VALUE(IF(AND(ISERR(FIND(".",'Raw Data'!G392)),LEN('Raw Data'!G392)=5), IF(YEAR('Raw Data'!G392)=2026,CONCATENATE(DAY('Raw Data'!G392),".",IF(LEN(MONTH('Raw Data'!G392))=2,MONTH('Raw Data'!G392),CONCATENATE("0",MONTH('Raw Data'!G392)))),CONCATENATE(MONTH('Raw Data'!G392),".",RIGHT(YEAR('Raw Data'!G392),2))),'Raw Data'!G392))</f>
        <v>80.48</v>
      </c>
      <c r="H392">
        <f>'Raw Data'!H392</f>
        <v>3</v>
      </c>
      <c r="I392" s="6">
        <f t="shared" si="18"/>
        <v>12.072000000000003</v>
      </c>
      <c r="J392" s="6">
        <f>'Raw Data'!J392</f>
        <v>253.512</v>
      </c>
      <c r="K392" s="1">
        <f>VALUE(IFERROR(VALUE('Raw Data'!K392),CONCATENATE(MID('Raw Data'!K392,3,2),".","0",LEFT('Raw Data'!K392,1),".", RIGHT('Raw Data'!K392,4))))</f>
        <v>43511</v>
      </c>
      <c r="L392" s="2">
        <f>'Raw Data'!L392</f>
        <v>0.52152777777777781</v>
      </c>
      <c r="M392" t="s">
        <v>29</v>
      </c>
      <c r="N392">
        <f>VALUE(IF(AND(ISERR(FIND(".",'Raw Data'!N392)),LEN('Raw Data'!N392)=5), IF(YEAR('Raw Data'!N392)=2026,CONCATENATE(DAY('Raw Data'!N392),".",IF(LEN(MONTH('Raw Data'!N392))=2,MONTH('Raw Data'!N392),CONCATENATE("0",MONTH('Raw Data'!N392)))),CONCATENATE(MONTH('Raw Data'!N392),".",RIGHT(YEAR('Raw Data'!N392),2))),'Raw Data'!N392))</f>
        <v>241.44</v>
      </c>
      <c r="O392" s="6">
        <f t="shared" si="19"/>
        <v>4.7619047619047628</v>
      </c>
      <c r="P392" s="6">
        <f t="shared" si="20"/>
        <v>12.072000000000003</v>
      </c>
      <c r="Q392">
        <f>VALUE(IF(AND(ISERR(FIND(".",'Raw Data'!Q392)),LEN('Raw Data'!Q392)=5), IF(YEAR('Raw Data'!Q392)=2026,CONCATENATE(DAY('Raw Data'!Q392),".",IF(LEN(MONTH('Raw Data'!Q392))=2,MONTH('Raw Data'!Q392),CONCATENATE(MONTH('Raw Data'!Q392)))),CONCATENATE(MONTH('Raw Data'!Q392),".",RIGHT(YEAR('Raw Data'!Q392),2))),'Raw Data'!Q392))</f>
        <v>8.1</v>
      </c>
    </row>
    <row r="393" spans="1:17">
      <c r="A393" t="s">
        <v>480</v>
      </c>
      <c r="B393" t="s">
        <v>34</v>
      </c>
      <c r="C393" t="s">
        <v>35</v>
      </c>
      <c r="D393" t="s">
        <v>27</v>
      </c>
      <c r="E393" t="s">
        <v>21</v>
      </c>
      <c r="F393" t="s">
        <v>43</v>
      </c>
      <c r="G393">
        <f>VALUE(IF(AND(ISERR(FIND(".",'Raw Data'!G393)),LEN('Raw Data'!G393)=5), IF(YEAR('Raw Data'!G393)=2026,CONCATENATE(DAY('Raw Data'!G393),".",IF(LEN(MONTH('Raw Data'!G393))=2,MONTH('Raw Data'!G393),CONCATENATE("0",MONTH('Raw Data'!G393)))),CONCATENATE(MONTH('Raw Data'!G393),".",RIGHT(YEAR('Raw Data'!G393),2))),'Raw Data'!G393))</f>
        <v>37.950000000000003</v>
      </c>
      <c r="H393">
        <f>'Raw Data'!H393</f>
        <v>10</v>
      </c>
      <c r="I393" s="6">
        <f t="shared" si="18"/>
        <v>18.975000000000023</v>
      </c>
      <c r="J393" s="6">
        <f>'Raw Data'!J393</f>
        <v>398.47500000000002</v>
      </c>
      <c r="K393" s="1">
        <f>VALUE(IFERROR(VALUE('Raw Data'!K393),CONCATENATE(MID('Raw Data'!K393,3,2),".","0",LEFT('Raw Data'!K393,1),".", RIGHT('Raw Data'!K393,4))))</f>
        <v>43491</v>
      </c>
      <c r="L393" s="2">
        <f>'Raw Data'!L393</f>
        <v>0.61875000000000002</v>
      </c>
      <c r="M393" t="s">
        <v>29</v>
      </c>
      <c r="N393">
        <f>VALUE(IF(AND(ISERR(FIND(".",'Raw Data'!N393)),LEN('Raw Data'!N393)=5), IF(YEAR('Raw Data'!N393)=2026,CONCATENATE(DAY('Raw Data'!N393),".",IF(LEN(MONTH('Raw Data'!N393))=2,MONTH('Raw Data'!N393),CONCATENATE("0",MONTH('Raw Data'!N393)))),CONCATENATE(MONTH('Raw Data'!N393),".",RIGHT(YEAR('Raw Data'!N393),2))),'Raw Data'!N393))</f>
        <v>379.5</v>
      </c>
      <c r="O393" s="6">
        <f t="shared" si="19"/>
        <v>4.7619047619047672</v>
      </c>
      <c r="P393" s="6">
        <f t="shared" si="20"/>
        <v>18.975000000000023</v>
      </c>
      <c r="Q393">
        <f>VALUE(IF(AND(ISERR(FIND(".",'Raw Data'!Q393)),LEN('Raw Data'!Q393)=5), IF(YEAR('Raw Data'!Q393)=2026,CONCATENATE(DAY('Raw Data'!Q393),".",IF(LEN(MONTH('Raw Data'!Q393))=2,MONTH('Raw Data'!Q393),CONCATENATE(MONTH('Raw Data'!Q393)))),CONCATENATE(MONTH('Raw Data'!Q393),".",RIGHT(YEAR('Raw Data'!Q393),2))),'Raw Data'!Q393))</f>
        <v>9.6999999999999993</v>
      </c>
    </row>
    <row r="394" spans="1:17">
      <c r="A394" t="s">
        <v>481</v>
      </c>
      <c r="B394" t="s">
        <v>18</v>
      </c>
      <c r="C394" t="s">
        <v>19</v>
      </c>
      <c r="D394" t="s">
        <v>20</v>
      </c>
      <c r="E394" t="s">
        <v>30</v>
      </c>
      <c r="F394" t="s">
        <v>28</v>
      </c>
      <c r="G394">
        <f>VALUE(IF(AND(ISERR(FIND(".",'Raw Data'!G394)),LEN('Raw Data'!G394)=5), IF(YEAR('Raw Data'!G394)=2026,CONCATENATE(DAY('Raw Data'!G394),".",IF(LEN(MONTH('Raw Data'!G394))=2,MONTH('Raw Data'!G394),CONCATENATE("0",MONTH('Raw Data'!G394)))),CONCATENATE(MONTH('Raw Data'!G394),".",RIGHT(YEAR('Raw Data'!G394),2))),'Raw Data'!G394))</f>
        <v>76.819999999999993</v>
      </c>
      <c r="H394">
        <f>'Raw Data'!H394</f>
        <v>1</v>
      </c>
      <c r="I394" s="6">
        <f t="shared" si="18"/>
        <v>3.8410000000000082</v>
      </c>
      <c r="J394" s="6">
        <f>'Raw Data'!J394</f>
        <v>80.661000000000001</v>
      </c>
      <c r="K394" s="1">
        <f>VALUE(IFERROR(VALUE('Raw Data'!K394),CONCATENATE(MID('Raw Data'!K394,3,2),".","0",LEFT('Raw Data'!K394,1),".", RIGHT('Raw Data'!K394,4))))</f>
        <v>43509</v>
      </c>
      <c r="L394" s="2">
        <f>'Raw Data'!L394</f>
        <v>0.76874999999999993</v>
      </c>
      <c r="M394" t="s">
        <v>23</v>
      </c>
      <c r="N394">
        <f>VALUE(IF(AND(ISERR(FIND(".",'Raw Data'!N394)),LEN('Raw Data'!N394)=5), IF(YEAR('Raw Data'!N394)=2026,CONCATENATE(DAY('Raw Data'!N394),".",IF(LEN(MONTH('Raw Data'!N394))=2,MONTH('Raw Data'!N394),CONCATENATE("0",MONTH('Raw Data'!N394)))),CONCATENATE(MONTH('Raw Data'!N394),".",RIGHT(YEAR('Raw Data'!N394),2))),'Raw Data'!N394))</f>
        <v>76.819999999999993</v>
      </c>
      <c r="O394" s="6">
        <f t="shared" si="19"/>
        <v>4.7619047619047716</v>
      </c>
      <c r="P394" s="6">
        <f t="shared" si="20"/>
        <v>3.8410000000000082</v>
      </c>
      <c r="Q394">
        <f>VALUE(IF(AND(ISERR(FIND(".",'Raw Data'!Q394)),LEN('Raw Data'!Q394)=5), IF(YEAR('Raw Data'!Q394)=2026,CONCATENATE(DAY('Raw Data'!Q394),".",IF(LEN(MONTH('Raw Data'!Q394))=2,MONTH('Raw Data'!Q394),CONCATENATE(MONTH('Raw Data'!Q394)))),CONCATENATE(MONTH('Raw Data'!Q394),".",RIGHT(YEAR('Raw Data'!Q394),2))),'Raw Data'!Q394))</f>
        <v>7.2</v>
      </c>
    </row>
    <row r="395" spans="1:17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38</v>
      </c>
      <c r="G395">
        <f>VALUE(IF(AND(ISERR(FIND(".",'Raw Data'!G395)),LEN('Raw Data'!G395)=5), IF(YEAR('Raw Data'!G395)=2026,CONCATENATE(DAY('Raw Data'!G395),".",IF(LEN(MONTH('Raw Data'!G395))=2,MONTH('Raw Data'!G395),CONCATENATE("0",MONTH('Raw Data'!G395)))),CONCATENATE(MONTH('Raw Data'!G395),".",RIGHT(YEAR('Raw Data'!G395),2))),'Raw Data'!G395))</f>
        <v>52.26</v>
      </c>
      <c r="H395">
        <f>'Raw Data'!H395</f>
        <v>10</v>
      </c>
      <c r="I395" s="6">
        <f t="shared" si="18"/>
        <v>26.129999999999995</v>
      </c>
      <c r="J395" s="6">
        <f>'Raw Data'!J395</f>
        <v>548.73</v>
      </c>
      <c r="K395" s="1">
        <f>VALUE(IFERROR(VALUE('Raw Data'!K395),CONCATENATE(MID('Raw Data'!K395,3,2),".","0",LEFT('Raw Data'!K395,1),".", RIGHT('Raw Data'!K395,4))))</f>
        <v>43711</v>
      </c>
      <c r="L395" s="2">
        <f>'Raw Data'!L395</f>
        <v>0.53125</v>
      </c>
      <c r="M395" t="s">
        <v>33</v>
      </c>
      <c r="N395">
        <f>VALUE(IF(AND(ISERR(FIND(".",'Raw Data'!N395)),LEN('Raw Data'!N395)=5), IF(YEAR('Raw Data'!N395)=2026,CONCATENATE(DAY('Raw Data'!N395),".",IF(LEN(MONTH('Raw Data'!N395))=2,MONTH('Raw Data'!N395),CONCATENATE("0",MONTH('Raw Data'!N395)))),CONCATENATE(MONTH('Raw Data'!N395),".",RIGHT(YEAR('Raw Data'!N395),2))),'Raw Data'!N395))</f>
        <v>522.6</v>
      </c>
      <c r="O395" s="6">
        <f t="shared" si="19"/>
        <v>4.761904761904761</v>
      </c>
      <c r="P395" s="6">
        <f t="shared" si="20"/>
        <v>26.129999999999995</v>
      </c>
      <c r="Q395">
        <f>VALUE(IF(AND(ISERR(FIND(".",'Raw Data'!Q395)),LEN('Raw Data'!Q395)=5), IF(YEAR('Raw Data'!Q395)=2026,CONCATENATE(DAY('Raw Data'!Q395),".",IF(LEN(MONTH('Raw Data'!Q395))=2,MONTH('Raw Data'!Q395),CONCATENATE(MONTH('Raw Data'!Q395)))),CONCATENATE(MONTH('Raw Data'!Q395),".",RIGHT(YEAR('Raw Data'!Q395),2))),'Raw Data'!Q395))</f>
        <v>6.2</v>
      </c>
    </row>
    <row r="396" spans="1:17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f>VALUE(IF(AND(ISERR(FIND(".",'Raw Data'!G396)),LEN('Raw Data'!G396)=5), IF(YEAR('Raw Data'!G396)=2026,CONCATENATE(DAY('Raw Data'!G396),".",IF(LEN(MONTH('Raw Data'!G396))=2,MONTH('Raw Data'!G396),CONCATENATE("0",MONTH('Raw Data'!G396)))),CONCATENATE(MONTH('Raw Data'!G396),".",RIGHT(YEAR('Raw Data'!G396),2))),'Raw Data'!G396))</f>
        <v>79.739999999999995</v>
      </c>
      <c r="H396">
        <f>'Raw Data'!H396</f>
        <v>1</v>
      </c>
      <c r="I396" s="6">
        <f t="shared" si="18"/>
        <v>3.987000000000009</v>
      </c>
      <c r="J396" s="6">
        <f>'Raw Data'!J396</f>
        <v>83.727000000000004</v>
      </c>
      <c r="K396" s="1">
        <f>VALUE(IFERROR(VALUE('Raw Data'!K396),CONCATENATE(MID('Raw Data'!K396,3,2),".","0",LEFT('Raw Data'!K396,1),".", RIGHT('Raw Data'!K396,4))))</f>
        <v>43619</v>
      </c>
      <c r="L396" s="2">
        <f>'Raw Data'!L396</f>
        <v>0.44166666666666665</v>
      </c>
      <c r="M396" t="s">
        <v>23</v>
      </c>
      <c r="N396">
        <f>VALUE(IF(AND(ISERR(FIND(".",'Raw Data'!N396)),LEN('Raw Data'!N396)=5), IF(YEAR('Raw Data'!N396)=2026,CONCATENATE(DAY('Raw Data'!N396),".",IF(LEN(MONTH('Raw Data'!N396))=2,MONTH('Raw Data'!N396),CONCATENATE("0",MONTH('Raw Data'!N396)))),CONCATENATE(MONTH('Raw Data'!N396),".",RIGHT(YEAR('Raw Data'!N396),2))),'Raw Data'!N396))</f>
        <v>79.739999999999995</v>
      </c>
      <c r="O396" s="6">
        <f t="shared" si="19"/>
        <v>4.7619047619047725</v>
      </c>
      <c r="P396" s="6">
        <f t="shared" si="20"/>
        <v>3.987000000000009</v>
      </c>
      <c r="Q396">
        <f>VALUE(IF(AND(ISERR(FIND(".",'Raw Data'!Q396)),LEN('Raw Data'!Q396)=5), IF(YEAR('Raw Data'!Q396)=2026,CONCATENATE(DAY('Raw Data'!Q396),".",IF(LEN(MONTH('Raw Data'!Q396))=2,MONTH('Raw Data'!Q396),CONCATENATE(MONTH('Raw Data'!Q396)))),CONCATENATE(MONTH('Raw Data'!Q396),".",RIGHT(YEAR('Raw Data'!Q396),2))),'Raw Data'!Q396))</f>
        <v>7.3</v>
      </c>
    </row>
    <row r="397" spans="1:17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f>VALUE(IF(AND(ISERR(FIND(".",'Raw Data'!G397)),LEN('Raw Data'!G397)=5), IF(YEAR('Raw Data'!G397)=2026,CONCATENATE(DAY('Raw Data'!G397),".",IF(LEN(MONTH('Raw Data'!G397))=2,MONTH('Raw Data'!G397),CONCATENATE("0",MONTH('Raw Data'!G397)))),CONCATENATE(MONTH('Raw Data'!G397),".",RIGHT(YEAR('Raw Data'!G397),2))),'Raw Data'!G397))</f>
        <v>77.5</v>
      </c>
      <c r="H397">
        <f>'Raw Data'!H397</f>
        <v>5</v>
      </c>
      <c r="I397" s="6">
        <f t="shared" si="18"/>
        <v>19.375</v>
      </c>
      <c r="J397" s="6">
        <f>'Raw Data'!J397</f>
        <v>406.875</v>
      </c>
      <c r="K397" s="1">
        <f>VALUE(IFERROR(VALUE('Raw Data'!K397),CONCATENATE(MID('Raw Data'!K397,3,2),".","0",LEFT('Raw Data'!K397,1),".", RIGHT('Raw Data'!K397,4))))</f>
        <v>43489</v>
      </c>
      <c r="L397" s="2">
        <f>'Raw Data'!L397</f>
        <v>0.85833333333333339</v>
      </c>
      <c r="M397" t="s">
        <v>23</v>
      </c>
      <c r="N397">
        <f>VALUE(IF(AND(ISERR(FIND(".",'Raw Data'!N397)),LEN('Raw Data'!N397)=5), IF(YEAR('Raw Data'!N397)=2026,CONCATENATE(DAY('Raw Data'!N397),".",IF(LEN(MONTH('Raw Data'!N397))=2,MONTH('Raw Data'!N397),CONCATENATE("0",MONTH('Raw Data'!N397)))),CONCATENATE(MONTH('Raw Data'!N397),".",RIGHT(YEAR('Raw Data'!N397),2))),'Raw Data'!N397))</f>
        <v>387.5</v>
      </c>
      <c r="O397" s="6">
        <f t="shared" si="19"/>
        <v>4.7619047619047619</v>
      </c>
      <c r="P397" s="6">
        <f t="shared" si="20"/>
        <v>19.375</v>
      </c>
      <c r="Q397">
        <f>VALUE(IF(AND(ISERR(FIND(".",'Raw Data'!Q397)),LEN('Raw Data'!Q397)=5), IF(YEAR('Raw Data'!Q397)=2026,CONCATENATE(DAY('Raw Data'!Q397),".",IF(LEN(MONTH('Raw Data'!Q397))=2,MONTH('Raw Data'!Q397),CONCATENATE(MONTH('Raw Data'!Q397)))),CONCATENATE(MONTH('Raw Data'!Q397),".",RIGHT(YEAR('Raw Data'!Q397),2))),'Raw Data'!Q397))</f>
        <v>4.3</v>
      </c>
    </row>
    <row r="398" spans="1:17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40</v>
      </c>
      <c r="G398">
        <f>VALUE(IF(AND(ISERR(FIND(".",'Raw Data'!G398)),LEN('Raw Data'!G398)=5), IF(YEAR('Raw Data'!G398)=2026,CONCATENATE(DAY('Raw Data'!G398),".",IF(LEN(MONTH('Raw Data'!G398))=2,MONTH('Raw Data'!G398),CONCATENATE("0",MONTH('Raw Data'!G398)))),CONCATENATE(MONTH('Raw Data'!G398),".",RIGHT(YEAR('Raw Data'!G398),2))),'Raw Data'!G398))</f>
        <v>54.27</v>
      </c>
      <c r="H398">
        <f>'Raw Data'!H398</f>
        <v>5</v>
      </c>
      <c r="I398" s="6">
        <f t="shared" si="18"/>
        <v>13.567499999999995</v>
      </c>
      <c r="J398" s="6">
        <f>'Raw Data'!J398</f>
        <v>284.91750000000002</v>
      </c>
      <c r="K398" s="1">
        <f>VALUE(IFERROR(VALUE('Raw Data'!K398),CONCATENATE(MID('Raw Data'!K398,3,2),".","0",LEFT('Raw Data'!K398,1),".", RIGHT('Raw Data'!K398,4))))</f>
        <v>43537</v>
      </c>
      <c r="L398" s="2">
        <f>'Raw Data'!L398</f>
        <v>0.59444444444444444</v>
      </c>
      <c r="M398" t="s">
        <v>23</v>
      </c>
      <c r="N398">
        <f>VALUE(IF(AND(ISERR(FIND(".",'Raw Data'!N398)),LEN('Raw Data'!N398)=5), IF(YEAR('Raw Data'!N398)=2026,CONCATENATE(DAY('Raw Data'!N398),".",IF(LEN(MONTH('Raw Data'!N398))=2,MONTH('Raw Data'!N398),CONCATENATE("0",MONTH('Raw Data'!N398)))),CONCATENATE(MONTH('Raw Data'!N398),".",RIGHT(YEAR('Raw Data'!N398),2))),'Raw Data'!N398))</f>
        <v>271.35000000000002</v>
      </c>
      <c r="O398" s="6">
        <f t="shared" si="19"/>
        <v>4.7619047619047601</v>
      </c>
      <c r="P398" s="6">
        <f t="shared" si="20"/>
        <v>13.567499999999995</v>
      </c>
      <c r="Q398">
        <f>VALUE(IF(AND(ISERR(FIND(".",'Raw Data'!Q398)),LEN('Raw Data'!Q398)=5), IF(YEAR('Raw Data'!Q398)=2026,CONCATENATE(DAY('Raw Data'!Q398),".",IF(LEN(MONTH('Raw Data'!Q398))=2,MONTH('Raw Data'!Q398),CONCATENATE(MONTH('Raw Data'!Q398)))),CONCATENATE(MONTH('Raw Data'!Q398),".",RIGHT(YEAR('Raw Data'!Q398),2))),'Raw Data'!Q398))</f>
        <v>4.5999999999999996</v>
      </c>
    </row>
    <row r="399" spans="1:17">
      <c r="A399" t="s">
        <v>486</v>
      </c>
      <c r="B399" t="s">
        <v>34</v>
      </c>
      <c r="C399" t="s">
        <v>35</v>
      </c>
      <c r="D399" t="s">
        <v>27</v>
      </c>
      <c r="E399" t="s">
        <v>30</v>
      </c>
      <c r="F399" t="s">
        <v>32</v>
      </c>
      <c r="G399">
        <f>VALUE(IF(AND(ISERR(FIND(".",'Raw Data'!G399)),LEN('Raw Data'!G399)=5), IF(YEAR('Raw Data'!G399)=2026,CONCATENATE(DAY('Raw Data'!G399),".",IF(LEN(MONTH('Raw Data'!G399))=2,MONTH('Raw Data'!G399),CONCATENATE("0",MONTH('Raw Data'!G399)))),CONCATENATE(MONTH('Raw Data'!G399),".",RIGHT(YEAR('Raw Data'!G399),2))),'Raw Data'!G399))</f>
        <v>13.59</v>
      </c>
      <c r="H399">
        <f>'Raw Data'!H399</f>
        <v>9</v>
      </c>
      <c r="I399" s="6">
        <f t="shared" si="18"/>
        <v>6.1154999999999973</v>
      </c>
      <c r="J399" s="6">
        <f>'Raw Data'!J399</f>
        <v>128.4255</v>
      </c>
      <c r="K399" s="1">
        <f>VALUE(IFERROR(VALUE('Raw Data'!K399),CONCATENATE(MID('Raw Data'!K399,3,2),".","0",LEFT('Raw Data'!K399,1),".", RIGHT('Raw Data'!K399,4))))</f>
        <v>43539</v>
      </c>
      <c r="L399" s="2">
        <f>'Raw Data'!L399</f>
        <v>0.43472222222222223</v>
      </c>
      <c r="M399" t="s">
        <v>29</v>
      </c>
      <c r="N399">
        <f>VALUE(IF(AND(ISERR(FIND(".",'Raw Data'!N399)),LEN('Raw Data'!N399)=5), IF(YEAR('Raw Data'!N399)=2026,CONCATENATE(DAY('Raw Data'!N399),".",IF(LEN(MONTH('Raw Data'!N399))=2,MONTH('Raw Data'!N399),CONCATENATE("0",MONTH('Raw Data'!N399)))),CONCATENATE(MONTH('Raw Data'!N399),".",RIGHT(YEAR('Raw Data'!N399),2))),'Raw Data'!N399))</f>
        <v>122.31</v>
      </c>
      <c r="O399" s="6">
        <f t="shared" si="19"/>
        <v>4.7619047619047592</v>
      </c>
      <c r="P399" s="6">
        <f t="shared" si="20"/>
        <v>6.1154999999999973</v>
      </c>
      <c r="Q399">
        <f>VALUE(IF(AND(ISERR(FIND(".",'Raw Data'!Q399)),LEN('Raw Data'!Q399)=5), IF(YEAR('Raw Data'!Q399)=2026,CONCATENATE(DAY('Raw Data'!Q399),".",IF(LEN(MONTH('Raw Data'!Q399))=2,MONTH('Raw Data'!Q399),CONCATENATE(MONTH('Raw Data'!Q399)))),CONCATENATE(MONTH('Raw Data'!Q399),".",RIGHT(YEAR('Raw Data'!Q399),2))),'Raw Data'!Q399))</f>
        <v>5.8</v>
      </c>
    </row>
    <row r="400" spans="1:17">
      <c r="A400" t="s">
        <v>487</v>
      </c>
      <c r="B400" t="s">
        <v>34</v>
      </c>
      <c r="C400" t="s">
        <v>35</v>
      </c>
      <c r="D400" t="s">
        <v>20</v>
      </c>
      <c r="E400" t="s">
        <v>21</v>
      </c>
      <c r="F400" t="s">
        <v>22</v>
      </c>
      <c r="G400">
        <f>VALUE(IF(AND(ISERR(FIND(".",'Raw Data'!G400)),LEN('Raw Data'!G400)=5), IF(YEAR('Raw Data'!G400)=2026,CONCATENATE(DAY('Raw Data'!G400),".",IF(LEN(MONTH('Raw Data'!G400))=2,MONTH('Raw Data'!G400),CONCATENATE("0",MONTH('Raw Data'!G400)))),CONCATENATE(MONTH('Raw Data'!G400),".",RIGHT(YEAR('Raw Data'!G400),2))),'Raw Data'!G400))</f>
        <v>41.06</v>
      </c>
      <c r="H400">
        <f>'Raw Data'!H400</f>
        <v>6</v>
      </c>
      <c r="I400" s="6">
        <f t="shared" si="18"/>
        <v>12.317999999999984</v>
      </c>
      <c r="J400" s="6">
        <f>'Raw Data'!J400</f>
        <v>258.678</v>
      </c>
      <c r="K400" s="1">
        <f>VALUE(IFERROR(VALUE('Raw Data'!K400),CONCATENATE(MID('Raw Data'!K400,3,2),".","0",LEFT('Raw Data'!K400,1),".", RIGHT('Raw Data'!K400,4))))</f>
        <v>43588</v>
      </c>
      <c r="L400" s="2">
        <f>'Raw Data'!L400</f>
        <v>0.5625</v>
      </c>
      <c r="M400" t="s">
        <v>33</v>
      </c>
      <c r="N400">
        <f>VALUE(IF(AND(ISERR(FIND(".",'Raw Data'!N400)),LEN('Raw Data'!N400)=5), IF(YEAR('Raw Data'!N400)=2026,CONCATENATE(DAY('Raw Data'!N400),".",IF(LEN(MONTH('Raw Data'!N400))=2,MONTH('Raw Data'!N400),CONCATENATE("0",MONTH('Raw Data'!N400)))),CONCATENATE(MONTH('Raw Data'!N400),".",RIGHT(YEAR('Raw Data'!N400),2))),'Raw Data'!N400))</f>
        <v>246.36</v>
      </c>
      <c r="O400" s="6">
        <f t="shared" si="19"/>
        <v>4.7619047619047556</v>
      </c>
      <c r="P400" s="6">
        <f t="shared" si="20"/>
        <v>12.317999999999984</v>
      </c>
      <c r="Q400">
        <f>VALUE(IF(AND(ISERR(FIND(".",'Raw Data'!Q400)),LEN('Raw Data'!Q400)=5), IF(YEAR('Raw Data'!Q400)=2026,CONCATENATE(DAY('Raw Data'!Q400),".",IF(LEN(MONTH('Raw Data'!Q400))=2,MONTH('Raw Data'!Q400),CONCATENATE(MONTH('Raw Data'!Q400)))),CONCATENATE(MONTH('Raw Data'!Q400),".",RIGHT(YEAR('Raw Data'!Q400),2))),'Raw Data'!Q400))</f>
        <v>8.3000000000000007</v>
      </c>
    </row>
    <row r="401" spans="1:17">
      <c r="A401" t="s">
        <v>488</v>
      </c>
      <c r="B401" t="s">
        <v>34</v>
      </c>
      <c r="C401" t="s">
        <v>35</v>
      </c>
      <c r="D401" t="s">
        <v>20</v>
      </c>
      <c r="E401" t="s">
        <v>30</v>
      </c>
      <c r="F401" t="s">
        <v>28</v>
      </c>
      <c r="G401">
        <f>VALUE(IF(AND(ISERR(FIND(".",'Raw Data'!G401)),LEN('Raw Data'!G401)=5), IF(YEAR('Raw Data'!G401)=2026,CONCATENATE(DAY('Raw Data'!G401),".",IF(LEN(MONTH('Raw Data'!G401))=2,MONTH('Raw Data'!G401),CONCATENATE("0",MONTH('Raw Data'!G401)))),CONCATENATE(MONTH('Raw Data'!G401),".",RIGHT(YEAR('Raw Data'!G401),2))),'Raw Data'!G401))</f>
        <v>19.239999999999998</v>
      </c>
      <c r="H401">
        <f>'Raw Data'!H401</f>
        <v>9</v>
      </c>
      <c r="I401" s="6">
        <f t="shared" si="18"/>
        <v>8.6580000000000155</v>
      </c>
      <c r="J401" s="6">
        <f>'Raw Data'!J401</f>
        <v>181.81800000000001</v>
      </c>
      <c r="K401" s="1">
        <f>VALUE(IFERROR(VALUE('Raw Data'!K401),CONCATENATE(MID('Raw Data'!K401,3,2),".","0",LEFT('Raw Data'!K401,1),".", RIGHT('Raw Data'!K401,4))))</f>
        <v>43558</v>
      </c>
      <c r="L401" s="2">
        <f>'Raw Data'!L401</f>
        <v>0.68611111111111101</v>
      </c>
      <c r="M401" t="s">
        <v>29</v>
      </c>
      <c r="N401">
        <f>VALUE(IF(AND(ISERR(FIND(".",'Raw Data'!N401)),LEN('Raw Data'!N401)=5), IF(YEAR('Raw Data'!N401)=2026,CONCATENATE(DAY('Raw Data'!N401),".",IF(LEN(MONTH('Raw Data'!N401))=2,MONTH('Raw Data'!N401),CONCATENATE("0",MONTH('Raw Data'!N401)))),CONCATENATE(MONTH('Raw Data'!N401),".",RIGHT(YEAR('Raw Data'!N401),2))),'Raw Data'!N401))</f>
        <v>173.16</v>
      </c>
      <c r="O401" s="6">
        <f t="shared" si="19"/>
        <v>4.7619047619047699</v>
      </c>
      <c r="P401" s="6">
        <f t="shared" si="20"/>
        <v>8.6580000000000155</v>
      </c>
      <c r="Q401">
        <f>VALUE(IF(AND(ISERR(FIND(".",'Raw Data'!Q401)),LEN('Raw Data'!Q401)=5), IF(YEAR('Raw Data'!Q401)=2026,CONCATENATE(DAY('Raw Data'!Q401),".",IF(LEN(MONTH('Raw Data'!Q401))=2,MONTH('Raw Data'!Q401),CONCATENATE(MONTH('Raw Data'!Q401)))),CONCATENATE(MONTH('Raw Data'!Q401),".",RIGHT(YEAR('Raw Data'!Q401),2))),'Raw Data'!Q401))</f>
        <v>8</v>
      </c>
    </row>
    <row r="402" spans="1:17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40</v>
      </c>
      <c r="G402">
        <f>VALUE(IF(AND(ISERR(FIND(".",'Raw Data'!G402)),LEN('Raw Data'!G402)=5), IF(YEAR('Raw Data'!G402)=2026,CONCATENATE(DAY('Raw Data'!G402),".",IF(LEN(MONTH('Raw Data'!G402))=2,MONTH('Raw Data'!G402),CONCATENATE("0",MONTH('Raw Data'!G402)))),CONCATENATE(MONTH('Raw Data'!G402),".",RIGHT(YEAR('Raw Data'!G402),2))),'Raw Data'!G402))</f>
        <v>39.43</v>
      </c>
      <c r="H402">
        <f>'Raw Data'!H402</f>
        <v>6</v>
      </c>
      <c r="I402" s="6">
        <f t="shared" si="18"/>
        <v>11.829000000000008</v>
      </c>
      <c r="J402" s="6">
        <f>'Raw Data'!J402</f>
        <v>248.40899999999999</v>
      </c>
      <c r="K402" s="1">
        <f>VALUE(IFERROR(VALUE('Raw Data'!K402),CONCATENATE(MID('Raw Data'!K402,3,2),".","0",LEFT('Raw Data'!K402,1),".", RIGHT('Raw Data'!K402,4))))</f>
        <v>43549</v>
      </c>
      <c r="L402" s="2">
        <f>'Raw Data'!L402</f>
        <v>0.84583333333333333</v>
      </c>
      <c r="M402" t="s">
        <v>33</v>
      </c>
      <c r="N402">
        <f>VALUE(IF(AND(ISERR(FIND(".",'Raw Data'!N402)),LEN('Raw Data'!N402)=5), IF(YEAR('Raw Data'!N402)=2026,CONCATENATE(DAY('Raw Data'!N402),".",IF(LEN(MONTH('Raw Data'!N402))=2,MONTH('Raw Data'!N402),CONCATENATE("0",MONTH('Raw Data'!N402)))),CONCATENATE(MONTH('Raw Data'!N402),".",RIGHT(YEAR('Raw Data'!N402),2))),'Raw Data'!N402))</f>
        <v>236.58</v>
      </c>
      <c r="O402" s="6">
        <f t="shared" si="19"/>
        <v>4.7619047619047539</v>
      </c>
      <c r="P402" s="6">
        <f t="shared" si="20"/>
        <v>11.828999999999979</v>
      </c>
      <c r="Q402">
        <f>VALUE(IF(AND(ISERR(FIND(".",'Raw Data'!Q402)),LEN('Raw Data'!Q402)=5), IF(YEAR('Raw Data'!Q402)=2026,CONCATENATE(DAY('Raw Data'!Q402),".",IF(LEN(MONTH('Raw Data'!Q402))=2,MONTH('Raw Data'!Q402),CONCATENATE(MONTH('Raw Data'!Q402)))),CONCATENATE(MONTH('Raw Data'!Q402),".",RIGHT(YEAR('Raw Data'!Q402),2))),'Raw Data'!Q402))</f>
        <v>9.4</v>
      </c>
    </row>
    <row r="403" spans="1:17">
      <c r="A403" t="s">
        <v>490</v>
      </c>
      <c r="B403" t="s">
        <v>25</v>
      </c>
      <c r="C403" t="s">
        <v>26</v>
      </c>
      <c r="D403" t="s">
        <v>27</v>
      </c>
      <c r="E403" t="s">
        <v>30</v>
      </c>
      <c r="F403" t="s">
        <v>32</v>
      </c>
      <c r="G403">
        <f>VALUE(IF(AND(ISERR(FIND(".",'Raw Data'!G403)),LEN('Raw Data'!G403)=5), IF(YEAR('Raw Data'!G403)=2026,CONCATENATE(DAY('Raw Data'!G403),".",IF(LEN(MONTH('Raw Data'!G403))=2,MONTH('Raw Data'!G403),CONCATENATE("0",MONTH('Raw Data'!G403)))),CONCATENATE(MONTH('Raw Data'!G403),".",RIGHT(YEAR('Raw Data'!G403),2))),'Raw Data'!G403))</f>
        <v>46.22</v>
      </c>
      <c r="H403">
        <f>'Raw Data'!H403</f>
        <v>4</v>
      </c>
      <c r="I403" s="6">
        <f t="shared" si="18"/>
        <v>9.2439999999999998</v>
      </c>
      <c r="J403" s="6">
        <f>'Raw Data'!J403</f>
        <v>194.124</v>
      </c>
      <c r="K403" s="1">
        <f>VALUE(IFERROR(VALUE('Raw Data'!K403),CONCATENATE(MID('Raw Data'!K403,3,2),".","0",LEFT('Raw Data'!K403,1),".", RIGHT('Raw Data'!K403,4))))</f>
        <v>43802</v>
      </c>
      <c r="L403" s="2">
        <f>'Raw Data'!L403</f>
        <v>0.83611111111111114</v>
      </c>
      <c r="M403" t="s">
        <v>33</v>
      </c>
      <c r="N403">
        <f>VALUE(IF(AND(ISERR(FIND(".",'Raw Data'!N403)),LEN('Raw Data'!N403)=5), IF(YEAR('Raw Data'!N403)=2026,CONCATENATE(DAY('Raw Data'!N403),".",IF(LEN(MONTH('Raw Data'!N403))=2,MONTH('Raw Data'!N403),CONCATENATE("0",MONTH('Raw Data'!N403)))),CONCATENATE(MONTH('Raw Data'!N403),".",RIGHT(YEAR('Raw Data'!N403),2))),'Raw Data'!N403))</f>
        <v>184.88</v>
      </c>
      <c r="O403" s="6">
        <f t="shared" si="19"/>
        <v>4.7619047619047619</v>
      </c>
      <c r="P403" s="6">
        <f t="shared" si="20"/>
        <v>9.2439999999999998</v>
      </c>
      <c r="Q403">
        <f>VALUE(IF(AND(ISERR(FIND(".",'Raw Data'!Q403)),LEN('Raw Data'!Q403)=5), IF(YEAR('Raw Data'!Q403)=2026,CONCATENATE(DAY('Raw Data'!Q403),".",IF(LEN(MONTH('Raw Data'!Q403))=2,MONTH('Raw Data'!Q403),CONCATENATE(MONTH('Raw Data'!Q403)))),CONCATENATE(MONTH('Raw Data'!Q403),".",RIGHT(YEAR('Raw Data'!Q403),2))),'Raw Data'!Q403))</f>
        <v>6.2</v>
      </c>
    </row>
    <row r="404" spans="1:17">
      <c r="A404" t="s">
        <v>491</v>
      </c>
      <c r="B404" t="s">
        <v>25</v>
      </c>
      <c r="C404" t="s">
        <v>26</v>
      </c>
      <c r="D404" t="s">
        <v>20</v>
      </c>
      <c r="E404" t="s">
        <v>30</v>
      </c>
      <c r="F404" t="s">
        <v>32</v>
      </c>
      <c r="G404">
        <f>VALUE(IF(AND(ISERR(FIND(".",'Raw Data'!G404)),LEN('Raw Data'!G404)=5), IF(YEAR('Raw Data'!G404)=2026,CONCATENATE(DAY('Raw Data'!G404),".",IF(LEN(MONTH('Raw Data'!G404))=2,MONTH('Raw Data'!G404),CONCATENATE("0",MONTH('Raw Data'!G404)))),CONCATENATE(MONTH('Raw Data'!G404),".",RIGHT(YEAR('Raw Data'!G404),2))),'Raw Data'!G404))</f>
        <v>13.98</v>
      </c>
      <c r="H404">
        <f>'Raw Data'!H404</f>
        <v>1</v>
      </c>
      <c r="I404" s="6">
        <f t="shared" si="18"/>
        <v>0.69899999999999984</v>
      </c>
      <c r="J404" s="6">
        <f>'Raw Data'!J404</f>
        <v>14.679</v>
      </c>
      <c r="K404" s="1">
        <f>VALUE(IFERROR(VALUE('Raw Data'!K404),CONCATENATE(MID('Raw Data'!K404,3,2),".","0",LEFT('Raw Data'!K404,1),".", RIGHT('Raw Data'!K404,4))))</f>
        <v>43557</v>
      </c>
      <c r="L404" s="2">
        <f>'Raw Data'!L404</f>
        <v>0.56805555555555554</v>
      </c>
      <c r="M404" t="s">
        <v>23</v>
      </c>
      <c r="N404">
        <f>VALUE(IF(AND(ISERR(FIND(".",'Raw Data'!N404)),LEN('Raw Data'!N404)=5), IF(YEAR('Raw Data'!N404)=2026,CONCATENATE(DAY('Raw Data'!N404),".",IF(LEN(MONTH('Raw Data'!N404))=2,MONTH('Raw Data'!N404),CONCATENATE("0",MONTH('Raw Data'!N404)))),CONCATENATE(MONTH('Raw Data'!N404),".",RIGHT(YEAR('Raw Data'!N404),2))),'Raw Data'!N404))</f>
        <v>13.98</v>
      </c>
      <c r="O404" s="6">
        <f t="shared" si="19"/>
        <v>4.761904761904761</v>
      </c>
      <c r="P404" s="6">
        <f t="shared" si="20"/>
        <v>0.69899999999999984</v>
      </c>
      <c r="Q404">
        <f>VALUE(IF(AND(ISERR(FIND(".",'Raw Data'!Q404)),LEN('Raw Data'!Q404)=5), IF(YEAR('Raw Data'!Q404)=2026,CONCATENATE(DAY('Raw Data'!Q404),".",IF(LEN(MONTH('Raw Data'!Q404))=2,MONTH('Raw Data'!Q404),CONCATENATE(MONTH('Raw Data'!Q404)))),CONCATENATE(MONTH('Raw Data'!Q404),".",RIGHT(YEAR('Raw Data'!Q404),2))),'Raw Data'!Q404))</f>
        <v>9.8000000000000007</v>
      </c>
    </row>
    <row r="405" spans="1:17">
      <c r="A405" t="s">
        <v>492</v>
      </c>
      <c r="B405" t="s">
        <v>34</v>
      </c>
      <c r="C405" t="s">
        <v>35</v>
      </c>
      <c r="D405" t="s">
        <v>27</v>
      </c>
      <c r="E405" t="s">
        <v>21</v>
      </c>
      <c r="F405" t="s">
        <v>43</v>
      </c>
      <c r="G405">
        <f>VALUE(IF(AND(ISERR(FIND(".",'Raw Data'!G405)),LEN('Raw Data'!G405)=5), IF(YEAR('Raw Data'!G405)=2026,CONCATENATE(DAY('Raw Data'!G405),".",IF(LEN(MONTH('Raw Data'!G405))=2,MONTH('Raw Data'!G405),CONCATENATE("0",MONTH('Raw Data'!G405)))),CONCATENATE(MONTH('Raw Data'!G405),".",RIGHT(YEAR('Raw Data'!G405),2))),'Raw Data'!G405))</f>
        <v>39.75</v>
      </c>
      <c r="H405">
        <f>'Raw Data'!H405</f>
        <v>5</v>
      </c>
      <c r="I405" s="6">
        <f t="shared" si="18"/>
        <v>9.9375</v>
      </c>
      <c r="J405" s="6">
        <f>'Raw Data'!J405</f>
        <v>208.6875</v>
      </c>
      <c r="K405" s="1">
        <f>VALUE(IFERROR(VALUE('Raw Data'!K405),CONCATENATE(MID('Raw Data'!K405,3,2),".","0",LEFT('Raw Data'!K405,1),".", RIGHT('Raw Data'!K405,4))))</f>
        <v>43518</v>
      </c>
      <c r="L405" s="2">
        <f>'Raw Data'!L405</f>
        <v>0.4465277777777778</v>
      </c>
      <c r="M405" t="s">
        <v>23</v>
      </c>
      <c r="N405">
        <f>VALUE(IF(AND(ISERR(FIND(".",'Raw Data'!N405)),LEN('Raw Data'!N405)=5), IF(YEAR('Raw Data'!N405)=2026,CONCATENATE(DAY('Raw Data'!N405),".",IF(LEN(MONTH('Raw Data'!N405))=2,MONTH('Raw Data'!N405),CONCATENATE("0",MONTH('Raw Data'!N405)))),CONCATENATE(MONTH('Raw Data'!N405),".",RIGHT(YEAR('Raw Data'!N405),2))),'Raw Data'!N405))</f>
        <v>198.75</v>
      </c>
      <c r="O405" s="6">
        <f t="shared" si="19"/>
        <v>4.7619047619047619</v>
      </c>
      <c r="P405" s="6">
        <f t="shared" si="20"/>
        <v>9.9375</v>
      </c>
      <c r="Q405">
        <f>VALUE(IF(AND(ISERR(FIND(".",'Raw Data'!Q405)),LEN('Raw Data'!Q405)=5), IF(YEAR('Raw Data'!Q405)=2026,CONCATENATE(DAY('Raw Data'!Q405),".",IF(LEN(MONTH('Raw Data'!Q405))=2,MONTH('Raw Data'!Q405),CONCATENATE(MONTH('Raw Data'!Q405)))),CONCATENATE(MONTH('Raw Data'!Q405),".",RIGHT(YEAR('Raw Data'!Q405),2))),'Raw Data'!Q405))</f>
        <v>9.6</v>
      </c>
    </row>
    <row r="406" spans="1:17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43</v>
      </c>
      <c r="G406">
        <f>VALUE(IF(AND(ISERR(FIND(".",'Raw Data'!G406)),LEN('Raw Data'!G406)=5), IF(YEAR('Raw Data'!G406)=2026,CONCATENATE(DAY('Raw Data'!G406),".",IF(LEN(MONTH('Raw Data'!G406))=2,MONTH('Raw Data'!G406),CONCATENATE("0",MONTH('Raw Data'!G406)))),CONCATENATE(MONTH('Raw Data'!G406),".",RIGHT(YEAR('Raw Data'!G406),2))),'Raw Data'!G406))</f>
        <v>97.79</v>
      </c>
      <c r="H406">
        <f>'Raw Data'!H406</f>
        <v>7</v>
      </c>
      <c r="I406" s="6">
        <f t="shared" si="18"/>
        <v>34.226499999999874</v>
      </c>
      <c r="J406" s="6">
        <f>'Raw Data'!J406</f>
        <v>718.75649999999996</v>
      </c>
      <c r="K406" s="1">
        <f>VALUE(IFERROR(VALUE('Raw Data'!K406),CONCATENATE(MID('Raw Data'!K406,3,2),".","0",LEFT('Raw Data'!K406,1),".", RIGHT('Raw Data'!K406,4))))</f>
        <v>43512</v>
      </c>
      <c r="L406" s="2">
        <f>'Raw Data'!L406</f>
        <v>0.72916666666666663</v>
      </c>
      <c r="M406" t="s">
        <v>23</v>
      </c>
      <c r="N406">
        <f>VALUE(IF(AND(ISERR(FIND(".",'Raw Data'!N406)),LEN('Raw Data'!N406)=5), IF(YEAR('Raw Data'!N406)=2026,CONCATENATE(DAY('Raw Data'!N406),".",IF(LEN(MONTH('Raw Data'!N406))=2,MONTH('Raw Data'!N406),CONCATENATE("0",MONTH('Raw Data'!N406)))),CONCATENATE(MONTH('Raw Data'!N406),".",RIGHT(YEAR('Raw Data'!N406),2))),'Raw Data'!N406))</f>
        <v>684.53</v>
      </c>
      <c r="O406" s="6">
        <f t="shared" si="19"/>
        <v>4.7619047619047601</v>
      </c>
      <c r="P406" s="6">
        <f t="shared" si="20"/>
        <v>34.226499999999987</v>
      </c>
      <c r="Q406">
        <f>VALUE(IF(AND(ISERR(FIND(".",'Raw Data'!Q406)),LEN('Raw Data'!Q406)=5), IF(YEAR('Raw Data'!Q406)=2026,CONCATENATE(DAY('Raw Data'!Q406),".",IF(LEN(MONTH('Raw Data'!Q406))=2,MONTH('Raw Data'!Q406),CONCATENATE(MONTH('Raw Data'!Q406)))),CONCATENATE(MONTH('Raw Data'!Q406),".",RIGHT(YEAR('Raw Data'!Q406),2))),'Raw Data'!Q406))</f>
        <v>4.9000000000000004</v>
      </c>
    </row>
    <row r="407" spans="1:17">
      <c r="A407" t="s">
        <v>494</v>
      </c>
      <c r="B407" t="s">
        <v>18</v>
      </c>
      <c r="C407" t="s">
        <v>19</v>
      </c>
      <c r="D407" t="s">
        <v>20</v>
      </c>
      <c r="E407" t="s">
        <v>30</v>
      </c>
      <c r="F407" t="s">
        <v>38</v>
      </c>
      <c r="G407">
        <f>VALUE(IF(AND(ISERR(FIND(".",'Raw Data'!G407)),LEN('Raw Data'!G407)=5), IF(YEAR('Raw Data'!G407)=2026,CONCATENATE(DAY('Raw Data'!G407),".",IF(LEN(MONTH('Raw Data'!G407))=2,MONTH('Raw Data'!G407),CONCATENATE("0",MONTH('Raw Data'!G407)))),CONCATENATE(MONTH('Raw Data'!G407),".",RIGHT(YEAR('Raw Data'!G407),2))),'Raw Data'!G407))</f>
        <v>67.260000000000005</v>
      </c>
      <c r="H407">
        <f>'Raw Data'!H407</f>
        <v>4</v>
      </c>
      <c r="I407" s="6">
        <f t="shared" si="18"/>
        <v>13.451999999999998</v>
      </c>
      <c r="J407" s="6">
        <f>'Raw Data'!J407</f>
        <v>282.49200000000002</v>
      </c>
      <c r="K407" s="1">
        <f>VALUE(IFERROR(VALUE('Raw Data'!K407),CONCATENATE(MID('Raw Data'!K407,3,2),".","0",LEFT('Raw Data'!K407,1),".", RIGHT('Raw Data'!K407,4))))</f>
        <v>43484</v>
      </c>
      <c r="L407" s="2">
        <f>'Raw Data'!L407</f>
        <v>0.64444444444444449</v>
      </c>
      <c r="M407" t="s">
        <v>33</v>
      </c>
      <c r="N407">
        <f>VALUE(IF(AND(ISERR(FIND(".",'Raw Data'!N407)),LEN('Raw Data'!N407)=5), IF(YEAR('Raw Data'!N407)=2026,CONCATENATE(DAY('Raw Data'!N407),".",IF(LEN(MONTH('Raw Data'!N407))=2,MONTH('Raw Data'!N407),CONCATENATE("0",MONTH('Raw Data'!N407)))),CONCATENATE(MONTH('Raw Data'!N407),".",RIGHT(YEAR('Raw Data'!N407),2))),'Raw Data'!N407))</f>
        <v>269.04000000000002</v>
      </c>
      <c r="O407" s="6">
        <f t="shared" si="19"/>
        <v>4.761904761904761</v>
      </c>
      <c r="P407" s="6">
        <f t="shared" si="20"/>
        <v>13.451999999999998</v>
      </c>
      <c r="Q407">
        <f>VALUE(IF(AND(ISERR(FIND(".",'Raw Data'!Q407)),LEN('Raw Data'!Q407)=5), IF(YEAR('Raw Data'!Q407)=2026,CONCATENATE(DAY('Raw Data'!Q407),".",IF(LEN(MONTH('Raw Data'!Q407))=2,MONTH('Raw Data'!Q407),CONCATENATE(MONTH('Raw Data'!Q407)))),CONCATENATE(MONTH('Raw Data'!Q407),".",RIGHT(YEAR('Raw Data'!Q407),2))),'Raw Data'!Q407))</f>
        <v>8</v>
      </c>
    </row>
    <row r="408" spans="1:17">
      <c r="A408" t="s">
        <v>495</v>
      </c>
      <c r="B408" t="s">
        <v>18</v>
      </c>
      <c r="C408" t="s">
        <v>19</v>
      </c>
      <c r="D408" t="s">
        <v>27</v>
      </c>
      <c r="E408" t="s">
        <v>30</v>
      </c>
      <c r="F408" t="s">
        <v>40</v>
      </c>
      <c r="G408">
        <f>VALUE(IF(AND(ISERR(FIND(".",'Raw Data'!G408)),LEN('Raw Data'!G408)=5), IF(YEAR('Raw Data'!G408)=2026,CONCATENATE(DAY('Raw Data'!G408),".",IF(LEN(MONTH('Raw Data'!G408))=2,MONTH('Raw Data'!G408),CONCATENATE("0",MONTH('Raw Data'!G408)))),CONCATENATE(MONTH('Raw Data'!G408),".",RIGHT(YEAR('Raw Data'!G408),2))),'Raw Data'!G408))</f>
        <v>13.79</v>
      </c>
      <c r="H408">
        <f>'Raw Data'!H408</f>
        <v>5</v>
      </c>
      <c r="I408" s="6">
        <f t="shared" si="18"/>
        <v>3.4475000000000051</v>
      </c>
      <c r="J408" s="6">
        <f>'Raw Data'!J408</f>
        <v>72.397499999999994</v>
      </c>
      <c r="K408" s="1">
        <f>VALUE(IFERROR(VALUE('Raw Data'!K408),CONCATENATE(MID('Raw Data'!K408,3,2),".","0",LEFT('Raw Data'!K408,1),".", RIGHT('Raw Data'!K408,4))))</f>
        <v>43770</v>
      </c>
      <c r="L408" s="2">
        <f>'Raw Data'!L408</f>
        <v>0.79652777777777783</v>
      </c>
      <c r="M408" t="s">
        <v>33</v>
      </c>
      <c r="N408">
        <f>VALUE(IF(AND(ISERR(FIND(".",'Raw Data'!N408)),LEN('Raw Data'!N408)=5), IF(YEAR('Raw Data'!N408)=2026,CONCATENATE(DAY('Raw Data'!N408),".",IF(LEN(MONTH('Raw Data'!N408))=2,MONTH('Raw Data'!N408),CONCATENATE("0",MONTH('Raw Data'!N408)))),CONCATENATE(MONTH('Raw Data'!N408),".",RIGHT(YEAR('Raw Data'!N408),2))),'Raw Data'!N408))</f>
        <v>68.95</v>
      </c>
      <c r="O408" s="6">
        <f t="shared" si="19"/>
        <v>4.7619047619047494</v>
      </c>
      <c r="P408" s="6">
        <f t="shared" si="20"/>
        <v>3.4474999999999909</v>
      </c>
      <c r="Q408">
        <f>VALUE(IF(AND(ISERR(FIND(".",'Raw Data'!Q408)),LEN('Raw Data'!Q408)=5), IF(YEAR('Raw Data'!Q408)=2026,CONCATENATE(DAY('Raw Data'!Q408),".",IF(LEN(MONTH('Raw Data'!Q408))=2,MONTH('Raw Data'!Q408),CONCATENATE(MONTH('Raw Data'!Q408)))),CONCATENATE(MONTH('Raw Data'!Q408),".",RIGHT(YEAR('Raw Data'!Q408),2))),'Raw Data'!Q408))</f>
        <v>7.8</v>
      </c>
    </row>
    <row r="409" spans="1:17">
      <c r="A409" t="s">
        <v>496</v>
      </c>
      <c r="B409" t="s">
        <v>34</v>
      </c>
      <c r="C409" t="s">
        <v>35</v>
      </c>
      <c r="D409" t="s">
        <v>20</v>
      </c>
      <c r="E409" t="s">
        <v>21</v>
      </c>
      <c r="F409" t="s">
        <v>43</v>
      </c>
      <c r="G409">
        <f>VALUE(IF(AND(ISERR(FIND(".",'Raw Data'!G409)),LEN('Raw Data'!G409)=5), IF(YEAR('Raw Data'!G409)=2026,CONCATENATE(DAY('Raw Data'!G409),".",IF(LEN(MONTH('Raw Data'!G409))=2,MONTH('Raw Data'!G409),CONCATENATE("0",MONTH('Raw Data'!G409)))),CONCATENATE(MONTH('Raw Data'!G409),".",RIGHT(YEAR('Raw Data'!G409),2))),'Raw Data'!G409))</f>
        <v>68.709999999999994</v>
      </c>
      <c r="H409">
        <f>'Raw Data'!H409</f>
        <v>4</v>
      </c>
      <c r="I409" s="6">
        <f t="shared" si="18"/>
        <v>13.742000000000019</v>
      </c>
      <c r="J409" s="6">
        <f>'Raw Data'!J409</f>
        <v>288.58199999999999</v>
      </c>
      <c r="K409" s="1">
        <f>VALUE(IFERROR(VALUE('Raw Data'!K409),CONCATENATE(MID('Raw Data'!K409,3,2),".","0",LEFT('Raw Data'!K409,1),".", RIGHT('Raw Data'!K409,4))))</f>
        <v>43556</v>
      </c>
      <c r="L409" s="2">
        <f>'Raw Data'!L409</f>
        <v>0.79236111111111107</v>
      </c>
      <c r="M409" t="s">
        <v>29</v>
      </c>
      <c r="N409">
        <f>VALUE(IF(AND(ISERR(FIND(".",'Raw Data'!N409)),LEN('Raw Data'!N409)=5), IF(YEAR('Raw Data'!N409)=2026,CONCATENATE(DAY('Raw Data'!N409),".",IF(LEN(MONTH('Raw Data'!N409))=2,MONTH('Raw Data'!N409),CONCATENATE("0",MONTH('Raw Data'!N409)))),CONCATENATE(MONTH('Raw Data'!N409),".",RIGHT(YEAR('Raw Data'!N409),2))),'Raw Data'!N409))</f>
        <v>274.83999999999997</v>
      </c>
      <c r="O409" s="6">
        <f t="shared" si="19"/>
        <v>4.761904761904769</v>
      </c>
      <c r="P409" s="6">
        <f t="shared" si="20"/>
        <v>13.742000000000019</v>
      </c>
      <c r="Q409">
        <f>VALUE(IF(AND(ISERR(FIND(".",'Raw Data'!Q409)),LEN('Raw Data'!Q409)=5), IF(YEAR('Raw Data'!Q409)=2026,CONCATENATE(DAY('Raw Data'!Q409),".",IF(LEN(MONTH('Raw Data'!Q409))=2,MONTH('Raw Data'!Q409),CONCATENATE(MONTH('Raw Data'!Q409)))),CONCATENATE(MONTH('Raw Data'!Q409),".",RIGHT(YEAR('Raw Data'!Q409),2))),'Raw Data'!Q409))</f>
        <v>4.0999999999999996</v>
      </c>
    </row>
    <row r="410" spans="1:17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f>VALUE(IF(AND(ISERR(FIND(".",'Raw Data'!G410)),LEN('Raw Data'!G410)=5), IF(YEAR('Raw Data'!G410)=2026,CONCATENATE(DAY('Raw Data'!G410),".",IF(LEN(MONTH('Raw Data'!G410))=2,MONTH('Raw Data'!G410),CONCATENATE("0",MONTH('Raw Data'!G410)))),CONCATENATE(MONTH('Raw Data'!G410),".",RIGHT(YEAR('Raw Data'!G410),2))),'Raw Data'!G410))</f>
        <v>56.53</v>
      </c>
      <c r="H410">
        <f>'Raw Data'!H410</f>
        <v>4</v>
      </c>
      <c r="I410" s="6">
        <f t="shared" si="18"/>
        <v>11.305999999999983</v>
      </c>
      <c r="J410" s="6">
        <f>'Raw Data'!J410</f>
        <v>237.42599999999999</v>
      </c>
      <c r="K410" s="1">
        <f>VALUE(IFERROR(VALUE('Raw Data'!K410),CONCATENATE(MID('Raw Data'!K410,3,2),".","0",LEFT('Raw Data'!K410,1),".", RIGHT('Raw Data'!K410,4))))</f>
        <v>43558</v>
      </c>
      <c r="L410" s="2">
        <f>'Raw Data'!L410</f>
        <v>0.82500000000000007</v>
      </c>
      <c r="M410" t="s">
        <v>23</v>
      </c>
      <c r="N410">
        <f>VALUE(IF(AND(ISERR(FIND(".",'Raw Data'!N410)),LEN('Raw Data'!N410)=5), IF(YEAR('Raw Data'!N410)=2026,CONCATENATE(DAY('Raw Data'!N410),".",IF(LEN(MONTH('Raw Data'!N410))=2,MONTH('Raw Data'!N410),CONCATENATE("0",MONTH('Raw Data'!N410)))),CONCATENATE(MONTH('Raw Data'!N410),".",RIGHT(YEAR('Raw Data'!N410),2))),'Raw Data'!N410))</f>
        <v>226.12</v>
      </c>
      <c r="O410" s="6">
        <f t="shared" si="19"/>
        <v>4.7619047619047556</v>
      </c>
      <c r="P410" s="6">
        <f t="shared" si="20"/>
        <v>11.305999999999983</v>
      </c>
      <c r="Q410">
        <f>VALUE(IF(AND(ISERR(FIND(".",'Raw Data'!Q410)),LEN('Raw Data'!Q410)=5), IF(YEAR('Raw Data'!Q410)=2026,CONCATENATE(DAY('Raw Data'!Q410),".",IF(LEN(MONTH('Raw Data'!Q410))=2,MONTH('Raw Data'!Q410),CONCATENATE(MONTH('Raw Data'!Q410)))),CONCATENATE(MONTH('Raw Data'!Q410),".",RIGHT(YEAR('Raw Data'!Q410),2))),'Raw Data'!Q410))</f>
        <v>5.5</v>
      </c>
    </row>
    <row r="411" spans="1:17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43</v>
      </c>
      <c r="G411">
        <f>VALUE(IF(AND(ISERR(FIND(".",'Raw Data'!G411)),LEN('Raw Data'!G411)=5), IF(YEAR('Raw Data'!G411)=2026,CONCATENATE(DAY('Raw Data'!G411),".",IF(LEN(MONTH('Raw Data'!G411))=2,MONTH('Raw Data'!G411),CONCATENATE("0",MONTH('Raw Data'!G411)))),CONCATENATE(MONTH('Raw Data'!G411),".",RIGHT(YEAR('Raw Data'!G411),2))),'Raw Data'!G411))</f>
        <v>23.82</v>
      </c>
      <c r="H411">
        <f>'Raw Data'!H411</f>
        <v>5</v>
      </c>
      <c r="I411" s="6">
        <f t="shared" si="18"/>
        <v>5.9550000000000125</v>
      </c>
      <c r="J411" s="6">
        <f>'Raw Data'!J411</f>
        <v>125.05500000000001</v>
      </c>
      <c r="K411" s="1">
        <f>VALUE(IFERROR(VALUE('Raw Data'!K411),CONCATENATE(MID('Raw Data'!K411,3,2),".","0",LEFT('Raw Data'!K411,1),".", RIGHT('Raw Data'!K411,4))))</f>
        <v>43493</v>
      </c>
      <c r="L411" s="2">
        <f>'Raw Data'!L411</f>
        <v>0.80833333333333324</v>
      </c>
      <c r="M411" t="s">
        <v>23</v>
      </c>
      <c r="N411">
        <f>VALUE(IF(AND(ISERR(FIND(".",'Raw Data'!N411)),LEN('Raw Data'!N411)=5), IF(YEAR('Raw Data'!N411)=2026,CONCATENATE(DAY('Raw Data'!N411),".",IF(LEN(MONTH('Raw Data'!N411))=2,MONTH('Raw Data'!N411),CONCATENATE("0",MONTH('Raw Data'!N411)))),CONCATENATE(MONTH('Raw Data'!N411),".",RIGHT(YEAR('Raw Data'!N411),2))),'Raw Data'!N411))</f>
        <v>119.1</v>
      </c>
      <c r="O411" s="6">
        <f t="shared" si="19"/>
        <v>4.7619047619047716</v>
      </c>
      <c r="P411" s="6">
        <f t="shared" si="20"/>
        <v>5.9550000000000125</v>
      </c>
      <c r="Q411">
        <f>VALUE(IF(AND(ISERR(FIND(".",'Raw Data'!Q411)),LEN('Raw Data'!Q411)=5), IF(YEAR('Raw Data'!Q411)=2026,CONCATENATE(DAY('Raw Data'!Q411),".",IF(LEN(MONTH('Raw Data'!Q411))=2,MONTH('Raw Data'!Q411),CONCATENATE(MONTH('Raw Data'!Q411)))),CONCATENATE(MONTH('Raw Data'!Q411),".",RIGHT(YEAR('Raw Data'!Q411),2))),'Raw Data'!Q411))</f>
        <v>5.4</v>
      </c>
    </row>
    <row r="412" spans="1:17">
      <c r="A412" t="s">
        <v>499</v>
      </c>
      <c r="B412" t="s">
        <v>34</v>
      </c>
      <c r="C412" t="s">
        <v>35</v>
      </c>
      <c r="D412" t="s">
        <v>27</v>
      </c>
      <c r="E412" t="s">
        <v>21</v>
      </c>
      <c r="F412" t="s">
        <v>22</v>
      </c>
      <c r="G412">
        <f>VALUE(IF(AND(ISERR(FIND(".",'Raw Data'!G412)),LEN('Raw Data'!G412)=5), IF(YEAR('Raw Data'!G412)=2026,CONCATENATE(DAY('Raw Data'!G412),".",IF(LEN(MONTH('Raw Data'!G412))=2,MONTH('Raw Data'!G412),CONCATENATE("0",MONTH('Raw Data'!G412)))),CONCATENATE(MONTH('Raw Data'!G412),".",RIGHT(YEAR('Raw Data'!G412),2))),'Raw Data'!G412))</f>
        <v>34.21</v>
      </c>
      <c r="H412">
        <f>'Raw Data'!H412</f>
        <v>10</v>
      </c>
      <c r="I412" s="6">
        <f t="shared" si="18"/>
        <v>17.104999999999961</v>
      </c>
      <c r="J412" s="6">
        <f>'Raw Data'!J412</f>
        <v>359.20499999999998</v>
      </c>
      <c r="K412" s="1">
        <f>VALUE(IFERROR(VALUE('Raw Data'!K412),CONCATENATE(MID('Raw Data'!K412,3,2),".","0",LEFT('Raw Data'!K412,1),".", RIGHT('Raw Data'!K412,4))))</f>
        <v>43497</v>
      </c>
      <c r="L412" s="2">
        <f>'Raw Data'!L412</f>
        <v>0.54166666666666663</v>
      </c>
      <c r="M412" t="s">
        <v>29</v>
      </c>
      <c r="N412">
        <f>VALUE(IF(AND(ISERR(FIND(".",'Raw Data'!N412)),LEN('Raw Data'!N412)=5), IF(YEAR('Raw Data'!N412)=2026,CONCATENATE(DAY('Raw Data'!N412),".",IF(LEN(MONTH('Raw Data'!N412))=2,MONTH('Raw Data'!N412),CONCATENATE("0",MONTH('Raw Data'!N412)))),CONCATENATE(MONTH('Raw Data'!N412),".",RIGHT(YEAR('Raw Data'!N412),2))),'Raw Data'!N412))</f>
        <v>342.1</v>
      </c>
      <c r="O412" s="6">
        <f t="shared" si="19"/>
        <v>4.7619047619047512</v>
      </c>
      <c r="P412" s="6">
        <f t="shared" si="20"/>
        <v>17.104999999999961</v>
      </c>
      <c r="Q412">
        <f>VALUE(IF(AND(ISERR(FIND(".",'Raw Data'!Q412)),LEN('Raw Data'!Q412)=5), IF(YEAR('Raw Data'!Q412)=2026,CONCATENATE(DAY('Raw Data'!Q412),".",IF(LEN(MONTH('Raw Data'!Q412))=2,MONTH('Raw Data'!Q412),CONCATENATE(MONTH('Raw Data'!Q412)))),CONCATENATE(MONTH('Raw Data'!Q412),".",RIGHT(YEAR('Raw Data'!Q412),2))),'Raw Data'!Q412))</f>
        <v>5.0999999999999996</v>
      </c>
    </row>
    <row r="413" spans="1:17">
      <c r="A413" t="s">
        <v>500</v>
      </c>
      <c r="B413" t="s">
        <v>34</v>
      </c>
      <c r="C413" t="s">
        <v>35</v>
      </c>
      <c r="D413" t="s">
        <v>27</v>
      </c>
      <c r="E413" t="s">
        <v>30</v>
      </c>
      <c r="F413" t="s">
        <v>38</v>
      </c>
      <c r="G413">
        <f>VALUE(IF(AND(ISERR(FIND(".",'Raw Data'!G413)),LEN('Raw Data'!G413)=5), IF(YEAR('Raw Data'!G413)=2026,CONCATENATE(DAY('Raw Data'!G413),".",IF(LEN(MONTH('Raw Data'!G413))=2,MONTH('Raw Data'!G413),CONCATENATE("0",MONTH('Raw Data'!G413)))),CONCATENATE(MONTH('Raw Data'!G413),".",RIGHT(YEAR('Raw Data'!G413),2))),'Raw Data'!G413))</f>
        <v>21.87</v>
      </c>
      <c r="H413">
        <f>'Raw Data'!H413</f>
        <v>2</v>
      </c>
      <c r="I413" s="6">
        <f t="shared" si="18"/>
        <v>2.1869999999999976</v>
      </c>
      <c r="J413" s="6">
        <f>'Raw Data'!J413</f>
        <v>45.927</v>
      </c>
      <c r="K413" s="1">
        <f>VALUE(IFERROR(VALUE('Raw Data'!K413),CONCATENATE(MID('Raw Data'!K413,3,2),".","0",LEFT('Raw Data'!K413,1),".", RIGHT('Raw Data'!K413,4))))</f>
        <v>43490</v>
      </c>
      <c r="L413" s="2">
        <f>'Raw Data'!L413</f>
        <v>0.60347222222222219</v>
      </c>
      <c r="M413" t="s">
        <v>23</v>
      </c>
      <c r="N413">
        <f>VALUE(IF(AND(ISERR(FIND(".",'Raw Data'!N413)),LEN('Raw Data'!N413)=5), IF(YEAR('Raw Data'!N413)=2026,CONCATENATE(DAY('Raw Data'!N413),".",IF(LEN(MONTH('Raw Data'!N413))=2,MONTH('Raw Data'!N413),CONCATENATE("0",MONTH('Raw Data'!N413)))),CONCATENATE(MONTH('Raw Data'!N413),".",RIGHT(YEAR('Raw Data'!N413),2))),'Raw Data'!N413))</f>
        <v>43.74</v>
      </c>
      <c r="O413" s="6">
        <f t="shared" si="19"/>
        <v>4.7619047619047565</v>
      </c>
      <c r="P413" s="6">
        <f t="shared" si="20"/>
        <v>2.1869999999999976</v>
      </c>
      <c r="Q413">
        <f>VALUE(IF(AND(ISERR(FIND(".",'Raw Data'!Q413)),LEN('Raw Data'!Q413)=5), IF(YEAR('Raw Data'!Q413)=2026,CONCATENATE(DAY('Raw Data'!Q413),".",IF(LEN(MONTH('Raw Data'!Q413))=2,MONTH('Raw Data'!Q413),CONCATENATE(MONTH('Raw Data'!Q413)))),CONCATENATE(MONTH('Raw Data'!Q413),".",RIGHT(YEAR('Raw Data'!Q413),2))),'Raw Data'!Q413))</f>
        <v>6.9</v>
      </c>
    </row>
    <row r="414" spans="1:17">
      <c r="A414" t="s">
        <v>501</v>
      </c>
      <c r="B414" t="s">
        <v>18</v>
      </c>
      <c r="C414" t="s">
        <v>19</v>
      </c>
      <c r="D414" t="s">
        <v>20</v>
      </c>
      <c r="E414" t="s">
        <v>30</v>
      </c>
      <c r="F414" t="s">
        <v>22</v>
      </c>
      <c r="G414">
        <f>VALUE(IF(AND(ISERR(FIND(".",'Raw Data'!G414)),LEN('Raw Data'!G414)=5), IF(YEAR('Raw Data'!G414)=2026,CONCATENATE(DAY('Raw Data'!G414),".",IF(LEN(MONTH('Raw Data'!G414))=2,MONTH('Raw Data'!G414),CONCATENATE("0",MONTH('Raw Data'!G414)))),CONCATENATE(MONTH('Raw Data'!G414),".",RIGHT(YEAR('Raw Data'!G414),2))),'Raw Data'!G414))</f>
        <v>20.97</v>
      </c>
      <c r="H414">
        <f>'Raw Data'!H414</f>
        <v>5</v>
      </c>
      <c r="I414" s="6">
        <f t="shared" si="18"/>
        <v>5.2425000000000068</v>
      </c>
      <c r="J414" s="6">
        <f>'Raw Data'!J414</f>
        <v>110.0925</v>
      </c>
      <c r="K414" s="1">
        <f>VALUE(IFERROR(VALUE('Raw Data'!K414),CONCATENATE(MID('Raw Data'!K414,3,2),".","0",LEFT('Raw Data'!K414,1),".", RIGHT('Raw Data'!K414,4))))</f>
        <v>43556</v>
      </c>
      <c r="L414" s="2">
        <f>'Raw Data'!L414</f>
        <v>0.55625000000000002</v>
      </c>
      <c r="M414" t="s">
        <v>29</v>
      </c>
      <c r="N414">
        <f>VALUE(IF(AND(ISERR(FIND(".",'Raw Data'!N414)),LEN('Raw Data'!N414)=5), IF(YEAR('Raw Data'!N414)=2026,CONCATENATE(DAY('Raw Data'!N414),".",IF(LEN(MONTH('Raw Data'!N414))=2,MONTH('Raw Data'!N414),CONCATENATE("0",MONTH('Raw Data'!N414)))),CONCATENATE(MONTH('Raw Data'!N414),".",RIGHT(YEAR('Raw Data'!N414),2))),'Raw Data'!N414))</f>
        <v>104.85</v>
      </c>
      <c r="O414" s="6">
        <f t="shared" si="19"/>
        <v>4.7619047619047681</v>
      </c>
      <c r="P414" s="6">
        <f t="shared" si="20"/>
        <v>5.2425000000000068</v>
      </c>
      <c r="Q414">
        <f>VALUE(IF(AND(ISERR(FIND(".",'Raw Data'!Q414)),LEN('Raw Data'!Q414)=5), IF(YEAR('Raw Data'!Q414)=2026,CONCATENATE(DAY('Raw Data'!Q414),".",IF(LEN(MONTH('Raw Data'!Q414))=2,MONTH('Raw Data'!Q414),CONCATENATE(MONTH('Raw Data'!Q414)))),CONCATENATE(MONTH('Raw Data'!Q414),".",RIGHT(YEAR('Raw Data'!Q414),2))),'Raw Data'!Q414))</f>
        <v>7.8</v>
      </c>
    </row>
    <row r="415" spans="1:17">
      <c r="A415" t="s">
        <v>502</v>
      </c>
      <c r="B415" t="s">
        <v>18</v>
      </c>
      <c r="C415" t="s">
        <v>19</v>
      </c>
      <c r="D415" t="s">
        <v>27</v>
      </c>
      <c r="E415" t="s">
        <v>30</v>
      </c>
      <c r="F415" t="s">
        <v>38</v>
      </c>
      <c r="G415">
        <f>VALUE(IF(AND(ISERR(FIND(".",'Raw Data'!G415)),LEN('Raw Data'!G415)=5), IF(YEAR('Raw Data'!G415)=2026,CONCATENATE(DAY('Raw Data'!G415),".",IF(LEN(MONTH('Raw Data'!G415))=2,MONTH('Raw Data'!G415),CONCATENATE("0",MONTH('Raw Data'!G415)))),CONCATENATE(MONTH('Raw Data'!G415),".",RIGHT(YEAR('Raw Data'!G415),2))),'Raw Data'!G415))</f>
        <v>25.84</v>
      </c>
      <c r="H415">
        <f>'Raw Data'!H415</f>
        <v>3</v>
      </c>
      <c r="I415" s="6">
        <f t="shared" si="18"/>
        <v>3.8760000000000048</v>
      </c>
      <c r="J415" s="6">
        <f>'Raw Data'!J415</f>
        <v>81.396000000000001</v>
      </c>
      <c r="K415" s="1">
        <f>VALUE(IFERROR(VALUE('Raw Data'!K415),CONCATENATE(MID('Raw Data'!K415,3,2),".","0",LEFT('Raw Data'!K415,1),".", RIGHT('Raw Data'!K415,4))))</f>
        <v>43741</v>
      </c>
      <c r="L415" s="2">
        <f>'Raw Data'!L415</f>
        <v>0.78819444444444453</v>
      </c>
      <c r="M415" t="s">
        <v>23</v>
      </c>
      <c r="N415">
        <f>VALUE(IF(AND(ISERR(FIND(".",'Raw Data'!N415)),LEN('Raw Data'!N415)=5), IF(YEAR('Raw Data'!N415)=2026,CONCATENATE(DAY('Raw Data'!N415),".",IF(LEN(MONTH('Raw Data'!N415))=2,MONTH('Raw Data'!N415),CONCATENATE("0",MONTH('Raw Data'!N415)))),CONCATENATE(MONTH('Raw Data'!N415),".",RIGHT(YEAR('Raw Data'!N415),2))),'Raw Data'!N415))</f>
        <v>77.52</v>
      </c>
      <c r="O415" s="6">
        <f t="shared" si="19"/>
        <v>4.7619047619047681</v>
      </c>
      <c r="P415" s="6">
        <f t="shared" si="20"/>
        <v>3.8760000000000048</v>
      </c>
      <c r="Q415">
        <f>VALUE(IF(AND(ISERR(FIND(".",'Raw Data'!Q415)),LEN('Raw Data'!Q415)=5), IF(YEAR('Raw Data'!Q415)=2026,CONCATENATE(DAY('Raw Data'!Q415),".",IF(LEN(MONTH('Raw Data'!Q415))=2,MONTH('Raw Data'!Q415),CONCATENATE(MONTH('Raw Data'!Q415)))),CONCATENATE(MONTH('Raw Data'!Q415),".",RIGHT(YEAR('Raw Data'!Q415),2))),'Raw Data'!Q415))</f>
        <v>6.6</v>
      </c>
    </row>
    <row r="416" spans="1:17">
      <c r="A416" t="s">
        <v>503</v>
      </c>
      <c r="B416" t="s">
        <v>18</v>
      </c>
      <c r="C416" t="s">
        <v>19</v>
      </c>
      <c r="D416" t="s">
        <v>27</v>
      </c>
      <c r="E416" t="s">
        <v>30</v>
      </c>
      <c r="F416" t="s">
        <v>32</v>
      </c>
      <c r="G416">
        <f>VALUE(IF(AND(ISERR(FIND(".",'Raw Data'!G416)),LEN('Raw Data'!G416)=5), IF(YEAR('Raw Data'!G416)=2026,CONCATENATE(DAY('Raw Data'!G416),".",IF(LEN(MONTH('Raw Data'!G416))=2,MONTH('Raw Data'!G416),CONCATENATE("0",MONTH('Raw Data'!G416)))),CONCATENATE(MONTH('Raw Data'!G416),".",RIGHT(YEAR('Raw Data'!G416),2))),'Raw Data'!G416))</f>
        <v>50.93</v>
      </c>
      <c r="H416">
        <f>'Raw Data'!H416</f>
        <v>8</v>
      </c>
      <c r="I416" s="6">
        <f t="shared" si="18"/>
        <v>20.372000000000014</v>
      </c>
      <c r="J416" s="6">
        <f>'Raw Data'!J416</f>
        <v>427.81200000000001</v>
      </c>
      <c r="K416" s="1">
        <f>VALUE(IFERROR(VALUE('Raw Data'!K416),CONCATENATE(MID('Raw Data'!K416,3,2),".","0",LEFT('Raw Data'!K416,1),".", RIGHT('Raw Data'!K416,4))))</f>
        <v>43546</v>
      </c>
      <c r="L416" s="2">
        <f>'Raw Data'!L416</f>
        <v>0.81666666666666676</v>
      </c>
      <c r="M416" t="s">
        <v>23</v>
      </c>
      <c r="N416">
        <f>VALUE(IF(AND(ISERR(FIND(".",'Raw Data'!N416)),LEN('Raw Data'!N416)=5), IF(YEAR('Raw Data'!N416)=2026,CONCATENATE(DAY('Raw Data'!N416),".",IF(LEN(MONTH('Raw Data'!N416))=2,MONTH('Raw Data'!N416),CONCATENATE("0",MONTH('Raw Data'!N416)))),CONCATENATE(MONTH('Raw Data'!N416),".",RIGHT(YEAR('Raw Data'!N416),2))),'Raw Data'!N416))</f>
        <v>407.44</v>
      </c>
      <c r="O416" s="6">
        <f t="shared" si="19"/>
        <v>4.7619047619047654</v>
      </c>
      <c r="P416" s="6">
        <f t="shared" si="20"/>
        <v>20.372000000000014</v>
      </c>
      <c r="Q416">
        <f>VALUE(IF(AND(ISERR(FIND(".",'Raw Data'!Q416)),LEN('Raw Data'!Q416)=5), IF(YEAR('Raw Data'!Q416)=2026,CONCATENATE(DAY('Raw Data'!Q416),".",IF(LEN(MONTH('Raw Data'!Q416))=2,MONTH('Raw Data'!Q416),CONCATENATE(MONTH('Raw Data'!Q416)))),CONCATENATE(MONTH('Raw Data'!Q416),".",RIGHT(YEAR('Raw Data'!Q416),2))),'Raw Data'!Q416))</f>
        <v>9.1999999999999993</v>
      </c>
    </row>
    <row r="417" spans="1:17">
      <c r="A417" t="s">
        <v>504</v>
      </c>
      <c r="B417" t="s">
        <v>34</v>
      </c>
      <c r="C417" t="s">
        <v>35</v>
      </c>
      <c r="D417" t="s">
        <v>27</v>
      </c>
      <c r="E417" t="s">
        <v>30</v>
      </c>
      <c r="F417" t="s">
        <v>22</v>
      </c>
      <c r="G417">
        <f>VALUE(IF(AND(ISERR(FIND(".",'Raw Data'!G417)),LEN('Raw Data'!G417)=5), IF(YEAR('Raw Data'!G417)=2026,CONCATENATE(DAY('Raw Data'!G417),".",IF(LEN(MONTH('Raw Data'!G417))=2,MONTH('Raw Data'!G417),CONCATENATE("0",MONTH('Raw Data'!G417)))),CONCATENATE(MONTH('Raw Data'!G417),".",RIGHT(YEAR('Raw Data'!G417),2))),'Raw Data'!G417))</f>
        <v>96.11</v>
      </c>
      <c r="H417">
        <f>'Raw Data'!H417</f>
        <v>1</v>
      </c>
      <c r="I417" s="6">
        <f t="shared" si="18"/>
        <v>4.805499999999995</v>
      </c>
      <c r="J417" s="6">
        <f>'Raw Data'!J417</f>
        <v>100.91549999999999</v>
      </c>
      <c r="K417" s="1">
        <f>VALUE(IFERROR(VALUE('Raw Data'!K417),CONCATENATE(MID('Raw Data'!K417,3,2),".","0",LEFT('Raw Data'!K417,1),".", RIGHT('Raw Data'!K417,4))))</f>
        <v>43490</v>
      </c>
      <c r="L417" s="2">
        <f>'Raw Data'!L417</f>
        <v>0.68611111111111101</v>
      </c>
      <c r="M417" t="s">
        <v>23</v>
      </c>
      <c r="N417">
        <f>VALUE(IF(AND(ISERR(FIND(".",'Raw Data'!N417)),LEN('Raw Data'!N417)=5), IF(YEAR('Raw Data'!N417)=2026,CONCATENATE(DAY('Raw Data'!N417),".",IF(LEN(MONTH('Raw Data'!N417))=2,MONTH('Raw Data'!N417),CONCATENATE("0",MONTH('Raw Data'!N417)))),CONCATENATE(MONTH('Raw Data'!N417),".",RIGHT(YEAR('Raw Data'!N417),2))),'Raw Data'!N417))</f>
        <v>96.11</v>
      </c>
      <c r="O417" s="6">
        <f t="shared" si="19"/>
        <v>4.7619047619047574</v>
      </c>
      <c r="P417" s="6">
        <f t="shared" si="20"/>
        <v>4.805499999999995</v>
      </c>
      <c r="Q417">
        <f>VALUE(IF(AND(ISERR(FIND(".",'Raw Data'!Q417)),LEN('Raw Data'!Q417)=5), IF(YEAR('Raw Data'!Q417)=2026,CONCATENATE(DAY('Raw Data'!Q417),".",IF(LEN(MONTH('Raw Data'!Q417))=2,MONTH('Raw Data'!Q417),CONCATENATE(MONTH('Raw Data'!Q417)))),CONCATENATE(MONTH('Raw Data'!Q417),".",RIGHT(YEAR('Raw Data'!Q417),2))),'Raw Data'!Q417))</f>
        <v>7.8</v>
      </c>
    </row>
    <row r="418" spans="1:17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f>VALUE(IF(AND(ISERR(FIND(".",'Raw Data'!G418)),LEN('Raw Data'!G418)=5), IF(YEAR('Raw Data'!G418)=2026,CONCATENATE(DAY('Raw Data'!G418),".",IF(LEN(MONTH('Raw Data'!G418))=2,MONTH('Raw Data'!G418),CONCATENATE("0",MONTH('Raw Data'!G418)))),CONCATENATE(MONTH('Raw Data'!G418),".",RIGHT(YEAR('Raw Data'!G418),2))),'Raw Data'!G418))</f>
        <v>45.38</v>
      </c>
      <c r="H418">
        <f>'Raw Data'!H418</f>
        <v>4</v>
      </c>
      <c r="I418" s="6">
        <f t="shared" si="18"/>
        <v>9.0759999999999934</v>
      </c>
      <c r="J418" s="6">
        <f>'Raw Data'!J418</f>
        <v>190.596</v>
      </c>
      <c r="K418" s="1">
        <f>VALUE(IFERROR(VALUE('Raw Data'!K418),CONCATENATE(MID('Raw Data'!K418,3,2),".","0",LEFT('Raw Data'!K418,1),".", RIGHT('Raw Data'!K418,4))))</f>
        <v>43678</v>
      </c>
      <c r="L418" s="2">
        <f>'Raw Data'!L418</f>
        <v>0.57500000000000007</v>
      </c>
      <c r="M418" t="s">
        <v>33</v>
      </c>
      <c r="N418">
        <f>VALUE(IF(AND(ISERR(FIND(".",'Raw Data'!N418)),LEN('Raw Data'!N418)=5), IF(YEAR('Raw Data'!N418)=2026,CONCATENATE(DAY('Raw Data'!N418),".",IF(LEN(MONTH('Raw Data'!N418))=2,MONTH('Raw Data'!N418),CONCATENATE("0",MONTH('Raw Data'!N418)))),CONCATENATE(MONTH('Raw Data'!N418),".",RIGHT(YEAR('Raw Data'!N418),2))),'Raw Data'!N418))</f>
        <v>181.52</v>
      </c>
      <c r="O418" s="6">
        <f t="shared" si="19"/>
        <v>4.7619047619047583</v>
      </c>
      <c r="P418" s="6">
        <f t="shared" si="20"/>
        <v>9.0759999999999934</v>
      </c>
      <c r="Q418">
        <f>VALUE(IF(AND(ISERR(FIND(".",'Raw Data'!Q418)),LEN('Raw Data'!Q418)=5), IF(YEAR('Raw Data'!Q418)=2026,CONCATENATE(DAY('Raw Data'!Q418),".",IF(LEN(MONTH('Raw Data'!Q418))=2,MONTH('Raw Data'!Q418),CONCATENATE(MONTH('Raw Data'!Q418)))),CONCATENATE(MONTH('Raw Data'!Q418),".",RIGHT(YEAR('Raw Data'!Q418),2))),'Raw Data'!Q418))</f>
        <v>8.6999999999999993</v>
      </c>
    </row>
    <row r="419" spans="1:17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f>VALUE(IF(AND(ISERR(FIND(".",'Raw Data'!G419)),LEN('Raw Data'!G419)=5), IF(YEAR('Raw Data'!G419)=2026,CONCATENATE(DAY('Raw Data'!G419),".",IF(LEN(MONTH('Raw Data'!G419))=2,MONTH('Raw Data'!G419),CONCATENATE("0",MONTH('Raw Data'!G419)))),CONCATENATE(MONTH('Raw Data'!G419),".",RIGHT(YEAR('Raw Data'!G419),2))),'Raw Data'!G419))</f>
        <v>81.510000000000005</v>
      </c>
      <c r="H419">
        <f>'Raw Data'!H419</f>
        <v>1</v>
      </c>
      <c r="I419" s="6">
        <f t="shared" si="18"/>
        <v>4.075499999999991</v>
      </c>
      <c r="J419" s="6">
        <f>'Raw Data'!J419</f>
        <v>85.585499999999996</v>
      </c>
      <c r="K419" s="1">
        <f>VALUE(IFERROR(VALUE('Raw Data'!K419),CONCATENATE(MID('Raw Data'!K419,3,2),".","0",LEFT('Raw Data'!K419,1),".", RIGHT('Raw Data'!K419,4))))</f>
        <v>43487</v>
      </c>
      <c r="L419" s="2">
        <f>'Raw Data'!L419</f>
        <v>0.45624999999999999</v>
      </c>
      <c r="M419" t="s">
        <v>23</v>
      </c>
      <c r="N419">
        <f>VALUE(IF(AND(ISERR(FIND(".",'Raw Data'!N419)),LEN('Raw Data'!N419)=5), IF(YEAR('Raw Data'!N419)=2026,CONCATENATE(DAY('Raw Data'!N419),".",IF(LEN(MONTH('Raw Data'!N419))=2,MONTH('Raw Data'!N419),CONCATENATE("0",MONTH('Raw Data'!N419)))),CONCATENATE(MONTH('Raw Data'!N419),".",RIGHT(YEAR('Raw Data'!N419),2))),'Raw Data'!N419))</f>
        <v>81.510000000000005</v>
      </c>
      <c r="O419" s="6">
        <f t="shared" si="19"/>
        <v>4.7619047619047521</v>
      </c>
      <c r="P419" s="6">
        <f t="shared" si="20"/>
        <v>4.075499999999991</v>
      </c>
      <c r="Q419">
        <f>VALUE(IF(AND(ISERR(FIND(".",'Raw Data'!Q419)),LEN('Raw Data'!Q419)=5), IF(YEAR('Raw Data'!Q419)=2026,CONCATENATE(DAY('Raw Data'!Q419),".",IF(LEN(MONTH('Raw Data'!Q419))=2,MONTH('Raw Data'!Q419),CONCATENATE(MONTH('Raw Data'!Q419)))),CONCATENATE(MONTH('Raw Data'!Q419),".",RIGHT(YEAR('Raw Data'!Q419),2))),'Raw Data'!Q419))</f>
        <v>9.1999999999999993</v>
      </c>
    </row>
    <row r="420" spans="1:17">
      <c r="A420" t="s">
        <v>507</v>
      </c>
      <c r="B420" t="s">
        <v>34</v>
      </c>
      <c r="C420" t="s">
        <v>35</v>
      </c>
      <c r="D420" t="s">
        <v>27</v>
      </c>
      <c r="E420" t="s">
        <v>21</v>
      </c>
      <c r="F420" t="s">
        <v>22</v>
      </c>
      <c r="G420">
        <f>VALUE(IF(AND(ISERR(FIND(".",'Raw Data'!G420)),LEN('Raw Data'!G420)=5), IF(YEAR('Raw Data'!G420)=2026,CONCATENATE(DAY('Raw Data'!G420),".",IF(LEN(MONTH('Raw Data'!G420))=2,MONTH('Raw Data'!G420),CONCATENATE("0",MONTH('Raw Data'!G420)))),CONCATENATE(MONTH('Raw Data'!G420),".",RIGHT(YEAR('Raw Data'!G420),2))),'Raw Data'!G420))</f>
        <v>57.22</v>
      </c>
      <c r="H420">
        <f>'Raw Data'!H420</f>
        <v>2</v>
      </c>
      <c r="I420" s="6">
        <f t="shared" si="18"/>
        <v>5.7220000000000084</v>
      </c>
      <c r="J420" s="6">
        <f>'Raw Data'!J420</f>
        <v>120.16200000000001</v>
      </c>
      <c r="K420" s="1">
        <f>VALUE(IFERROR(VALUE('Raw Data'!K420),CONCATENATE(MID('Raw Data'!K420,3,2),".","0",LEFT('Raw Data'!K420,1),".", RIGHT('Raw Data'!K420,4))))</f>
        <v>43800</v>
      </c>
      <c r="L420" s="2">
        <f>'Raw Data'!L420</f>
        <v>0.71736111111111101</v>
      </c>
      <c r="M420" t="s">
        <v>23</v>
      </c>
      <c r="N420">
        <f>VALUE(IF(AND(ISERR(FIND(".",'Raw Data'!N420)),LEN('Raw Data'!N420)=5), IF(YEAR('Raw Data'!N420)=2026,CONCATENATE(DAY('Raw Data'!N420),".",IF(LEN(MONTH('Raw Data'!N420))=2,MONTH('Raw Data'!N420),CONCATENATE("0",MONTH('Raw Data'!N420)))),CONCATENATE(MONTH('Raw Data'!N420),".",RIGHT(YEAR('Raw Data'!N420),2))),'Raw Data'!N420))</f>
        <v>114.44</v>
      </c>
      <c r="O420" s="6">
        <f t="shared" si="19"/>
        <v>4.761904761904769</v>
      </c>
      <c r="P420" s="6">
        <f t="shared" si="20"/>
        <v>5.7220000000000084</v>
      </c>
      <c r="Q420">
        <f>VALUE(IF(AND(ISERR(FIND(".",'Raw Data'!Q420)),LEN('Raw Data'!Q420)=5), IF(YEAR('Raw Data'!Q420)=2026,CONCATENATE(DAY('Raw Data'!Q420),".",IF(LEN(MONTH('Raw Data'!Q420))=2,MONTH('Raw Data'!Q420),CONCATENATE(MONTH('Raw Data'!Q420)))),CONCATENATE(MONTH('Raw Data'!Q420),".",RIGHT(YEAR('Raw Data'!Q420),2))),'Raw Data'!Q420))</f>
        <v>8.3000000000000007</v>
      </c>
    </row>
    <row r="421" spans="1:17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f>VALUE(IF(AND(ISERR(FIND(".",'Raw Data'!G421)),LEN('Raw Data'!G421)=5), IF(YEAR('Raw Data'!G421)=2026,CONCATENATE(DAY('Raw Data'!G421),".",IF(LEN(MONTH('Raw Data'!G421))=2,MONTH('Raw Data'!G421),CONCATENATE("0",MONTH('Raw Data'!G421)))),CONCATENATE(MONTH('Raw Data'!G421),".",RIGHT(YEAR('Raw Data'!G421),2))),'Raw Data'!G421))</f>
        <v>25.22</v>
      </c>
      <c r="H421">
        <f>'Raw Data'!H421</f>
        <v>7</v>
      </c>
      <c r="I421" s="6">
        <f t="shared" si="18"/>
        <v>8.8269999999999982</v>
      </c>
      <c r="J421" s="6">
        <f>'Raw Data'!J421</f>
        <v>185.36699999999999</v>
      </c>
      <c r="K421" s="1">
        <f>VALUE(IFERROR(VALUE('Raw Data'!K421),CONCATENATE(MID('Raw Data'!K421,3,2),".","0",LEFT('Raw Data'!K421,1),".", RIGHT('Raw Data'!K421,4))))</f>
        <v>43557</v>
      </c>
      <c r="L421" s="2">
        <f>'Raw Data'!L421</f>
        <v>0.43263888888888885</v>
      </c>
      <c r="M421" t="s">
        <v>29</v>
      </c>
      <c r="N421">
        <f>VALUE(IF(AND(ISERR(FIND(".",'Raw Data'!N421)),LEN('Raw Data'!N421)=5), IF(YEAR('Raw Data'!N421)=2026,CONCATENATE(DAY('Raw Data'!N421),".",IF(LEN(MONTH('Raw Data'!N421))=2,MONTH('Raw Data'!N421),CONCATENATE("0",MONTH('Raw Data'!N421)))),CONCATENATE(MONTH('Raw Data'!N421),".",RIGHT(YEAR('Raw Data'!N421),2))),'Raw Data'!N421))</f>
        <v>176.54</v>
      </c>
      <c r="O421" s="6">
        <f t="shared" si="19"/>
        <v>4.761904761904761</v>
      </c>
      <c r="P421" s="6">
        <f t="shared" si="20"/>
        <v>8.8269999999999982</v>
      </c>
      <c r="Q421">
        <f>VALUE(IF(AND(ISERR(FIND(".",'Raw Data'!Q421)),LEN('Raw Data'!Q421)=5), IF(YEAR('Raw Data'!Q421)=2026,CONCATENATE(DAY('Raw Data'!Q421),".",IF(LEN(MONTH('Raw Data'!Q421))=2,MONTH('Raw Data'!Q421),CONCATENATE(MONTH('Raw Data'!Q421)))),CONCATENATE(MONTH('Raw Data'!Q421),".",RIGHT(YEAR('Raw Data'!Q421),2))),'Raw Data'!Q421))</f>
        <v>8.1999999999999993</v>
      </c>
    </row>
    <row r="422" spans="1:17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40</v>
      </c>
      <c r="G422">
        <f>VALUE(IF(AND(ISERR(FIND(".",'Raw Data'!G422)),LEN('Raw Data'!G422)=5), IF(YEAR('Raw Data'!G422)=2026,CONCATENATE(DAY('Raw Data'!G422),".",IF(LEN(MONTH('Raw Data'!G422))=2,MONTH('Raw Data'!G422),CONCATENATE("0",MONTH('Raw Data'!G422)))),CONCATENATE(MONTH('Raw Data'!G422),".",RIGHT(YEAR('Raw Data'!G422),2))),'Raw Data'!G422))</f>
        <v>38.6</v>
      </c>
      <c r="H422">
        <f>'Raw Data'!H422</f>
        <v>3</v>
      </c>
      <c r="I422" s="6">
        <f t="shared" si="18"/>
        <v>5.789999999999992</v>
      </c>
      <c r="J422" s="6">
        <f>'Raw Data'!J422</f>
        <v>121.59</v>
      </c>
      <c r="K422" s="1">
        <f>VALUE(IFERROR(VALUE('Raw Data'!K422),CONCATENATE(MID('Raw Data'!K422,3,2),".","0",LEFT('Raw Data'!K422,1),".", RIGHT('Raw Data'!K422,4))))</f>
        <v>43552</v>
      </c>
      <c r="L422" s="2">
        <f>'Raw Data'!L422</f>
        <v>0.58124999999999993</v>
      </c>
      <c r="M422" t="s">
        <v>23</v>
      </c>
      <c r="N422">
        <f>VALUE(IF(AND(ISERR(FIND(".",'Raw Data'!N422)),LEN('Raw Data'!N422)=5), IF(YEAR('Raw Data'!N422)=2026,CONCATENATE(DAY('Raw Data'!N422),".",IF(LEN(MONTH('Raw Data'!N422))=2,MONTH('Raw Data'!N422),CONCATENATE("0",MONTH('Raw Data'!N422)))),CONCATENATE(MONTH('Raw Data'!N422),".",RIGHT(YEAR('Raw Data'!N422),2))),'Raw Data'!N422))</f>
        <v>115.8</v>
      </c>
      <c r="O422" s="6">
        <f t="shared" si="19"/>
        <v>4.7619047619047672</v>
      </c>
      <c r="P422" s="6">
        <f t="shared" si="20"/>
        <v>5.7900000000000063</v>
      </c>
      <c r="Q422">
        <f>VALUE(IF(AND(ISERR(FIND(".",'Raw Data'!Q422)),LEN('Raw Data'!Q422)=5), IF(YEAR('Raw Data'!Q422)=2026,CONCATENATE(DAY('Raw Data'!Q422),".",IF(LEN(MONTH('Raw Data'!Q422))=2,MONTH('Raw Data'!Q422),CONCATENATE(MONTH('Raw Data'!Q422)))),CONCATENATE(MONTH('Raw Data'!Q422),".",RIGHT(YEAR('Raw Data'!Q422),2))),'Raw Data'!Q422))</f>
        <v>7.5</v>
      </c>
    </row>
    <row r="423" spans="1:17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f>VALUE(IF(AND(ISERR(FIND(".",'Raw Data'!G423)),LEN('Raw Data'!G423)=5), IF(YEAR('Raw Data'!G423)=2026,CONCATENATE(DAY('Raw Data'!G423),".",IF(LEN(MONTH('Raw Data'!G423))=2,MONTH('Raw Data'!G423),CONCATENATE("0",MONTH('Raw Data'!G423)))),CONCATENATE(MONTH('Raw Data'!G423),".",RIGHT(YEAR('Raw Data'!G423),2))),'Raw Data'!G423))</f>
        <v>84.05</v>
      </c>
      <c r="H423">
        <f>'Raw Data'!H423</f>
        <v>3</v>
      </c>
      <c r="I423" s="6">
        <f t="shared" si="18"/>
        <v>12.607500000000016</v>
      </c>
      <c r="J423" s="6">
        <f>'Raw Data'!J423</f>
        <v>264.75749999999999</v>
      </c>
      <c r="K423" s="1">
        <f>VALUE(IFERROR(VALUE('Raw Data'!K423),CONCATENATE(MID('Raw Data'!K423,3,2),".","0",LEFT('Raw Data'!K423,1),".", RIGHT('Raw Data'!K423,4))))</f>
        <v>43488</v>
      </c>
      <c r="L423" s="2">
        <f>'Raw Data'!L423</f>
        <v>0.56180555555555556</v>
      </c>
      <c r="M423" t="s">
        <v>29</v>
      </c>
      <c r="N423">
        <f>VALUE(IF(AND(ISERR(FIND(".",'Raw Data'!N423)),LEN('Raw Data'!N423)=5), IF(YEAR('Raw Data'!N423)=2026,CONCATENATE(DAY('Raw Data'!N423),".",IF(LEN(MONTH('Raw Data'!N423))=2,MONTH('Raw Data'!N423),CONCATENATE("0",MONTH('Raw Data'!N423)))),CONCATENATE(MONTH('Raw Data'!N423),".",RIGHT(YEAR('Raw Data'!N423),2))),'Raw Data'!N423))</f>
        <v>252.15</v>
      </c>
      <c r="O423" s="6">
        <f t="shared" si="19"/>
        <v>4.7619047619047574</v>
      </c>
      <c r="P423" s="6">
        <f t="shared" si="20"/>
        <v>12.607499999999987</v>
      </c>
      <c r="Q423">
        <f>VALUE(IF(AND(ISERR(FIND(".",'Raw Data'!Q423)),LEN('Raw Data'!Q423)=5), IF(YEAR('Raw Data'!Q423)=2026,CONCATENATE(DAY('Raw Data'!Q423),".",IF(LEN(MONTH('Raw Data'!Q423))=2,MONTH('Raw Data'!Q423),CONCATENATE(MONTH('Raw Data'!Q423)))),CONCATENATE(MONTH('Raw Data'!Q423),".",RIGHT(YEAR('Raw Data'!Q423),2))),'Raw Data'!Q423))</f>
        <v>9.8000000000000007</v>
      </c>
    </row>
    <row r="424" spans="1:17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43</v>
      </c>
      <c r="G424">
        <f>VALUE(IF(AND(ISERR(FIND(".",'Raw Data'!G424)),LEN('Raw Data'!G424)=5), IF(YEAR('Raw Data'!G424)=2026,CONCATENATE(DAY('Raw Data'!G424),".",IF(LEN(MONTH('Raw Data'!G424))=2,MONTH('Raw Data'!G424),CONCATENATE("0",MONTH('Raw Data'!G424)))),CONCATENATE(MONTH('Raw Data'!G424),".",RIGHT(YEAR('Raw Data'!G424),2))),'Raw Data'!G424))</f>
        <v>97.21</v>
      </c>
      <c r="H424">
        <f>'Raw Data'!H424</f>
        <v>10</v>
      </c>
      <c r="I424" s="6">
        <f t="shared" si="18"/>
        <v>48.605000000000132</v>
      </c>
      <c r="J424" s="6">
        <f>'Raw Data'!J424</f>
        <v>1020.705</v>
      </c>
      <c r="K424" s="1">
        <f>VALUE(IFERROR(VALUE('Raw Data'!K424),CONCATENATE(MID('Raw Data'!K424,3,2),".","0",LEFT('Raw Data'!K424,1),".", RIGHT('Raw Data'!K424,4))))</f>
        <v>43679</v>
      </c>
      <c r="L424" s="2">
        <f>'Raw Data'!L424</f>
        <v>0.54166666666666663</v>
      </c>
      <c r="M424" t="s">
        <v>33</v>
      </c>
      <c r="N424">
        <f>VALUE(IF(AND(ISERR(FIND(".",'Raw Data'!N424)),LEN('Raw Data'!N424)=5), IF(YEAR('Raw Data'!N424)=2026,CONCATENATE(DAY('Raw Data'!N424),".",IF(LEN(MONTH('Raw Data'!N424))=2,MONTH('Raw Data'!N424),CONCATENATE("0",MONTH('Raw Data'!N424)))),CONCATENATE(MONTH('Raw Data'!N424),".",RIGHT(YEAR('Raw Data'!N424),2))),'Raw Data'!N424))</f>
        <v>972.1</v>
      </c>
      <c r="O424" s="6">
        <f t="shared" si="19"/>
        <v>4.7619047619047636</v>
      </c>
      <c r="P424" s="6">
        <f t="shared" si="20"/>
        <v>48.605000000000018</v>
      </c>
      <c r="Q424">
        <f>VALUE(IF(AND(ISERR(FIND(".",'Raw Data'!Q424)),LEN('Raw Data'!Q424)=5), IF(YEAR('Raw Data'!Q424)=2026,CONCATENATE(DAY('Raw Data'!Q424),".",IF(LEN(MONTH('Raw Data'!Q424))=2,MONTH('Raw Data'!Q424),CONCATENATE(MONTH('Raw Data'!Q424)))),CONCATENATE(MONTH('Raw Data'!Q424),".",RIGHT(YEAR('Raw Data'!Q424),2))),'Raw Data'!Q424))</f>
        <v>8.6999999999999993</v>
      </c>
    </row>
    <row r="425" spans="1:17">
      <c r="A425" t="s">
        <v>512</v>
      </c>
      <c r="B425" t="s">
        <v>34</v>
      </c>
      <c r="C425" t="s">
        <v>35</v>
      </c>
      <c r="D425" t="s">
        <v>20</v>
      </c>
      <c r="E425" t="s">
        <v>30</v>
      </c>
      <c r="F425" t="s">
        <v>43</v>
      </c>
      <c r="G425">
        <f>VALUE(IF(AND(ISERR(FIND(".",'Raw Data'!G425)),LEN('Raw Data'!G425)=5), IF(YEAR('Raw Data'!G425)=2026,CONCATENATE(DAY('Raw Data'!G425),".",IF(LEN(MONTH('Raw Data'!G425))=2,MONTH('Raw Data'!G425),CONCATENATE("0",MONTH('Raw Data'!G425)))),CONCATENATE(MONTH('Raw Data'!G425),".",RIGHT(YEAR('Raw Data'!G425),2))),'Raw Data'!G425))</f>
        <v>25.42</v>
      </c>
      <c r="H425">
        <f>'Raw Data'!H425</f>
        <v>8</v>
      </c>
      <c r="I425" s="6">
        <f t="shared" si="18"/>
        <v>10.167999999999978</v>
      </c>
      <c r="J425" s="6">
        <f>'Raw Data'!J425</f>
        <v>213.52799999999999</v>
      </c>
      <c r="K425" s="1">
        <f>VALUE(IFERROR(VALUE('Raw Data'!K425),CONCATENATE(MID('Raw Data'!K425,3,2),".","0",LEFT('Raw Data'!K425,1),".", RIGHT('Raw Data'!K425,4))))</f>
        <v>43543</v>
      </c>
      <c r="L425" s="2">
        <f>'Raw Data'!L425</f>
        <v>0.8208333333333333</v>
      </c>
      <c r="M425" t="s">
        <v>33</v>
      </c>
      <c r="N425">
        <f>VALUE(IF(AND(ISERR(FIND(".",'Raw Data'!N425)),LEN('Raw Data'!N425)=5), IF(YEAR('Raw Data'!N425)=2026,CONCATENATE(DAY('Raw Data'!N425),".",IF(LEN(MONTH('Raw Data'!N425))=2,MONTH('Raw Data'!N425),CONCATENATE("0",MONTH('Raw Data'!N425)))),CONCATENATE(MONTH('Raw Data'!N425),".",RIGHT(YEAR('Raw Data'!N425),2))),'Raw Data'!N425))</f>
        <v>203.36</v>
      </c>
      <c r="O425" s="6">
        <f t="shared" si="19"/>
        <v>4.7619047619047521</v>
      </c>
      <c r="P425" s="6">
        <f t="shared" si="20"/>
        <v>10.167999999999978</v>
      </c>
      <c r="Q425">
        <f>VALUE(IF(AND(ISERR(FIND(".",'Raw Data'!Q425)),LEN('Raw Data'!Q425)=5), IF(YEAR('Raw Data'!Q425)=2026,CONCATENATE(DAY('Raw Data'!Q425),".",IF(LEN(MONTH('Raw Data'!Q425))=2,MONTH('Raw Data'!Q425),CONCATENATE(MONTH('Raw Data'!Q425)))),CONCATENATE(MONTH('Raw Data'!Q425),".",RIGHT(YEAR('Raw Data'!Q425),2))),'Raw Data'!Q425))</f>
        <v>6.7</v>
      </c>
    </row>
    <row r="426" spans="1:17">
      <c r="A426" t="s">
        <v>513</v>
      </c>
      <c r="B426" t="s">
        <v>25</v>
      </c>
      <c r="C426" t="s">
        <v>26</v>
      </c>
      <c r="D426" t="s">
        <v>27</v>
      </c>
      <c r="E426" t="s">
        <v>30</v>
      </c>
      <c r="F426" t="s">
        <v>43</v>
      </c>
      <c r="G426">
        <f>VALUE(IF(AND(ISERR(FIND(".",'Raw Data'!G426)),LEN('Raw Data'!G426)=5), IF(YEAR('Raw Data'!G426)=2026,CONCATENATE(DAY('Raw Data'!G426),".",IF(LEN(MONTH('Raw Data'!G426))=2,MONTH('Raw Data'!G426),CONCATENATE("0",MONTH('Raw Data'!G426)))),CONCATENATE(MONTH('Raw Data'!G426),".",RIGHT(YEAR('Raw Data'!G426),2))),'Raw Data'!G426))</f>
        <v>16.28</v>
      </c>
      <c r="H426">
        <f>'Raw Data'!H426</f>
        <v>1</v>
      </c>
      <c r="I426" s="6">
        <f t="shared" si="18"/>
        <v>0.81400000000000006</v>
      </c>
      <c r="J426" s="6">
        <f>'Raw Data'!J426</f>
        <v>17.094000000000001</v>
      </c>
      <c r="K426" s="1">
        <f>VALUE(IFERROR(VALUE('Raw Data'!K426),CONCATENATE(MID('Raw Data'!K426,3,2),".","0",LEFT('Raw Data'!K426,1),".", RIGHT('Raw Data'!K426,4))))</f>
        <v>43711</v>
      </c>
      <c r="L426" s="2">
        <f>'Raw Data'!L426</f>
        <v>0.65</v>
      </c>
      <c r="M426" t="s">
        <v>29</v>
      </c>
      <c r="N426">
        <f>VALUE(IF(AND(ISERR(FIND(".",'Raw Data'!N426)),LEN('Raw Data'!N426)=5), IF(YEAR('Raw Data'!N426)=2026,CONCATENATE(DAY('Raw Data'!N426),".",IF(LEN(MONTH('Raw Data'!N426))=2,MONTH('Raw Data'!N426),CONCATENATE("0",MONTH('Raw Data'!N426)))),CONCATENATE(MONTH('Raw Data'!N426),".",RIGHT(YEAR('Raw Data'!N426),2))),'Raw Data'!N426))</f>
        <v>16.28</v>
      </c>
      <c r="O426" s="6">
        <f t="shared" si="19"/>
        <v>4.7619047619047619</v>
      </c>
      <c r="P426" s="6">
        <f t="shared" si="20"/>
        <v>0.81400000000000006</v>
      </c>
      <c r="Q426">
        <f>VALUE(IF(AND(ISERR(FIND(".",'Raw Data'!Q426)),LEN('Raw Data'!Q426)=5), IF(YEAR('Raw Data'!Q426)=2026,CONCATENATE(DAY('Raw Data'!Q426),".",IF(LEN(MONTH('Raw Data'!Q426))=2,MONTH('Raw Data'!Q426),CONCATENATE(MONTH('Raw Data'!Q426)))),CONCATENATE(MONTH('Raw Data'!Q426),".",RIGHT(YEAR('Raw Data'!Q426),2))),'Raw Data'!Q426))</f>
        <v>5</v>
      </c>
    </row>
    <row r="427" spans="1:17">
      <c r="A427" t="s">
        <v>514</v>
      </c>
      <c r="B427" t="s">
        <v>34</v>
      </c>
      <c r="C427" t="s">
        <v>35</v>
      </c>
      <c r="D427" t="s">
        <v>20</v>
      </c>
      <c r="E427" t="s">
        <v>30</v>
      </c>
      <c r="F427" t="s">
        <v>43</v>
      </c>
      <c r="G427">
        <f>VALUE(IF(AND(ISERR(FIND(".",'Raw Data'!G427)),LEN('Raw Data'!G427)=5), IF(YEAR('Raw Data'!G427)=2026,CONCATENATE(DAY('Raw Data'!G427),".",IF(LEN(MONTH('Raw Data'!G427))=2,MONTH('Raw Data'!G427),CONCATENATE("0",MONTH('Raw Data'!G427)))),CONCATENATE(MONTH('Raw Data'!G427),".",RIGHT(YEAR('Raw Data'!G427),2))),'Raw Data'!G427))</f>
        <v>40.61</v>
      </c>
      <c r="H427">
        <f>'Raw Data'!H427</f>
        <v>9</v>
      </c>
      <c r="I427" s="6">
        <f t="shared" si="18"/>
        <v>18.274499999999989</v>
      </c>
      <c r="J427" s="6">
        <f>'Raw Data'!J427</f>
        <v>383.7645</v>
      </c>
      <c r="K427" s="1">
        <f>VALUE(IFERROR(VALUE('Raw Data'!K427),CONCATENATE(MID('Raw Data'!K427,3,2),".","0",LEFT('Raw Data'!K427,1),".", RIGHT('Raw Data'!K427,4))))</f>
        <v>43497</v>
      </c>
      <c r="L427" s="2">
        <f>'Raw Data'!L427</f>
        <v>0.56944444444444442</v>
      </c>
      <c r="M427" t="s">
        <v>29</v>
      </c>
      <c r="N427">
        <f>VALUE(IF(AND(ISERR(FIND(".",'Raw Data'!N427)),LEN('Raw Data'!N427)=5), IF(YEAR('Raw Data'!N427)=2026,CONCATENATE(DAY('Raw Data'!N427),".",IF(LEN(MONTH('Raw Data'!N427))=2,MONTH('Raw Data'!N427),CONCATENATE("0",MONTH('Raw Data'!N427)))),CONCATENATE(MONTH('Raw Data'!N427),".",RIGHT(YEAR('Raw Data'!N427),2))),'Raw Data'!N427))</f>
        <v>365.49</v>
      </c>
      <c r="O427" s="6">
        <f t="shared" si="19"/>
        <v>4.7619047619047592</v>
      </c>
      <c r="P427" s="6">
        <f t="shared" si="20"/>
        <v>18.274499999999989</v>
      </c>
      <c r="Q427">
        <f>VALUE(IF(AND(ISERR(FIND(".",'Raw Data'!Q427)),LEN('Raw Data'!Q427)=5), IF(YEAR('Raw Data'!Q427)=2026,CONCATENATE(DAY('Raw Data'!Q427),".",IF(LEN(MONTH('Raw Data'!Q427))=2,MONTH('Raw Data'!Q427),CONCATENATE(MONTH('Raw Data'!Q427)))),CONCATENATE(MONTH('Raw Data'!Q427),".",RIGHT(YEAR('Raw Data'!Q427),2))),'Raw Data'!Q427))</f>
        <v>7</v>
      </c>
    </row>
    <row r="428" spans="1:17">
      <c r="A428" t="s">
        <v>515</v>
      </c>
      <c r="B428" t="s">
        <v>18</v>
      </c>
      <c r="C428" t="s">
        <v>19</v>
      </c>
      <c r="D428" t="s">
        <v>20</v>
      </c>
      <c r="E428" t="s">
        <v>30</v>
      </c>
      <c r="F428" t="s">
        <v>22</v>
      </c>
      <c r="G428">
        <f>VALUE(IF(AND(ISERR(FIND(".",'Raw Data'!G428)),LEN('Raw Data'!G428)=5), IF(YEAR('Raw Data'!G428)=2026,CONCATENATE(DAY('Raw Data'!G428),".",IF(LEN(MONTH('Raw Data'!G428))=2,MONTH('Raw Data'!G428),CONCATENATE("0",MONTH('Raw Data'!G428)))),CONCATENATE(MONTH('Raw Data'!G428),".",RIGHT(YEAR('Raw Data'!G428),2))),'Raw Data'!G428))</f>
        <v>53.17</v>
      </c>
      <c r="H428">
        <f>'Raw Data'!H428</f>
        <v>7</v>
      </c>
      <c r="I428" s="6">
        <f t="shared" si="18"/>
        <v>18.609500000000025</v>
      </c>
      <c r="J428" s="6">
        <f>'Raw Data'!J428</f>
        <v>390.79950000000002</v>
      </c>
      <c r="K428" s="1">
        <f>VALUE(IFERROR(VALUE('Raw Data'!K428),CONCATENATE(MID('Raw Data'!K428,3,2),".","0",LEFT('Raw Data'!K428,1),".", RIGHT('Raw Data'!K428,4))))</f>
        <v>43486</v>
      </c>
      <c r="L428" s="2">
        <f>'Raw Data'!L428</f>
        <v>0.75069444444444444</v>
      </c>
      <c r="M428" t="s">
        <v>29</v>
      </c>
      <c r="N428">
        <f>VALUE(IF(AND(ISERR(FIND(".",'Raw Data'!N428)),LEN('Raw Data'!N428)=5), IF(YEAR('Raw Data'!N428)=2026,CONCATENATE(DAY('Raw Data'!N428),".",IF(LEN(MONTH('Raw Data'!N428))=2,MONTH('Raw Data'!N428),CONCATENATE("0",MONTH('Raw Data'!N428)))),CONCATENATE(MONTH('Raw Data'!N428),".",RIGHT(YEAR('Raw Data'!N428),2))),'Raw Data'!N428))</f>
        <v>372.19</v>
      </c>
      <c r="O428" s="6">
        <f t="shared" si="19"/>
        <v>4.7619047619047681</v>
      </c>
      <c r="P428" s="6">
        <f t="shared" si="20"/>
        <v>18.609500000000025</v>
      </c>
      <c r="Q428">
        <f>VALUE(IF(AND(ISERR(FIND(".",'Raw Data'!Q428)),LEN('Raw Data'!Q428)=5), IF(YEAR('Raw Data'!Q428)=2026,CONCATENATE(DAY('Raw Data'!Q428),".",IF(LEN(MONTH('Raw Data'!Q428))=2,MONTH('Raw Data'!Q428),CONCATENATE(MONTH('Raw Data'!Q428)))),CONCATENATE(MONTH('Raw Data'!Q428),".",RIGHT(YEAR('Raw Data'!Q428),2))),'Raw Data'!Q428))</f>
        <v>8.9</v>
      </c>
    </row>
    <row r="429" spans="1:17">
      <c r="A429" t="s">
        <v>516</v>
      </c>
      <c r="B429" t="s">
        <v>34</v>
      </c>
      <c r="C429" t="s">
        <v>35</v>
      </c>
      <c r="D429" t="s">
        <v>20</v>
      </c>
      <c r="E429" t="s">
        <v>21</v>
      </c>
      <c r="F429" t="s">
        <v>40</v>
      </c>
      <c r="G429">
        <f>VALUE(IF(AND(ISERR(FIND(".",'Raw Data'!G429)),LEN('Raw Data'!G429)=5), IF(YEAR('Raw Data'!G429)=2026,CONCATENATE(DAY('Raw Data'!G429),".",IF(LEN(MONTH('Raw Data'!G429))=2,MONTH('Raw Data'!G429),CONCATENATE("0",MONTH('Raw Data'!G429)))),CONCATENATE(MONTH('Raw Data'!G429),".",RIGHT(YEAR('Raw Data'!G429),2))),'Raw Data'!G429))</f>
        <v>20.87</v>
      </c>
      <c r="H429">
        <f>'Raw Data'!H429</f>
        <v>3</v>
      </c>
      <c r="I429" s="6">
        <f t="shared" si="18"/>
        <v>3.1304999999999978</v>
      </c>
      <c r="J429" s="6">
        <f>'Raw Data'!J429</f>
        <v>65.740499999999997</v>
      </c>
      <c r="K429" s="1">
        <f>VALUE(IFERROR(VALUE('Raw Data'!K429),CONCATENATE(MID('Raw Data'!K429,3,2),".","0",LEFT('Raw Data'!K429,1),".", RIGHT('Raw Data'!K429,4))))</f>
        <v>43544</v>
      </c>
      <c r="L429" s="2">
        <f>'Raw Data'!L429</f>
        <v>0.57847222222222217</v>
      </c>
      <c r="M429" t="s">
        <v>33</v>
      </c>
      <c r="N429">
        <f>VALUE(IF(AND(ISERR(FIND(".",'Raw Data'!N429)),LEN('Raw Data'!N429)=5), IF(YEAR('Raw Data'!N429)=2026,CONCATENATE(DAY('Raw Data'!N429),".",IF(LEN(MONTH('Raw Data'!N429))=2,MONTH('Raw Data'!N429),CONCATENATE("0",MONTH('Raw Data'!N429)))),CONCATENATE(MONTH('Raw Data'!N429),".",RIGHT(YEAR('Raw Data'!N429),2))),'Raw Data'!N429))</f>
        <v>62.61</v>
      </c>
      <c r="O429" s="6">
        <f t="shared" si="19"/>
        <v>4.7619047619047592</v>
      </c>
      <c r="P429" s="6">
        <f t="shared" si="20"/>
        <v>3.1304999999999978</v>
      </c>
      <c r="Q429">
        <f>VALUE(IF(AND(ISERR(FIND(".",'Raw Data'!Q429)),LEN('Raw Data'!Q429)=5), IF(YEAR('Raw Data'!Q429)=2026,CONCATENATE(DAY('Raw Data'!Q429),".",IF(LEN(MONTH('Raw Data'!Q429))=2,MONTH('Raw Data'!Q429),CONCATENATE(MONTH('Raw Data'!Q429)))),CONCATENATE(MONTH('Raw Data'!Q429),".",RIGHT(YEAR('Raw Data'!Q429),2))),'Raw Data'!Q429))</f>
        <v>8</v>
      </c>
    </row>
    <row r="430" spans="1:17">
      <c r="A430" t="s">
        <v>517</v>
      </c>
      <c r="B430" t="s">
        <v>34</v>
      </c>
      <c r="C430" t="s">
        <v>35</v>
      </c>
      <c r="D430" t="s">
        <v>27</v>
      </c>
      <c r="E430" t="s">
        <v>30</v>
      </c>
      <c r="F430" t="s">
        <v>38</v>
      </c>
      <c r="G430">
        <f>VALUE(IF(AND(ISERR(FIND(".",'Raw Data'!G430)),LEN('Raw Data'!G430)=5), IF(YEAR('Raw Data'!G430)=2026,CONCATENATE(DAY('Raw Data'!G430),".",IF(LEN(MONTH('Raw Data'!G430))=2,MONTH('Raw Data'!G430),CONCATENATE("0",MONTH('Raw Data'!G430)))),CONCATENATE(MONTH('Raw Data'!G430),".",RIGHT(YEAR('Raw Data'!G430),2))),'Raw Data'!G430))</f>
        <v>67.27</v>
      </c>
      <c r="H430">
        <f>'Raw Data'!H430</f>
        <v>5</v>
      </c>
      <c r="I430" s="6">
        <f t="shared" si="18"/>
        <v>16.817500000000052</v>
      </c>
      <c r="J430" s="6">
        <f>'Raw Data'!J430</f>
        <v>353.16750000000002</v>
      </c>
      <c r="K430" s="1">
        <f>VALUE(IFERROR(VALUE('Raw Data'!K430),CONCATENATE(MID('Raw Data'!K430,3,2),".","0",LEFT('Raw Data'!K430,1),".", RIGHT('Raw Data'!K430,4))))</f>
        <v>43523</v>
      </c>
      <c r="L430" s="2">
        <f>'Raw Data'!L430</f>
        <v>0.7270833333333333</v>
      </c>
      <c r="M430" t="s">
        <v>29</v>
      </c>
      <c r="N430">
        <f>VALUE(IF(AND(ISERR(FIND(".",'Raw Data'!N430)),LEN('Raw Data'!N430)=5), IF(YEAR('Raw Data'!N430)=2026,CONCATENATE(DAY('Raw Data'!N430),".",IF(LEN(MONTH('Raw Data'!N430))=2,MONTH('Raw Data'!N430),CONCATENATE("0",MONTH('Raw Data'!N430)))),CONCATENATE(MONTH('Raw Data'!N430),".",RIGHT(YEAR('Raw Data'!N430),2))),'Raw Data'!N430))</f>
        <v>336.35</v>
      </c>
      <c r="O430" s="6">
        <f t="shared" si="19"/>
        <v>4.7619047619047601</v>
      </c>
      <c r="P430" s="6">
        <f t="shared" si="20"/>
        <v>16.817499999999995</v>
      </c>
      <c r="Q430">
        <f>VALUE(IF(AND(ISERR(FIND(".",'Raw Data'!Q430)),LEN('Raw Data'!Q430)=5), IF(YEAR('Raw Data'!Q430)=2026,CONCATENATE(DAY('Raw Data'!Q430),".",IF(LEN(MONTH('Raw Data'!Q430))=2,MONTH('Raw Data'!Q430),CONCATENATE(MONTH('Raw Data'!Q430)))),CONCATENATE(MONTH('Raw Data'!Q430),".",RIGHT(YEAR('Raw Data'!Q430),2))),'Raw Data'!Q430))</f>
        <v>6.9</v>
      </c>
    </row>
    <row r="431" spans="1:17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f>VALUE(IF(AND(ISERR(FIND(".",'Raw Data'!G431)),LEN('Raw Data'!G431)=5), IF(YEAR('Raw Data'!G431)=2026,CONCATENATE(DAY('Raw Data'!G431),".",IF(LEN(MONTH('Raw Data'!G431))=2,MONTH('Raw Data'!G431),CONCATENATE("0",MONTH('Raw Data'!G431)))),CONCATENATE(MONTH('Raw Data'!G431),".",RIGHT(YEAR('Raw Data'!G431),2))),'Raw Data'!G431))</f>
        <v>90.65</v>
      </c>
      <c r="H431">
        <f>'Raw Data'!H431</f>
        <v>10</v>
      </c>
      <c r="I431" s="6">
        <f t="shared" si="18"/>
        <v>45.325000000000045</v>
      </c>
      <c r="J431" s="6">
        <f>'Raw Data'!J431</f>
        <v>951.82500000000005</v>
      </c>
      <c r="K431" s="1">
        <f>VALUE(IFERROR(VALUE('Raw Data'!K431),CONCATENATE(MID('Raw Data'!K431,3,2),".","0",LEFT('Raw Data'!K431,1),".", RIGHT('Raw Data'!K431,4))))</f>
        <v>43680</v>
      </c>
      <c r="L431" s="2">
        <f>'Raw Data'!L431</f>
        <v>0.45347222222222222</v>
      </c>
      <c r="M431" t="s">
        <v>23</v>
      </c>
      <c r="N431">
        <f>VALUE(IF(AND(ISERR(FIND(".",'Raw Data'!N431)),LEN('Raw Data'!N431)=5), IF(YEAR('Raw Data'!N431)=2026,CONCATENATE(DAY('Raw Data'!N431),".",IF(LEN(MONTH('Raw Data'!N431))=2,MONTH('Raw Data'!N431),CONCATENATE("0",MONTH('Raw Data'!N431)))),CONCATENATE(MONTH('Raw Data'!N431),".",RIGHT(YEAR('Raw Data'!N431),2))),'Raw Data'!N431))</f>
        <v>906.5</v>
      </c>
      <c r="O431" s="6">
        <f t="shared" si="19"/>
        <v>4.7619047619047663</v>
      </c>
      <c r="P431" s="6">
        <f t="shared" si="20"/>
        <v>45.325000000000045</v>
      </c>
      <c r="Q431">
        <f>VALUE(IF(AND(ISERR(FIND(".",'Raw Data'!Q431)),LEN('Raw Data'!Q431)=5), IF(YEAR('Raw Data'!Q431)=2026,CONCATENATE(DAY('Raw Data'!Q431),".",IF(LEN(MONTH('Raw Data'!Q431))=2,MONTH('Raw Data'!Q431),CONCATENATE(MONTH('Raw Data'!Q431)))),CONCATENATE(MONTH('Raw Data'!Q431),".",RIGHT(YEAR('Raw Data'!Q431),2))),'Raw Data'!Q431))</f>
        <v>7.3</v>
      </c>
    </row>
    <row r="432" spans="1:17">
      <c r="A432" t="s">
        <v>519</v>
      </c>
      <c r="B432" t="s">
        <v>34</v>
      </c>
      <c r="C432" t="s">
        <v>35</v>
      </c>
      <c r="D432" t="s">
        <v>27</v>
      </c>
      <c r="E432" t="s">
        <v>30</v>
      </c>
      <c r="F432" t="s">
        <v>43</v>
      </c>
      <c r="G432">
        <f>VALUE(IF(AND(ISERR(FIND(".",'Raw Data'!G432)),LEN('Raw Data'!G432)=5), IF(YEAR('Raw Data'!G432)=2026,CONCATENATE(DAY('Raw Data'!G432),".",IF(LEN(MONTH('Raw Data'!G432))=2,MONTH('Raw Data'!G432),CONCATENATE("0",MONTH('Raw Data'!G432)))),CONCATENATE(MONTH('Raw Data'!G432),".",RIGHT(YEAR('Raw Data'!G432),2))),'Raw Data'!G432))</f>
        <v>69.08</v>
      </c>
      <c r="H432">
        <f>'Raw Data'!H432</f>
        <v>2</v>
      </c>
      <c r="I432" s="6">
        <f t="shared" si="18"/>
        <v>6.9080000000000155</v>
      </c>
      <c r="J432" s="6">
        <f>'Raw Data'!J432</f>
        <v>145.06800000000001</v>
      </c>
      <c r="K432" s="1">
        <f>VALUE(IFERROR(VALUE('Raw Data'!K432),CONCATENATE(MID('Raw Data'!K432,3,2),".","0",LEFT('Raw Data'!K432,1),".", RIGHT('Raw Data'!K432,4))))</f>
        <v>43496</v>
      </c>
      <c r="L432" s="2">
        <f>'Raw Data'!L432</f>
        <v>0.82500000000000007</v>
      </c>
      <c r="M432" t="s">
        <v>33</v>
      </c>
      <c r="N432">
        <f>VALUE(IF(AND(ISERR(FIND(".",'Raw Data'!N432)),LEN('Raw Data'!N432)=5), IF(YEAR('Raw Data'!N432)=2026,CONCATENATE(DAY('Raw Data'!N432),".",IF(LEN(MONTH('Raw Data'!N432))=2,MONTH('Raw Data'!N432),CONCATENATE("0",MONTH('Raw Data'!N432)))),CONCATENATE(MONTH('Raw Data'!N432),".",RIGHT(YEAR('Raw Data'!N432),2))),'Raw Data'!N432))</f>
        <v>138.16</v>
      </c>
      <c r="O432" s="6">
        <f t="shared" si="19"/>
        <v>4.7619047619047716</v>
      </c>
      <c r="P432" s="6">
        <f t="shared" si="20"/>
        <v>6.9080000000000155</v>
      </c>
      <c r="Q432">
        <f>VALUE(IF(AND(ISERR(FIND(".",'Raw Data'!Q432)),LEN('Raw Data'!Q432)=5), IF(YEAR('Raw Data'!Q432)=2026,CONCATENATE(DAY('Raw Data'!Q432),".",IF(LEN(MONTH('Raw Data'!Q432))=2,MONTH('Raw Data'!Q432),CONCATENATE(MONTH('Raw Data'!Q432)))),CONCATENATE(MONTH('Raw Data'!Q432),".",RIGHT(YEAR('Raw Data'!Q432),2))),'Raw Data'!Q432))</f>
        <v>6.9</v>
      </c>
    </row>
    <row r="433" spans="1:17">
      <c r="A433" t="s">
        <v>520</v>
      </c>
      <c r="B433" t="s">
        <v>25</v>
      </c>
      <c r="C433" t="s">
        <v>26</v>
      </c>
      <c r="D433" t="s">
        <v>27</v>
      </c>
      <c r="E433" t="s">
        <v>30</v>
      </c>
      <c r="F433" t="s">
        <v>40</v>
      </c>
      <c r="G433">
        <f>VALUE(IF(AND(ISERR(FIND(".",'Raw Data'!G433)),LEN('Raw Data'!G433)=5), IF(YEAR('Raw Data'!G433)=2026,CONCATENATE(DAY('Raw Data'!G433),".",IF(LEN(MONTH('Raw Data'!G433))=2,MONTH('Raw Data'!G433),CONCATENATE("0",MONTH('Raw Data'!G433)))),CONCATENATE(MONTH('Raw Data'!G433),".",RIGHT(YEAR('Raw Data'!G433),2))),'Raw Data'!G433))</f>
        <v>43.27</v>
      </c>
      <c r="H433">
        <f>'Raw Data'!H433</f>
        <v>2</v>
      </c>
      <c r="I433" s="6">
        <f t="shared" si="18"/>
        <v>4.3269999999999982</v>
      </c>
      <c r="J433" s="6">
        <f>'Raw Data'!J433</f>
        <v>90.867000000000004</v>
      </c>
      <c r="K433" s="1">
        <f>VALUE(IFERROR(VALUE('Raw Data'!K433),CONCATENATE(MID('Raw Data'!K433,3,2),".","0",LEFT('Raw Data'!K433,1),".", RIGHT('Raw Data'!K433,4))))</f>
        <v>43680</v>
      </c>
      <c r="L433" s="2">
        <f>'Raw Data'!L433</f>
        <v>0.70347222222222217</v>
      </c>
      <c r="M433" t="s">
        <v>23</v>
      </c>
      <c r="N433">
        <f>VALUE(IF(AND(ISERR(FIND(".",'Raw Data'!N433)),LEN('Raw Data'!N433)=5), IF(YEAR('Raw Data'!N433)=2026,CONCATENATE(DAY('Raw Data'!N433),".",IF(LEN(MONTH('Raw Data'!N433))=2,MONTH('Raw Data'!N433),CONCATENATE("0",MONTH('Raw Data'!N433)))),CONCATENATE(MONTH('Raw Data'!N433),".",RIGHT(YEAR('Raw Data'!N433),2))),'Raw Data'!N433))</f>
        <v>86.54</v>
      </c>
      <c r="O433" s="6">
        <f t="shared" si="19"/>
        <v>4.7619047619047592</v>
      </c>
      <c r="P433" s="6">
        <f t="shared" si="20"/>
        <v>4.3269999999999982</v>
      </c>
      <c r="Q433">
        <f>VALUE(IF(AND(ISERR(FIND(".",'Raw Data'!Q433)),LEN('Raw Data'!Q433)=5), IF(YEAR('Raw Data'!Q433)=2026,CONCATENATE(DAY('Raw Data'!Q433),".",IF(LEN(MONTH('Raw Data'!Q433))=2,MONTH('Raw Data'!Q433),CONCATENATE(MONTH('Raw Data'!Q433)))),CONCATENATE(MONTH('Raw Data'!Q433),".",RIGHT(YEAR('Raw Data'!Q433),2))),'Raw Data'!Q433))</f>
        <v>5.7</v>
      </c>
    </row>
    <row r="434" spans="1:17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f>VALUE(IF(AND(ISERR(FIND(".",'Raw Data'!G434)),LEN('Raw Data'!G434)=5), IF(YEAR('Raw Data'!G434)=2026,CONCATENATE(DAY('Raw Data'!G434),".",IF(LEN(MONTH('Raw Data'!G434))=2,MONTH('Raw Data'!G434),CONCATENATE("0",MONTH('Raw Data'!G434)))),CONCATENATE(MONTH('Raw Data'!G434),".",RIGHT(YEAR('Raw Data'!G434),2))),'Raw Data'!G434))</f>
        <v>23.46</v>
      </c>
      <c r="H434">
        <f>'Raw Data'!H434</f>
        <v>6</v>
      </c>
      <c r="I434" s="6">
        <f t="shared" si="18"/>
        <v>7.0380000000000109</v>
      </c>
      <c r="J434" s="6">
        <f>'Raw Data'!J434</f>
        <v>147.798</v>
      </c>
      <c r="K434" s="1">
        <f>VALUE(IFERROR(VALUE('Raw Data'!K434),CONCATENATE(MID('Raw Data'!K434,3,2),".","0",LEFT('Raw Data'!K434,1),".", RIGHT('Raw Data'!K434,4))))</f>
        <v>43478</v>
      </c>
      <c r="L434" s="2">
        <f>'Raw Data'!L434</f>
        <v>0.80138888888888893</v>
      </c>
      <c r="M434" t="s">
        <v>23</v>
      </c>
      <c r="N434">
        <f>VALUE(IF(AND(ISERR(FIND(".",'Raw Data'!N434)),LEN('Raw Data'!N434)=5), IF(YEAR('Raw Data'!N434)=2026,CONCATENATE(DAY('Raw Data'!N434),".",IF(LEN(MONTH('Raw Data'!N434))=2,MONTH('Raw Data'!N434),CONCATENATE("0",MONTH('Raw Data'!N434)))),CONCATENATE(MONTH('Raw Data'!N434),".",RIGHT(YEAR('Raw Data'!N434),2))),'Raw Data'!N434))</f>
        <v>140.76</v>
      </c>
      <c r="O434" s="6">
        <f t="shared" si="19"/>
        <v>4.761904761904769</v>
      </c>
      <c r="P434" s="6">
        <f t="shared" si="20"/>
        <v>7.0380000000000109</v>
      </c>
      <c r="Q434">
        <f>VALUE(IF(AND(ISERR(FIND(".",'Raw Data'!Q434)),LEN('Raw Data'!Q434)=5), IF(YEAR('Raw Data'!Q434)=2026,CONCATENATE(DAY('Raw Data'!Q434),".",IF(LEN(MONTH('Raw Data'!Q434))=2,MONTH('Raw Data'!Q434),CONCATENATE(MONTH('Raw Data'!Q434)))),CONCATENATE(MONTH('Raw Data'!Q434),".",RIGHT(YEAR('Raw Data'!Q434),2))),'Raw Data'!Q434))</f>
        <v>6.4</v>
      </c>
    </row>
    <row r="435" spans="1:17">
      <c r="A435" t="s">
        <v>522</v>
      </c>
      <c r="B435" t="s">
        <v>34</v>
      </c>
      <c r="C435" t="s">
        <v>35</v>
      </c>
      <c r="D435" t="s">
        <v>27</v>
      </c>
      <c r="E435" t="s">
        <v>30</v>
      </c>
      <c r="F435" t="s">
        <v>43</v>
      </c>
      <c r="G435">
        <f>VALUE(IF(AND(ISERR(FIND(".",'Raw Data'!G435)),LEN('Raw Data'!G435)=5), IF(YEAR('Raw Data'!G435)=2026,CONCATENATE(DAY('Raw Data'!G435),".",IF(LEN(MONTH('Raw Data'!G435))=2,MONTH('Raw Data'!G435),CONCATENATE("0",MONTH('Raw Data'!G435)))),CONCATENATE(MONTH('Raw Data'!G435),".",RIGHT(YEAR('Raw Data'!G435),2))),'Raw Data'!G435))</f>
        <v>95.54</v>
      </c>
      <c r="H435">
        <f>'Raw Data'!H435</f>
        <v>7</v>
      </c>
      <c r="I435" s="6">
        <f t="shared" si="18"/>
        <v>33.438999999999965</v>
      </c>
      <c r="J435" s="6">
        <f>'Raw Data'!J435</f>
        <v>702.21900000000005</v>
      </c>
      <c r="K435" s="1">
        <f>VALUE(IFERROR(VALUE('Raw Data'!K435),CONCATENATE(MID('Raw Data'!K435,3,2),".","0",LEFT('Raw Data'!K435,1),".", RIGHT('Raw Data'!K435,4))))</f>
        <v>43711</v>
      </c>
      <c r="L435" s="2">
        <f>'Raw Data'!L435</f>
        <v>0.60833333333333328</v>
      </c>
      <c r="M435" t="s">
        <v>33</v>
      </c>
      <c r="N435">
        <f>VALUE(IF(AND(ISERR(FIND(".",'Raw Data'!N435)),LEN('Raw Data'!N435)=5), IF(YEAR('Raw Data'!N435)=2026,CONCATENATE(DAY('Raw Data'!N435),".",IF(LEN(MONTH('Raw Data'!N435))=2,MONTH('Raw Data'!N435),CONCATENATE("0",MONTH('Raw Data'!N435)))),CONCATENATE(MONTH('Raw Data'!N435),".",RIGHT(YEAR('Raw Data'!N435),2))),'Raw Data'!N435))</f>
        <v>668.78</v>
      </c>
      <c r="O435" s="6">
        <f t="shared" si="19"/>
        <v>4.7619047619047725</v>
      </c>
      <c r="P435" s="6">
        <f t="shared" si="20"/>
        <v>33.439000000000078</v>
      </c>
      <c r="Q435">
        <f>VALUE(IF(AND(ISERR(FIND(".",'Raw Data'!Q435)),LEN('Raw Data'!Q435)=5), IF(YEAR('Raw Data'!Q435)=2026,CONCATENATE(DAY('Raw Data'!Q435),".",IF(LEN(MONTH('Raw Data'!Q435))=2,MONTH('Raw Data'!Q435),CONCATENATE(MONTH('Raw Data'!Q435)))),CONCATENATE(MONTH('Raw Data'!Q435),".",RIGHT(YEAR('Raw Data'!Q435),2))),'Raw Data'!Q435))</f>
        <v>9.6</v>
      </c>
    </row>
    <row r="436" spans="1:17">
      <c r="A436" t="s">
        <v>523</v>
      </c>
      <c r="B436" t="s">
        <v>34</v>
      </c>
      <c r="C436" t="s">
        <v>35</v>
      </c>
      <c r="D436" t="s">
        <v>27</v>
      </c>
      <c r="E436" t="s">
        <v>21</v>
      </c>
      <c r="F436" t="s">
        <v>43</v>
      </c>
      <c r="G436">
        <f>VALUE(IF(AND(ISERR(FIND(".",'Raw Data'!G436)),LEN('Raw Data'!G436)=5), IF(YEAR('Raw Data'!G436)=2026,CONCATENATE(DAY('Raw Data'!G436),".",IF(LEN(MONTH('Raw Data'!G436))=2,MONTH('Raw Data'!G436),CONCATENATE("0",MONTH('Raw Data'!G436)))),CONCATENATE(MONTH('Raw Data'!G436),".",RIGHT(YEAR('Raw Data'!G436),2))),'Raw Data'!G436))</f>
        <v>47.44</v>
      </c>
      <c r="H436">
        <f>'Raw Data'!H436</f>
        <v>1</v>
      </c>
      <c r="I436" s="6">
        <f t="shared" si="18"/>
        <v>2.3719999999999999</v>
      </c>
      <c r="J436" s="6">
        <f>'Raw Data'!J436</f>
        <v>49.811999999999998</v>
      </c>
      <c r="K436" s="1">
        <f>VALUE(IFERROR(VALUE('Raw Data'!K436),CONCATENATE(MID('Raw Data'!K436,3,2),".","0",LEFT('Raw Data'!K436,1),".", RIGHT('Raw Data'!K436,4))))</f>
        <v>43518</v>
      </c>
      <c r="L436" s="2">
        <f>'Raw Data'!L436</f>
        <v>0.7631944444444444</v>
      </c>
      <c r="M436" t="s">
        <v>33</v>
      </c>
      <c r="N436">
        <f>VALUE(IF(AND(ISERR(FIND(".",'Raw Data'!N436)),LEN('Raw Data'!N436)=5), IF(YEAR('Raw Data'!N436)=2026,CONCATENATE(DAY('Raw Data'!N436),".",IF(LEN(MONTH('Raw Data'!N436))=2,MONTH('Raw Data'!N436),CONCATENATE("0",MONTH('Raw Data'!N436)))),CONCATENATE(MONTH('Raw Data'!N436),".",RIGHT(YEAR('Raw Data'!N436),2))),'Raw Data'!N436))</f>
        <v>47.44</v>
      </c>
      <c r="O436" s="6">
        <f t="shared" si="19"/>
        <v>4.7619047619047619</v>
      </c>
      <c r="P436" s="6">
        <f t="shared" si="20"/>
        <v>2.3719999999999999</v>
      </c>
      <c r="Q436">
        <f>VALUE(IF(AND(ISERR(FIND(".",'Raw Data'!Q436)),LEN('Raw Data'!Q436)=5), IF(YEAR('Raw Data'!Q436)=2026,CONCATENATE(DAY('Raw Data'!Q436),".",IF(LEN(MONTH('Raw Data'!Q436))=2,MONTH('Raw Data'!Q436),CONCATENATE(MONTH('Raw Data'!Q436)))),CONCATENATE(MONTH('Raw Data'!Q436),".",RIGHT(YEAR('Raw Data'!Q436),2))),'Raw Data'!Q436))</f>
        <v>6.8</v>
      </c>
    </row>
    <row r="437" spans="1:17">
      <c r="A437" t="s">
        <v>524</v>
      </c>
      <c r="B437" t="s">
        <v>25</v>
      </c>
      <c r="C437" t="s">
        <v>26</v>
      </c>
      <c r="D437" t="s">
        <v>27</v>
      </c>
      <c r="E437" t="s">
        <v>30</v>
      </c>
      <c r="F437" t="s">
        <v>38</v>
      </c>
      <c r="G437">
        <f>VALUE(IF(AND(ISERR(FIND(".",'Raw Data'!G437)),LEN('Raw Data'!G437)=5), IF(YEAR('Raw Data'!G437)=2026,CONCATENATE(DAY('Raw Data'!G437),".",IF(LEN(MONTH('Raw Data'!G437))=2,MONTH('Raw Data'!G437),CONCATENATE("0",MONTH('Raw Data'!G437)))),CONCATENATE(MONTH('Raw Data'!G437),".",RIGHT(YEAR('Raw Data'!G437),2))),'Raw Data'!G437))</f>
        <v>99.24</v>
      </c>
      <c r="H437">
        <f>'Raw Data'!H437</f>
        <v>9</v>
      </c>
      <c r="I437" s="6">
        <f t="shared" si="18"/>
        <v>44.658000000000015</v>
      </c>
      <c r="J437" s="6">
        <f>'Raw Data'!J437</f>
        <v>937.81799999999998</v>
      </c>
      <c r="K437" s="1">
        <f>VALUE(IFERROR(VALUE('Raw Data'!K437),CONCATENATE(MID('Raw Data'!K437,3,2),".","0",LEFT('Raw Data'!K437,1),".", RIGHT('Raw Data'!K437,4))))</f>
        <v>43543</v>
      </c>
      <c r="L437" s="2">
        <f>'Raw Data'!L437</f>
        <v>0.79791666666666661</v>
      </c>
      <c r="M437" t="s">
        <v>23</v>
      </c>
      <c r="N437">
        <f>VALUE(IF(AND(ISERR(FIND(".",'Raw Data'!N437)),LEN('Raw Data'!N437)=5), IF(YEAR('Raw Data'!N437)=2026,CONCATENATE(DAY('Raw Data'!N437),".",IF(LEN(MONTH('Raw Data'!N437))=2,MONTH('Raw Data'!N437),CONCATENATE("0",MONTH('Raw Data'!N437)))),CONCATENATE(MONTH('Raw Data'!N437),".",RIGHT(YEAR('Raw Data'!N437),2))),'Raw Data'!N437))</f>
        <v>893.16</v>
      </c>
      <c r="O437" s="6">
        <f t="shared" si="19"/>
        <v>4.7619047619047636</v>
      </c>
      <c r="P437" s="6">
        <f t="shared" si="20"/>
        <v>44.658000000000015</v>
      </c>
      <c r="Q437">
        <f>VALUE(IF(AND(ISERR(FIND(".",'Raw Data'!Q437)),LEN('Raw Data'!Q437)=5), IF(YEAR('Raw Data'!Q437)=2026,CONCATENATE(DAY('Raw Data'!Q437),".",IF(LEN(MONTH('Raw Data'!Q437))=2,MONTH('Raw Data'!Q437),CONCATENATE(MONTH('Raw Data'!Q437)))),CONCATENATE(MONTH('Raw Data'!Q437),".",RIGHT(YEAR('Raw Data'!Q437),2))),'Raw Data'!Q437))</f>
        <v>9</v>
      </c>
    </row>
    <row r="438" spans="1:17">
      <c r="A438" t="s">
        <v>525</v>
      </c>
      <c r="B438" t="s">
        <v>25</v>
      </c>
      <c r="C438" t="s">
        <v>26</v>
      </c>
      <c r="D438" t="s">
        <v>20</v>
      </c>
      <c r="E438" t="s">
        <v>30</v>
      </c>
      <c r="F438" t="s">
        <v>38</v>
      </c>
      <c r="G438">
        <f>VALUE(IF(AND(ISERR(FIND(".",'Raw Data'!G438)),LEN('Raw Data'!G438)=5), IF(YEAR('Raw Data'!G438)=2026,CONCATENATE(DAY('Raw Data'!G438),".",IF(LEN(MONTH('Raw Data'!G438))=2,MONTH('Raw Data'!G438),CONCATENATE("0",MONTH('Raw Data'!G438)))),CONCATENATE(MONTH('Raw Data'!G438),".",RIGHT(YEAR('Raw Data'!G438),2))),'Raw Data'!G438))</f>
        <v>82.93</v>
      </c>
      <c r="H438">
        <f>'Raw Data'!H438</f>
        <v>4</v>
      </c>
      <c r="I438" s="6">
        <f t="shared" si="18"/>
        <v>16.585999999999956</v>
      </c>
      <c r="J438" s="6">
        <f>'Raw Data'!J438</f>
        <v>348.30599999999998</v>
      </c>
      <c r="K438" s="1">
        <f>VALUE(IFERROR(VALUE('Raw Data'!K438),CONCATENATE(MID('Raw Data'!K438,3,2),".","0",LEFT('Raw Data'!K438,1),".", RIGHT('Raw Data'!K438,4))))</f>
        <v>43485</v>
      </c>
      <c r="L438" s="2">
        <f>'Raw Data'!L438</f>
        <v>0.70208333333333339</v>
      </c>
      <c r="M438" t="s">
        <v>23</v>
      </c>
      <c r="N438">
        <f>VALUE(IF(AND(ISERR(FIND(".",'Raw Data'!N438)),LEN('Raw Data'!N438)=5), IF(YEAR('Raw Data'!N438)=2026,CONCATENATE(DAY('Raw Data'!N438),".",IF(LEN(MONTH('Raw Data'!N438))=2,MONTH('Raw Data'!N438),CONCATENATE("0",MONTH('Raw Data'!N438)))),CONCATENATE(MONTH('Raw Data'!N438),".",RIGHT(YEAR('Raw Data'!N438),2))),'Raw Data'!N438))</f>
        <v>331.72</v>
      </c>
      <c r="O438" s="6">
        <f t="shared" si="19"/>
        <v>4.7619047619047494</v>
      </c>
      <c r="P438" s="6">
        <f t="shared" si="20"/>
        <v>16.585999999999956</v>
      </c>
      <c r="Q438">
        <f>VALUE(IF(AND(ISERR(FIND(".",'Raw Data'!Q438)),LEN('Raw Data'!Q438)=5), IF(YEAR('Raw Data'!Q438)=2026,CONCATENATE(DAY('Raw Data'!Q438),".",IF(LEN(MONTH('Raw Data'!Q438))=2,MONTH('Raw Data'!Q438),CONCATENATE(MONTH('Raw Data'!Q438)))),CONCATENATE(MONTH('Raw Data'!Q438),".",RIGHT(YEAR('Raw Data'!Q438),2))),'Raw Data'!Q438))</f>
        <v>9.6</v>
      </c>
    </row>
    <row r="439" spans="1:17">
      <c r="A439" t="s">
        <v>526</v>
      </c>
      <c r="B439" t="s">
        <v>18</v>
      </c>
      <c r="C439" t="s">
        <v>19</v>
      </c>
      <c r="D439" t="s">
        <v>27</v>
      </c>
      <c r="E439" t="s">
        <v>30</v>
      </c>
      <c r="F439" t="s">
        <v>32</v>
      </c>
      <c r="G439">
        <f>VALUE(IF(AND(ISERR(FIND(".",'Raw Data'!G439)),LEN('Raw Data'!G439)=5), IF(YEAR('Raw Data'!G439)=2026,CONCATENATE(DAY('Raw Data'!G439),".",IF(LEN(MONTH('Raw Data'!G439))=2,MONTH('Raw Data'!G439),CONCATENATE("0",MONTH('Raw Data'!G439)))),CONCATENATE(MONTH('Raw Data'!G439),".",RIGHT(YEAR('Raw Data'!G439),2))),'Raw Data'!G439))</f>
        <v>33.99</v>
      </c>
      <c r="H439">
        <f>'Raw Data'!H439</f>
        <v>6</v>
      </c>
      <c r="I439" s="6">
        <f t="shared" si="18"/>
        <v>10.197000000000003</v>
      </c>
      <c r="J439" s="6">
        <f>'Raw Data'!J439</f>
        <v>214.137</v>
      </c>
      <c r="K439" s="1">
        <f>VALUE(IFERROR(VALUE('Raw Data'!K439),CONCATENATE(MID('Raw Data'!K439,3,2),".","0",LEFT('Raw Data'!K439,1),".", RIGHT('Raw Data'!K439,4))))</f>
        <v>43680</v>
      </c>
      <c r="L439" s="2">
        <f>'Raw Data'!L439</f>
        <v>0.65069444444444446</v>
      </c>
      <c r="M439" t="s">
        <v>33</v>
      </c>
      <c r="N439">
        <f>VALUE(IF(AND(ISERR(FIND(".",'Raw Data'!N439)),LEN('Raw Data'!N439)=5), IF(YEAR('Raw Data'!N439)=2026,CONCATENATE(DAY('Raw Data'!N439),".",IF(LEN(MONTH('Raw Data'!N439))=2,MONTH('Raw Data'!N439),CONCATENATE("0",MONTH('Raw Data'!N439)))),CONCATENATE(MONTH('Raw Data'!N439),".",RIGHT(YEAR('Raw Data'!N439),2))),'Raw Data'!N439))</f>
        <v>203.94</v>
      </c>
      <c r="O439" s="6">
        <f t="shared" si="19"/>
        <v>4.7619047619047628</v>
      </c>
      <c r="P439" s="6">
        <f t="shared" si="20"/>
        <v>10.197000000000003</v>
      </c>
      <c r="Q439">
        <f>VALUE(IF(AND(ISERR(FIND(".",'Raw Data'!Q439)),LEN('Raw Data'!Q439)=5), IF(YEAR('Raw Data'!Q439)=2026,CONCATENATE(DAY('Raw Data'!Q439),".",IF(LEN(MONTH('Raw Data'!Q439))=2,MONTH('Raw Data'!Q439),CONCATENATE(MONTH('Raw Data'!Q439)))),CONCATENATE(MONTH('Raw Data'!Q439),".",RIGHT(YEAR('Raw Data'!Q439),2))),'Raw Data'!Q439))</f>
        <v>7.7</v>
      </c>
    </row>
    <row r="440" spans="1:17">
      <c r="A440" t="s">
        <v>527</v>
      </c>
      <c r="B440" t="s">
        <v>25</v>
      </c>
      <c r="C440" t="s">
        <v>26</v>
      </c>
      <c r="D440" t="s">
        <v>20</v>
      </c>
      <c r="E440" t="s">
        <v>30</v>
      </c>
      <c r="F440" t="s">
        <v>40</v>
      </c>
      <c r="G440">
        <f>VALUE(IF(AND(ISERR(FIND(".",'Raw Data'!G440)),LEN('Raw Data'!G440)=5), IF(YEAR('Raw Data'!G440)=2026,CONCATENATE(DAY('Raw Data'!G440),".",IF(LEN(MONTH('Raw Data'!G440))=2,MONTH('Raw Data'!G440),CONCATENATE("0",MONTH('Raw Data'!G440)))),CONCATENATE(MONTH('Raw Data'!G440),".",RIGHT(YEAR('Raw Data'!G440),2))),'Raw Data'!G440))</f>
        <v>17.04</v>
      </c>
      <c r="H440">
        <f>'Raw Data'!H440</f>
        <v>4</v>
      </c>
      <c r="I440" s="6">
        <f t="shared" si="18"/>
        <v>3.4080000000000013</v>
      </c>
      <c r="J440" s="6">
        <f>'Raw Data'!J440</f>
        <v>71.567999999999998</v>
      </c>
      <c r="K440" s="1">
        <f>VALUE(IFERROR(VALUE('Raw Data'!K440),CONCATENATE(MID('Raw Data'!K440,3,2),".","0",LEFT('Raw Data'!K440,1),".", RIGHT('Raw Data'!K440,4))))</f>
        <v>43680</v>
      </c>
      <c r="L440" s="2">
        <f>'Raw Data'!L440</f>
        <v>0.84375</v>
      </c>
      <c r="M440" t="s">
        <v>23</v>
      </c>
      <c r="N440">
        <f>VALUE(IF(AND(ISERR(FIND(".",'Raw Data'!N440)),LEN('Raw Data'!N440)=5), IF(YEAR('Raw Data'!N440)=2026,CONCATENATE(DAY('Raw Data'!N440),".",IF(LEN(MONTH('Raw Data'!N440))=2,MONTH('Raw Data'!N440),CONCATENATE("0",MONTH('Raw Data'!N440)))),CONCATENATE(MONTH('Raw Data'!N440),".",RIGHT(YEAR('Raw Data'!N440),2))),'Raw Data'!N440))</f>
        <v>68.16</v>
      </c>
      <c r="O440" s="6">
        <f t="shared" si="19"/>
        <v>4.7619047619047636</v>
      </c>
      <c r="P440" s="6">
        <f t="shared" si="20"/>
        <v>3.4080000000000013</v>
      </c>
      <c r="Q440">
        <f>VALUE(IF(AND(ISERR(FIND(".",'Raw Data'!Q440)),LEN('Raw Data'!Q440)=5), IF(YEAR('Raw Data'!Q440)=2026,CONCATENATE(DAY('Raw Data'!Q440),".",IF(LEN(MONTH('Raw Data'!Q440))=2,MONTH('Raw Data'!Q440),CONCATENATE(MONTH('Raw Data'!Q440)))),CONCATENATE(MONTH('Raw Data'!Q440),".",RIGHT(YEAR('Raw Data'!Q440),2))),'Raw Data'!Q440))</f>
        <v>7</v>
      </c>
    </row>
    <row r="441" spans="1:17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f>VALUE(IF(AND(ISERR(FIND(".",'Raw Data'!G441)),LEN('Raw Data'!G441)=5), IF(YEAR('Raw Data'!G441)=2026,CONCATENATE(DAY('Raw Data'!G441),".",IF(LEN(MONTH('Raw Data'!G441))=2,MONTH('Raw Data'!G441),CONCATENATE("0",MONTH('Raw Data'!G441)))),CONCATENATE(MONTH('Raw Data'!G441),".",RIGHT(YEAR('Raw Data'!G441),2))),'Raw Data'!G441))</f>
        <v>40.86</v>
      </c>
      <c r="H441">
        <f>'Raw Data'!H441</f>
        <v>8</v>
      </c>
      <c r="I441" s="6">
        <f t="shared" si="18"/>
        <v>16.343999999999994</v>
      </c>
      <c r="J441" s="6">
        <f>'Raw Data'!J441</f>
        <v>343.22399999999999</v>
      </c>
      <c r="K441" s="1">
        <f>VALUE(IFERROR(VALUE('Raw Data'!K441),CONCATENATE(MID('Raw Data'!K441,3,2),".","0",LEFT('Raw Data'!K441,1),".", RIGHT('Raw Data'!K441,4))))</f>
        <v>43648</v>
      </c>
      <c r="L441" s="2">
        <f>'Raw Data'!L441</f>
        <v>0.60972222222222217</v>
      </c>
      <c r="M441" t="s">
        <v>33</v>
      </c>
      <c r="N441">
        <f>VALUE(IF(AND(ISERR(FIND(".",'Raw Data'!N441)),LEN('Raw Data'!N441)=5), IF(YEAR('Raw Data'!N441)=2026,CONCATENATE(DAY('Raw Data'!N441),".",IF(LEN(MONTH('Raw Data'!N441))=2,MONTH('Raw Data'!N441),CONCATENATE("0",MONTH('Raw Data'!N441)))),CONCATENATE(MONTH('Raw Data'!N441),".",RIGHT(YEAR('Raw Data'!N441),2))),'Raw Data'!N441))</f>
        <v>326.88</v>
      </c>
      <c r="O441" s="6">
        <f t="shared" si="19"/>
        <v>4.7619047619047601</v>
      </c>
      <c r="P441" s="6">
        <f t="shared" si="20"/>
        <v>16.343999999999994</v>
      </c>
      <c r="Q441">
        <f>VALUE(IF(AND(ISERR(FIND(".",'Raw Data'!Q441)),LEN('Raw Data'!Q441)=5), IF(YEAR('Raw Data'!Q441)=2026,CONCATENATE(DAY('Raw Data'!Q441),".",IF(LEN(MONTH('Raw Data'!Q441))=2,MONTH('Raw Data'!Q441),CONCATENATE(MONTH('Raw Data'!Q441)))),CONCATENATE(MONTH('Raw Data'!Q441),".",RIGHT(YEAR('Raw Data'!Q441),2))),'Raw Data'!Q441))</f>
        <v>6.5</v>
      </c>
    </row>
    <row r="442" spans="1:17">
      <c r="A442" t="s">
        <v>529</v>
      </c>
      <c r="B442" t="s">
        <v>25</v>
      </c>
      <c r="C442" t="s">
        <v>26</v>
      </c>
      <c r="D442" t="s">
        <v>20</v>
      </c>
      <c r="E442" t="s">
        <v>30</v>
      </c>
      <c r="F442" t="s">
        <v>40</v>
      </c>
      <c r="G442">
        <f>VALUE(IF(AND(ISERR(FIND(".",'Raw Data'!G442)),LEN('Raw Data'!G442)=5), IF(YEAR('Raw Data'!G442)=2026,CONCATENATE(DAY('Raw Data'!G442),".",IF(LEN(MONTH('Raw Data'!G442))=2,MONTH('Raw Data'!G442),CONCATENATE("0",MONTH('Raw Data'!G442)))),CONCATENATE(MONTH('Raw Data'!G442),".",RIGHT(YEAR('Raw Data'!G442),2))),'Raw Data'!G442))</f>
        <v>17.440000000000001</v>
      </c>
      <c r="H442">
        <f>'Raw Data'!H442</f>
        <v>5</v>
      </c>
      <c r="I442" s="6">
        <f t="shared" si="18"/>
        <v>4.3599999999999994</v>
      </c>
      <c r="J442" s="6">
        <f>'Raw Data'!J442</f>
        <v>91.56</v>
      </c>
      <c r="K442" s="1">
        <f>VALUE(IFERROR(VALUE('Raw Data'!K442),CONCATENATE(MID('Raw Data'!K442,3,2),".","0",LEFT('Raw Data'!K442,1),".", RIGHT('Raw Data'!K442,4))))</f>
        <v>43480</v>
      </c>
      <c r="L442" s="2">
        <f>'Raw Data'!L442</f>
        <v>0.80902777777777779</v>
      </c>
      <c r="M442" t="s">
        <v>29</v>
      </c>
      <c r="N442">
        <f>VALUE(IF(AND(ISERR(FIND(".",'Raw Data'!N442)),LEN('Raw Data'!N442)=5), IF(YEAR('Raw Data'!N442)=2026,CONCATENATE(DAY('Raw Data'!N442),".",IF(LEN(MONTH('Raw Data'!N442))=2,MONTH('Raw Data'!N442),CONCATENATE("0",MONTH('Raw Data'!N442)))),CONCATENATE(MONTH('Raw Data'!N442),".",RIGHT(YEAR('Raw Data'!N442),2))),'Raw Data'!N442))</f>
        <v>87.2</v>
      </c>
      <c r="O442" s="6">
        <f t="shared" si="19"/>
        <v>4.761904761904761</v>
      </c>
      <c r="P442" s="6">
        <f t="shared" si="20"/>
        <v>4.3599999999999994</v>
      </c>
      <c r="Q442">
        <f>VALUE(IF(AND(ISERR(FIND(".",'Raw Data'!Q442)),LEN('Raw Data'!Q442)=5), IF(YEAR('Raw Data'!Q442)=2026,CONCATENATE(DAY('Raw Data'!Q442),".",IF(LEN(MONTH('Raw Data'!Q442))=2,MONTH('Raw Data'!Q442),CONCATENATE(MONTH('Raw Data'!Q442)))),CONCATENATE(MONTH('Raw Data'!Q442),".",RIGHT(YEAR('Raw Data'!Q442),2))),'Raw Data'!Q442))</f>
        <v>8.1</v>
      </c>
    </row>
    <row r="443" spans="1:17">
      <c r="A443" t="s">
        <v>530</v>
      </c>
      <c r="B443" t="s">
        <v>34</v>
      </c>
      <c r="C443" t="s">
        <v>35</v>
      </c>
      <c r="D443" t="s">
        <v>20</v>
      </c>
      <c r="E443" t="s">
        <v>21</v>
      </c>
      <c r="F443" t="s">
        <v>38</v>
      </c>
      <c r="G443">
        <f>VALUE(IF(AND(ISERR(FIND(".",'Raw Data'!G443)),LEN('Raw Data'!G443)=5), IF(YEAR('Raw Data'!G443)=2026,CONCATENATE(DAY('Raw Data'!G443),".",IF(LEN(MONTH('Raw Data'!G443))=2,MONTH('Raw Data'!G443),CONCATENATE("0",MONTH('Raw Data'!G443)))),CONCATENATE(MONTH('Raw Data'!G443),".",RIGHT(YEAR('Raw Data'!G443),2))),'Raw Data'!G443))</f>
        <v>88.43</v>
      </c>
      <c r="H443">
        <f>'Raw Data'!H443</f>
        <v>8</v>
      </c>
      <c r="I443" s="6">
        <f t="shared" si="18"/>
        <v>35.371999999999957</v>
      </c>
      <c r="J443" s="6">
        <f>'Raw Data'!J443</f>
        <v>742.81200000000001</v>
      </c>
      <c r="K443" s="1">
        <f>VALUE(IFERROR(VALUE('Raw Data'!K443),CONCATENATE(MID('Raw Data'!K443,3,2),".","0",LEFT('Raw Data'!K443,1),".", RIGHT('Raw Data'!K443,4))))</f>
        <v>43546</v>
      </c>
      <c r="L443" s="2">
        <f>'Raw Data'!L443</f>
        <v>0.81597222222222221</v>
      </c>
      <c r="M443" t="s">
        <v>33</v>
      </c>
      <c r="N443">
        <f>VALUE(IF(AND(ISERR(FIND(".",'Raw Data'!N443)),LEN('Raw Data'!N443)=5), IF(YEAR('Raw Data'!N443)=2026,CONCATENATE(DAY('Raw Data'!N443),".",IF(LEN(MONTH('Raw Data'!N443))=2,MONTH('Raw Data'!N443),CONCATENATE("0",MONTH('Raw Data'!N443)))),CONCATENATE(MONTH('Raw Data'!N443),".",RIGHT(YEAR('Raw Data'!N443),2))),'Raw Data'!N443))</f>
        <v>707.44</v>
      </c>
      <c r="O443" s="6">
        <f t="shared" si="19"/>
        <v>4.7619047619047556</v>
      </c>
      <c r="P443" s="6">
        <f t="shared" si="20"/>
        <v>35.371999999999957</v>
      </c>
      <c r="Q443">
        <f>VALUE(IF(AND(ISERR(FIND(".",'Raw Data'!Q443)),LEN('Raw Data'!Q443)=5), IF(YEAR('Raw Data'!Q443)=2026,CONCATENATE(DAY('Raw Data'!Q443),".",IF(LEN(MONTH('Raw Data'!Q443))=2,MONTH('Raw Data'!Q443),CONCATENATE(MONTH('Raw Data'!Q443)))),CONCATENATE(MONTH('Raw Data'!Q443),".",RIGHT(YEAR('Raw Data'!Q443),2))),'Raw Data'!Q443))</f>
        <v>4.3</v>
      </c>
    </row>
    <row r="444" spans="1:17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f>VALUE(IF(AND(ISERR(FIND(".",'Raw Data'!G444)),LEN('Raw Data'!G444)=5), IF(YEAR('Raw Data'!G444)=2026,CONCATENATE(DAY('Raw Data'!G444),".",IF(LEN(MONTH('Raw Data'!G444))=2,MONTH('Raw Data'!G444),CONCATENATE("0",MONTH('Raw Data'!G444)))),CONCATENATE(MONTH('Raw Data'!G444),".",RIGHT(YEAR('Raw Data'!G444),2))),'Raw Data'!G444))</f>
        <v>89.21</v>
      </c>
      <c r="H444">
        <f>'Raw Data'!H444</f>
        <v>9</v>
      </c>
      <c r="I444" s="6">
        <f t="shared" si="18"/>
        <v>40.144499999999994</v>
      </c>
      <c r="J444" s="6">
        <f>'Raw Data'!J444</f>
        <v>843.03449999999998</v>
      </c>
      <c r="K444" s="1">
        <f>VALUE(IFERROR(VALUE('Raw Data'!K444),CONCATENATE(MID('Raw Data'!K444,3,2),".","0",LEFT('Raw Data'!K444,1),".", RIGHT('Raw Data'!K444,4))))</f>
        <v>43480</v>
      </c>
      <c r="L444" s="2">
        <f>'Raw Data'!L444</f>
        <v>0.65416666666666667</v>
      </c>
      <c r="M444" t="s">
        <v>33</v>
      </c>
      <c r="N444">
        <f>VALUE(IF(AND(ISERR(FIND(".",'Raw Data'!N444)),LEN('Raw Data'!N444)=5), IF(YEAR('Raw Data'!N444)=2026,CONCATENATE(DAY('Raw Data'!N444),".",IF(LEN(MONTH('Raw Data'!N444))=2,MONTH('Raw Data'!N444),CONCATENATE("0",MONTH('Raw Data'!N444)))),CONCATENATE(MONTH('Raw Data'!N444),".",RIGHT(YEAR('Raw Data'!N444),2))),'Raw Data'!N444))</f>
        <v>802.89</v>
      </c>
      <c r="O444" s="6">
        <f t="shared" si="19"/>
        <v>4.761904761904761</v>
      </c>
      <c r="P444" s="6">
        <f t="shared" si="20"/>
        <v>40.144499999999994</v>
      </c>
      <c r="Q444">
        <f>VALUE(IF(AND(ISERR(FIND(".",'Raw Data'!Q444)),LEN('Raw Data'!Q444)=5), IF(YEAR('Raw Data'!Q444)=2026,CONCATENATE(DAY('Raw Data'!Q444),".",IF(LEN(MONTH('Raw Data'!Q444))=2,MONTH('Raw Data'!Q444),CONCATENATE(MONTH('Raw Data'!Q444)))),CONCATENATE(MONTH('Raw Data'!Q444),".",RIGHT(YEAR('Raw Data'!Q444),2))),'Raw Data'!Q444))</f>
        <v>6.5</v>
      </c>
    </row>
    <row r="445" spans="1:17">
      <c r="A445" t="s">
        <v>532</v>
      </c>
      <c r="B445" t="s">
        <v>25</v>
      </c>
      <c r="C445" t="s">
        <v>26</v>
      </c>
      <c r="D445" t="s">
        <v>27</v>
      </c>
      <c r="E445" t="s">
        <v>30</v>
      </c>
      <c r="F445" t="s">
        <v>43</v>
      </c>
      <c r="G445">
        <f>VALUE(IF(AND(ISERR(FIND(".",'Raw Data'!G445)),LEN('Raw Data'!G445)=5), IF(YEAR('Raw Data'!G445)=2026,CONCATENATE(DAY('Raw Data'!G445),".",IF(LEN(MONTH('Raw Data'!G445))=2,MONTH('Raw Data'!G445),CONCATENATE("0",MONTH('Raw Data'!G445)))),CONCATENATE(MONTH('Raw Data'!G445),".",RIGHT(YEAR('Raw Data'!G445),2))),'Raw Data'!G445))</f>
        <v>12.78</v>
      </c>
      <c r="H445">
        <f>'Raw Data'!H445</f>
        <v>1</v>
      </c>
      <c r="I445" s="6">
        <f t="shared" si="18"/>
        <v>0.63900000000000112</v>
      </c>
      <c r="J445" s="6">
        <f>'Raw Data'!J445</f>
        <v>13.419</v>
      </c>
      <c r="K445" s="1">
        <f>VALUE(IFERROR(VALUE('Raw Data'!K445),CONCATENATE(MID('Raw Data'!K445,3,2),".","0",LEFT('Raw Data'!K445,1),".", RIGHT('Raw Data'!K445,4))))</f>
        <v>43678</v>
      </c>
      <c r="L445" s="2">
        <f>'Raw Data'!L445</f>
        <v>0.59097222222222223</v>
      </c>
      <c r="M445" t="s">
        <v>23</v>
      </c>
      <c r="N445">
        <f>VALUE(IF(AND(ISERR(FIND(".",'Raw Data'!N445)),LEN('Raw Data'!N445)=5), IF(YEAR('Raw Data'!N445)=2026,CONCATENATE(DAY('Raw Data'!N445),".",IF(LEN(MONTH('Raw Data'!N445))=2,MONTH('Raw Data'!N445),CONCATENATE("0",MONTH('Raw Data'!N445)))),CONCATENATE(MONTH('Raw Data'!N445),".",RIGHT(YEAR('Raw Data'!N445),2))),'Raw Data'!N445))</f>
        <v>12.78</v>
      </c>
      <c r="O445" s="6">
        <f t="shared" si="19"/>
        <v>4.7619047619047699</v>
      </c>
      <c r="P445" s="6">
        <f t="shared" si="20"/>
        <v>0.63900000000000112</v>
      </c>
      <c r="Q445">
        <f>VALUE(IF(AND(ISERR(FIND(".",'Raw Data'!Q445)),LEN('Raw Data'!Q445)=5), IF(YEAR('Raw Data'!Q445)=2026,CONCATENATE(DAY('Raw Data'!Q445),".",IF(LEN(MONTH('Raw Data'!Q445))=2,MONTH('Raw Data'!Q445),CONCATENATE(MONTH('Raw Data'!Q445)))),CONCATENATE(MONTH('Raw Data'!Q445),".",RIGHT(YEAR('Raw Data'!Q445),2))),'Raw Data'!Q445))</f>
        <v>9.5</v>
      </c>
    </row>
    <row r="446" spans="1:17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38</v>
      </c>
      <c r="G446">
        <f>VALUE(IF(AND(ISERR(FIND(".",'Raw Data'!G446)),LEN('Raw Data'!G446)=5), IF(YEAR('Raw Data'!G446)=2026,CONCATENATE(DAY('Raw Data'!G446),".",IF(LEN(MONTH('Raw Data'!G446))=2,MONTH('Raw Data'!G446),CONCATENATE("0",MONTH('Raw Data'!G446)))),CONCATENATE(MONTH('Raw Data'!G446),".",RIGHT(YEAR('Raw Data'!G446),2))),'Raw Data'!G446))</f>
        <v>19.010000000000002</v>
      </c>
      <c r="H446">
        <f>'Raw Data'!H446</f>
        <v>7</v>
      </c>
      <c r="I446" s="6">
        <f t="shared" si="18"/>
        <v>7.3149999999999693</v>
      </c>
      <c r="J446" s="6">
        <f>'Raw Data'!J446</f>
        <v>140.38499999999999</v>
      </c>
      <c r="K446" s="1">
        <f>VALUE(IFERROR(VALUE('Raw Data'!K446),CONCATENATE(MID('Raw Data'!K446,3,2),".","0",LEFT('Raw Data'!K446,1),".", RIGHT('Raw Data'!K446,4))))</f>
        <v>43480</v>
      </c>
      <c r="L446" s="2">
        <f>'Raw Data'!L446</f>
        <v>0.4465277777777778</v>
      </c>
      <c r="M446" t="s">
        <v>29</v>
      </c>
      <c r="N446">
        <f>VALUE(IF(AND(ISERR(FIND(".",'Raw Data'!N446)),LEN('Raw Data'!N446)=5), IF(YEAR('Raw Data'!N446)=2026,CONCATENATE(DAY('Raw Data'!N446),".",IF(LEN(MONTH('Raw Data'!N446))=2,MONTH('Raw Data'!N446),CONCATENATE("0",MONTH('Raw Data'!N446)))),CONCATENATE(MONTH('Raw Data'!N446),".",RIGHT(YEAR('Raw Data'!N446),2))),'Raw Data'!N446))</f>
        <v>133.69999999999999</v>
      </c>
      <c r="O446" s="6">
        <f t="shared" si="19"/>
        <v>4.7619047619047636</v>
      </c>
      <c r="P446" s="6">
        <f t="shared" si="20"/>
        <v>6.6850000000000023</v>
      </c>
      <c r="Q446">
        <f>VALUE(IF(AND(ISERR(FIND(".",'Raw Data'!Q446)),LEN('Raw Data'!Q446)=5), IF(YEAR('Raw Data'!Q446)=2026,CONCATENATE(DAY('Raw Data'!Q446),".",IF(LEN(MONTH('Raw Data'!Q446))=2,MONTH('Raw Data'!Q446),CONCATENATE(MONTH('Raw Data'!Q446)))),CONCATENATE(MONTH('Raw Data'!Q446),".",RIGHT(YEAR('Raw Data'!Q446),2))),'Raw Data'!Q446))</f>
        <v>9.6999999999999993</v>
      </c>
    </row>
    <row r="447" spans="1:17">
      <c r="A447" t="s">
        <v>534</v>
      </c>
      <c r="B447" t="s">
        <v>34</v>
      </c>
      <c r="C447" t="s">
        <v>35</v>
      </c>
      <c r="D447" t="s">
        <v>20</v>
      </c>
      <c r="E447" t="s">
        <v>21</v>
      </c>
      <c r="F447" t="s">
        <v>22</v>
      </c>
      <c r="G447">
        <f>VALUE(IF(AND(ISERR(FIND(".",'Raw Data'!G447)),LEN('Raw Data'!G447)=5), IF(YEAR('Raw Data'!G447)=2026,CONCATENATE(DAY('Raw Data'!G447),".",IF(LEN(MONTH('Raw Data'!G447))=2,MONTH('Raw Data'!G447),CONCATENATE("0",MONTH('Raw Data'!G447)))),CONCATENATE(MONTH('Raw Data'!G447),".",RIGHT(YEAR('Raw Data'!G447),2))),'Raw Data'!G447))</f>
        <v>19.149999999999999</v>
      </c>
      <c r="H447">
        <f>'Raw Data'!H447</f>
        <v>1</v>
      </c>
      <c r="I447" s="6">
        <f t="shared" si="18"/>
        <v>0.95750000000000313</v>
      </c>
      <c r="J447" s="6">
        <f>'Raw Data'!J447</f>
        <v>20.107500000000002</v>
      </c>
      <c r="K447" s="1">
        <f>VALUE(IFERROR(VALUE('Raw Data'!K447),CONCATENATE(MID('Raw Data'!K447,3,2),".","0",LEFT('Raw Data'!K447,1),".", RIGHT('Raw Data'!K447,4))))</f>
        <v>43493</v>
      </c>
      <c r="L447" s="2">
        <f>'Raw Data'!L447</f>
        <v>0.74861111111111101</v>
      </c>
      <c r="M447" t="s">
        <v>33</v>
      </c>
      <c r="N447">
        <f>VALUE(IF(AND(ISERR(FIND(".",'Raw Data'!N447)),LEN('Raw Data'!N447)=5), IF(YEAR('Raw Data'!N447)=2026,CONCATENATE(DAY('Raw Data'!N447),".",IF(LEN(MONTH('Raw Data'!N447))=2,MONTH('Raw Data'!N447),CONCATENATE("0",MONTH('Raw Data'!N447)))),CONCATENATE(MONTH('Raw Data'!N447),".",RIGHT(YEAR('Raw Data'!N447),2))),'Raw Data'!N447))</f>
        <v>19.149999999999999</v>
      </c>
      <c r="O447" s="6">
        <f t="shared" si="19"/>
        <v>4.761904761904777</v>
      </c>
      <c r="P447" s="6">
        <f t="shared" si="20"/>
        <v>0.95750000000000313</v>
      </c>
      <c r="Q447">
        <f>VALUE(IF(AND(ISERR(FIND(".",'Raw Data'!Q447)),LEN('Raw Data'!Q447)=5), IF(YEAR('Raw Data'!Q447)=2026,CONCATENATE(DAY('Raw Data'!Q447),".",IF(LEN(MONTH('Raw Data'!Q447))=2,MONTH('Raw Data'!Q447),CONCATENATE(MONTH('Raw Data'!Q447)))),CONCATENATE(MONTH('Raw Data'!Q447),".",RIGHT(YEAR('Raw Data'!Q447),2))),'Raw Data'!Q447))</f>
        <v>9.5</v>
      </c>
    </row>
    <row r="448" spans="1:17">
      <c r="A448" t="s">
        <v>535</v>
      </c>
      <c r="B448" t="s">
        <v>25</v>
      </c>
      <c r="C448" t="s">
        <v>26</v>
      </c>
      <c r="D448" t="s">
        <v>20</v>
      </c>
      <c r="E448" t="s">
        <v>30</v>
      </c>
      <c r="F448" t="s">
        <v>40</v>
      </c>
      <c r="G448">
        <f>VALUE(IF(AND(ISERR(FIND(".",'Raw Data'!G448)),LEN('Raw Data'!G448)=5), IF(YEAR('Raw Data'!G448)=2026,CONCATENATE(DAY('Raw Data'!G448),".",IF(LEN(MONTH('Raw Data'!G448))=2,MONTH('Raw Data'!G448),CONCATENATE("0",MONTH('Raw Data'!G448)))),CONCATENATE(MONTH('Raw Data'!G448),".",RIGHT(YEAR('Raw Data'!G448),2))),'Raw Data'!G448))</f>
        <v>27.66</v>
      </c>
      <c r="H448">
        <f>'Raw Data'!H448</f>
        <v>10</v>
      </c>
      <c r="I448" s="6">
        <f t="shared" si="18"/>
        <v>13.829999999999984</v>
      </c>
      <c r="J448" s="6">
        <f>'Raw Data'!J448</f>
        <v>290.43</v>
      </c>
      <c r="K448" s="1">
        <f>VALUE(IFERROR(VALUE('Raw Data'!K448),CONCATENATE(MID('Raw Data'!K448,3,2),".","0",LEFT('Raw Data'!K448,1),".", RIGHT('Raw Data'!K448,4))))</f>
        <v>43510</v>
      </c>
      <c r="L448" s="2">
        <f>'Raw Data'!L448</f>
        <v>0.47638888888888892</v>
      </c>
      <c r="M448" t="s">
        <v>33</v>
      </c>
      <c r="N448">
        <f>VALUE(IF(AND(ISERR(FIND(".",'Raw Data'!N448)),LEN('Raw Data'!N448)=5), IF(YEAR('Raw Data'!N448)=2026,CONCATENATE(DAY('Raw Data'!N448),".",IF(LEN(MONTH('Raw Data'!N448))=2,MONTH('Raw Data'!N448),CONCATENATE("0",MONTH('Raw Data'!N448)))),CONCATENATE(MONTH('Raw Data'!N448),".",RIGHT(YEAR('Raw Data'!N448),2))),'Raw Data'!N448))</f>
        <v>276.60000000000002</v>
      </c>
      <c r="O448" s="6">
        <f t="shared" si="19"/>
        <v>4.7619047619047556</v>
      </c>
      <c r="P448" s="6">
        <f t="shared" si="20"/>
        <v>13.829999999999984</v>
      </c>
      <c r="Q448">
        <f>VALUE(IF(AND(ISERR(FIND(".",'Raw Data'!Q448)),LEN('Raw Data'!Q448)=5), IF(YEAR('Raw Data'!Q448)=2026,CONCATENATE(DAY('Raw Data'!Q448),".",IF(LEN(MONTH('Raw Data'!Q448))=2,MONTH('Raw Data'!Q448),CONCATENATE(MONTH('Raw Data'!Q448)))),CONCATENATE(MONTH('Raw Data'!Q448),".",RIGHT(YEAR('Raw Data'!Q448),2))),'Raw Data'!Q448))</f>
        <v>8.9</v>
      </c>
    </row>
    <row r="449" spans="1:17">
      <c r="A449" t="s">
        <v>536</v>
      </c>
      <c r="B449" t="s">
        <v>25</v>
      </c>
      <c r="C449" t="s">
        <v>26</v>
      </c>
      <c r="D449" t="s">
        <v>27</v>
      </c>
      <c r="E449" t="s">
        <v>30</v>
      </c>
      <c r="F449" t="s">
        <v>43</v>
      </c>
      <c r="G449">
        <f>VALUE(IF(AND(ISERR(FIND(".",'Raw Data'!G449)),LEN('Raw Data'!G449)=5), IF(YEAR('Raw Data'!G449)=2026,CONCATENATE(DAY('Raw Data'!G449),".",IF(LEN(MONTH('Raw Data'!G449))=2,MONTH('Raw Data'!G449),CONCATENATE("0",MONTH('Raw Data'!G449)))),CONCATENATE(MONTH('Raw Data'!G449),".",RIGHT(YEAR('Raw Data'!G449),2))),'Raw Data'!G449))</f>
        <v>45.74</v>
      </c>
      <c r="H449">
        <f>'Raw Data'!H449</f>
        <v>3</v>
      </c>
      <c r="I449" s="6">
        <f t="shared" si="18"/>
        <v>6.86099999999999</v>
      </c>
      <c r="J449" s="6">
        <f>'Raw Data'!J449</f>
        <v>144.08099999999999</v>
      </c>
      <c r="K449" s="1">
        <f>VALUE(IFERROR(VALUE('Raw Data'!K449),CONCATENATE(MID('Raw Data'!K449,3,2),".","0",LEFT('Raw Data'!K449,1),".", RIGHT('Raw Data'!K449,4))))</f>
        <v>43741</v>
      </c>
      <c r="L449" s="2">
        <f>'Raw Data'!L449</f>
        <v>0.73472222222222217</v>
      </c>
      <c r="M449" t="s">
        <v>33</v>
      </c>
      <c r="N449">
        <f>VALUE(IF(AND(ISERR(FIND(".",'Raw Data'!N449)),LEN('Raw Data'!N449)=5), IF(YEAR('Raw Data'!N449)=2026,CONCATENATE(DAY('Raw Data'!N449),".",IF(LEN(MONTH('Raw Data'!N449))=2,MONTH('Raw Data'!N449),CONCATENATE("0",MONTH('Raw Data'!N449)))),CONCATENATE(MONTH('Raw Data'!N449),".",RIGHT(YEAR('Raw Data'!N449),2))),'Raw Data'!N449))</f>
        <v>137.22</v>
      </c>
      <c r="O449" s="6">
        <f t="shared" si="19"/>
        <v>4.7619047619047556</v>
      </c>
      <c r="P449" s="6">
        <f t="shared" si="20"/>
        <v>6.86099999999999</v>
      </c>
      <c r="Q449">
        <f>VALUE(IF(AND(ISERR(FIND(".",'Raw Data'!Q449)),LEN('Raw Data'!Q449)=5), IF(YEAR('Raw Data'!Q449)=2026,CONCATENATE(DAY('Raw Data'!Q449),".",IF(LEN(MONTH('Raw Data'!Q449))=2,MONTH('Raw Data'!Q449),CONCATENATE(MONTH('Raw Data'!Q449)))),CONCATENATE(MONTH('Raw Data'!Q449),".",RIGHT(YEAR('Raw Data'!Q449),2))),'Raw Data'!Q449))</f>
        <v>6.5</v>
      </c>
    </row>
    <row r="450" spans="1:17">
      <c r="A450" t="s">
        <v>537</v>
      </c>
      <c r="B450" t="s">
        <v>34</v>
      </c>
      <c r="C450" t="s">
        <v>35</v>
      </c>
      <c r="D450" t="s">
        <v>20</v>
      </c>
      <c r="E450" t="s">
        <v>21</v>
      </c>
      <c r="F450" t="s">
        <v>22</v>
      </c>
      <c r="G450">
        <f>VALUE(IF(AND(ISERR(FIND(".",'Raw Data'!G450)),LEN('Raw Data'!G450)=5), IF(YEAR('Raw Data'!G450)=2026,CONCATENATE(DAY('Raw Data'!G450),".",IF(LEN(MONTH('Raw Data'!G450))=2,MONTH('Raw Data'!G450),CONCATENATE("0",MONTH('Raw Data'!G450)))),CONCATENATE(MONTH('Raw Data'!G450),".",RIGHT(YEAR('Raw Data'!G450),2))),'Raw Data'!G450))</f>
        <v>27.07</v>
      </c>
      <c r="H450">
        <f>'Raw Data'!H450</f>
        <v>1</v>
      </c>
      <c r="I450" s="6">
        <f t="shared" si="18"/>
        <v>1.3535000000000004</v>
      </c>
      <c r="J450" s="6">
        <f>'Raw Data'!J450</f>
        <v>28.423500000000001</v>
      </c>
      <c r="K450" s="1">
        <f>VALUE(IFERROR(VALUE('Raw Data'!K450),CONCATENATE(MID('Raw Data'!K450,3,2),".","0",LEFT('Raw Data'!K450,1),".", RIGHT('Raw Data'!K450,4))))</f>
        <v>43800</v>
      </c>
      <c r="L450" s="2">
        <f>'Raw Data'!L450</f>
        <v>0.83819444444444446</v>
      </c>
      <c r="M450" t="s">
        <v>33</v>
      </c>
      <c r="N450">
        <f>VALUE(IF(AND(ISERR(FIND(".",'Raw Data'!N450)),LEN('Raw Data'!N450)=5), IF(YEAR('Raw Data'!N450)=2026,CONCATENATE(DAY('Raw Data'!N450),".",IF(LEN(MONTH('Raw Data'!N450))=2,MONTH('Raw Data'!N450),CONCATENATE("0",MONTH('Raw Data'!N450)))),CONCATENATE(MONTH('Raw Data'!N450),".",RIGHT(YEAR('Raw Data'!N450),2))),'Raw Data'!N450))</f>
        <v>27.07</v>
      </c>
      <c r="O450" s="6">
        <f t="shared" si="19"/>
        <v>4.7619047619047628</v>
      </c>
      <c r="P450" s="6">
        <f t="shared" si="20"/>
        <v>1.3535000000000004</v>
      </c>
      <c r="Q450">
        <f>VALUE(IF(AND(ISERR(FIND(".",'Raw Data'!Q450)),LEN('Raw Data'!Q450)=5), IF(YEAR('Raw Data'!Q450)=2026,CONCATENATE(DAY('Raw Data'!Q450),".",IF(LEN(MONTH('Raw Data'!Q450))=2,MONTH('Raw Data'!Q450),CONCATENATE(MONTH('Raw Data'!Q450)))),CONCATENATE(MONTH('Raw Data'!Q450),".",RIGHT(YEAR('Raw Data'!Q450),2))),'Raw Data'!Q450))</f>
        <v>5.3</v>
      </c>
    </row>
    <row r="451" spans="1:17">
      <c r="A451" t="s">
        <v>538</v>
      </c>
      <c r="B451" t="s">
        <v>34</v>
      </c>
      <c r="C451" t="s">
        <v>35</v>
      </c>
      <c r="D451" t="s">
        <v>20</v>
      </c>
      <c r="E451" t="s">
        <v>21</v>
      </c>
      <c r="F451" t="s">
        <v>38</v>
      </c>
      <c r="G451">
        <f>VALUE(IF(AND(ISERR(FIND(".",'Raw Data'!G451)),LEN('Raw Data'!G451)=5), IF(YEAR('Raw Data'!G451)=2026,CONCATENATE(DAY('Raw Data'!G451),".",IF(LEN(MONTH('Raw Data'!G451))=2,MONTH('Raw Data'!G451),CONCATENATE("0",MONTH('Raw Data'!G451)))),CONCATENATE(MONTH('Raw Data'!G451),".",RIGHT(YEAR('Raw Data'!G451),2))),'Raw Data'!G451))</f>
        <v>39.119999999999997</v>
      </c>
      <c r="H451">
        <f>'Raw Data'!H451</f>
        <v>1</v>
      </c>
      <c r="I451" s="6">
        <f t="shared" ref="I451:I514" si="21">J451-G451*H451</f>
        <v>1.9560000000000031</v>
      </c>
      <c r="J451" s="6">
        <f>'Raw Data'!J451</f>
        <v>41.076000000000001</v>
      </c>
      <c r="K451" s="1">
        <f>VALUE(IFERROR(VALUE('Raw Data'!K451),CONCATENATE(MID('Raw Data'!K451,3,2),".","0",LEFT('Raw Data'!K451,1),".", RIGHT('Raw Data'!K451,4))))</f>
        <v>43550</v>
      </c>
      <c r="L451" s="2">
        <f>'Raw Data'!L451</f>
        <v>0.4597222222222222</v>
      </c>
      <c r="M451" t="s">
        <v>33</v>
      </c>
      <c r="N451">
        <f>VALUE(IF(AND(ISERR(FIND(".",'Raw Data'!N451)),LEN('Raw Data'!N451)=5), IF(YEAR('Raw Data'!N451)=2026,CONCATENATE(DAY('Raw Data'!N451),".",IF(LEN(MONTH('Raw Data'!N451))=2,MONTH('Raw Data'!N451),CONCATENATE("0",MONTH('Raw Data'!N451)))),CONCATENATE(MONTH('Raw Data'!N451),".",RIGHT(YEAR('Raw Data'!N451),2))),'Raw Data'!N451))</f>
        <v>39.119999999999997</v>
      </c>
      <c r="O451" s="6">
        <f t="shared" ref="O451:O514" si="22">P451/J451*100</f>
        <v>4.761904761904769</v>
      </c>
      <c r="P451" s="6">
        <f t="shared" ref="P451:P514" si="23">J451-N451</f>
        <v>1.9560000000000031</v>
      </c>
      <c r="Q451">
        <f>VALUE(IF(AND(ISERR(FIND(".",'Raw Data'!Q451)),LEN('Raw Data'!Q451)=5), IF(YEAR('Raw Data'!Q451)=2026,CONCATENATE(DAY('Raw Data'!Q451),".",IF(LEN(MONTH('Raw Data'!Q451))=2,MONTH('Raw Data'!Q451),CONCATENATE(MONTH('Raw Data'!Q451)))),CONCATENATE(MONTH('Raw Data'!Q451),".",RIGHT(YEAR('Raw Data'!Q451),2))),'Raw Data'!Q451))</f>
        <v>9.6</v>
      </c>
    </row>
    <row r="452" spans="1:17">
      <c r="A452" t="s">
        <v>539</v>
      </c>
      <c r="B452" t="s">
        <v>34</v>
      </c>
      <c r="C452" t="s">
        <v>35</v>
      </c>
      <c r="D452" t="s">
        <v>27</v>
      </c>
      <c r="E452" t="s">
        <v>21</v>
      </c>
      <c r="F452" t="s">
        <v>28</v>
      </c>
      <c r="G452">
        <f>VALUE(IF(AND(ISERR(FIND(".",'Raw Data'!G452)),LEN('Raw Data'!G452)=5), IF(YEAR('Raw Data'!G452)=2026,CONCATENATE(DAY('Raw Data'!G452),".",IF(LEN(MONTH('Raw Data'!G452))=2,MONTH('Raw Data'!G452),CONCATENATE("0",MONTH('Raw Data'!G452)))),CONCATENATE(MONTH('Raw Data'!G452),".",RIGHT(YEAR('Raw Data'!G452),2))),'Raw Data'!G452))</f>
        <v>74.709999999999994</v>
      </c>
      <c r="H452">
        <f>'Raw Data'!H452</f>
        <v>6</v>
      </c>
      <c r="I452" s="6">
        <f t="shared" si="21"/>
        <v>22.413000000000011</v>
      </c>
      <c r="J452" s="6">
        <f>'Raw Data'!J452</f>
        <v>470.673</v>
      </c>
      <c r="K452" s="1">
        <f>VALUE(IFERROR(VALUE('Raw Data'!K452),CONCATENATE(MID('Raw Data'!K452,3,2),".","0",LEFT('Raw Data'!K452,1),".", RIGHT('Raw Data'!K452,4))))</f>
        <v>43466</v>
      </c>
      <c r="L452" s="2">
        <f>'Raw Data'!L452</f>
        <v>0.79652777777777783</v>
      </c>
      <c r="M452" t="s">
        <v>29</v>
      </c>
      <c r="N452">
        <f>VALUE(IF(AND(ISERR(FIND(".",'Raw Data'!N452)),LEN('Raw Data'!N452)=5), IF(YEAR('Raw Data'!N452)=2026,CONCATENATE(DAY('Raw Data'!N452),".",IF(LEN(MONTH('Raw Data'!N452))=2,MONTH('Raw Data'!N452),CONCATENATE("0",MONTH('Raw Data'!N452)))),CONCATENATE(MONTH('Raw Data'!N452),".",RIGHT(YEAR('Raw Data'!N452),2))),'Raw Data'!N452))</f>
        <v>448.26</v>
      </c>
      <c r="O452" s="6">
        <f t="shared" si="22"/>
        <v>4.7619047619047645</v>
      </c>
      <c r="P452" s="6">
        <f t="shared" si="23"/>
        <v>22.413000000000011</v>
      </c>
      <c r="Q452">
        <f>VALUE(IF(AND(ISERR(FIND(".",'Raw Data'!Q452)),LEN('Raw Data'!Q452)=5), IF(YEAR('Raw Data'!Q452)=2026,CONCATENATE(DAY('Raw Data'!Q452),".",IF(LEN(MONTH('Raw Data'!Q452))=2,MONTH('Raw Data'!Q452),CONCATENATE(MONTH('Raw Data'!Q452)))),CONCATENATE(MONTH('Raw Data'!Q452),".",RIGHT(YEAR('Raw Data'!Q452),2))),'Raw Data'!Q452))</f>
        <v>6.7</v>
      </c>
    </row>
    <row r="453" spans="1:17">
      <c r="A453" t="s">
        <v>540</v>
      </c>
      <c r="B453" t="s">
        <v>34</v>
      </c>
      <c r="C453" t="s">
        <v>35</v>
      </c>
      <c r="D453" t="s">
        <v>27</v>
      </c>
      <c r="E453" t="s">
        <v>30</v>
      </c>
      <c r="F453" t="s">
        <v>28</v>
      </c>
      <c r="G453">
        <f>VALUE(IF(AND(ISERR(FIND(".",'Raw Data'!G453)),LEN('Raw Data'!G453)=5), IF(YEAR('Raw Data'!G453)=2026,CONCATENATE(DAY('Raw Data'!G453),".",IF(LEN(MONTH('Raw Data'!G453))=2,MONTH('Raw Data'!G453),CONCATENATE("0",MONTH('Raw Data'!G453)))),CONCATENATE(MONTH('Raw Data'!G453),".",RIGHT(YEAR('Raw Data'!G453),2))),'Raw Data'!G453))</f>
        <v>22.01</v>
      </c>
      <c r="H453">
        <f>'Raw Data'!H453</f>
        <v>6</v>
      </c>
      <c r="I453" s="6">
        <f t="shared" si="21"/>
        <v>6.6030000000000086</v>
      </c>
      <c r="J453" s="6">
        <f>'Raw Data'!J453</f>
        <v>138.66300000000001</v>
      </c>
      <c r="K453" s="1">
        <f>VALUE(IFERROR(VALUE('Raw Data'!K453),CONCATENATE(MID('Raw Data'!K453,3,2),".","0",LEFT('Raw Data'!K453,1),".", RIGHT('Raw Data'!K453,4))))</f>
        <v>43497</v>
      </c>
      <c r="L453" s="2">
        <f>'Raw Data'!L453</f>
        <v>0.78472222222222221</v>
      </c>
      <c r="M453" t="s">
        <v>29</v>
      </c>
      <c r="N453">
        <f>VALUE(IF(AND(ISERR(FIND(".",'Raw Data'!N453)),LEN('Raw Data'!N453)=5), IF(YEAR('Raw Data'!N453)=2026,CONCATENATE(DAY('Raw Data'!N453),".",IF(LEN(MONTH('Raw Data'!N453))=2,MONTH('Raw Data'!N453),CONCATENATE("0",MONTH('Raw Data'!N453)))),CONCATENATE(MONTH('Raw Data'!N453),".",RIGHT(YEAR('Raw Data'!N453),2))),'Raw Data'!N453))</f>
        <v>132.06</v>
      </c>
      <c r="O453" s="6">
        <f t="shared" si="22"/>
        <v>4.7619047619047681</v>
      </c>
      <c r="P453" s="6">
        <f t="shared" si="23"/>
        <v>6.6030000000000086</v>
      </c>
      <c r="Q453">
        <f>VALUE(IF(AND(ISERR(FIND(".",'Raw Data'!Q453)),LEN('Raw Data'!Q453)=5), IF(YEAR('Raw Data'!Q453)=2026,CONCATENATE(DAY('Raw Data'!Q453),".",IF(LEN(MONTH('Raw Data'!Q453))=2,MONTH('Raw Data'!Q453),CONCATENATE(MONTH('Raw Data'!Q453)))),CONCATENATE(MONTH('Raw Data'!Q453),".",RIGHT(YEAR('Raw Data'!Q453),2))),'Raw Data'!Q453))</f>
        <v>7.6</v>
      </c>
    </row>
    <row r="454" spans="1:17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40</v>
      </c>
      <c r="G454">
        <f>VALUE(IF(AND(ISERR(FIND(".",'Raw Data'!G454)),LEN('Raw Data'!G454)=5), IF(YEAR('Raw Data'!G454)=2026,CONCATENATE(DAY('Raw Data'!G454),".",IF(LEN(MONTH('Raw Data'!G454))=2,MONTH('Raw Data'!G454),CONCATENATE("0",MONTH('Raw Data'!G454)))),CONCATENATE(MONTH('Raw Data'!G454),".",RIGHT(YEAR('Raw Data'!G454),2))),'Raw Data'!G454))</f>
        <v>63.61</v>
      </c>
      <c r="H454">
        <f>'Raw Data'!H454</f>
        <v>5</v>
      </c>
      <c r="I454" s="6">
        <f t="shared" si="21"/>
        <v>15.902499999999975</v>
      </c>
      <c r="J454" s="6">
        <f>'Raw Data'!J454</f>
        <v>333.95249999999999</v>
      </c>
      <c r="K454" s="1">
        <f>VALUE(IFERROR(VALUE('Raw Data'!K454),CONCATENATE(MID('Raw Data'!K454,3,2),".","0",LEFT('Raw Data'!K454,1),".", RIGHT('Raw Data'!K454,4))))</f>
        <v>43540</v>
      </c>
      <c r="L454" s="2">
        <f>'Raw Data'!L454</f>
        <v>0.52986111111111112</v>
      </c>
      <c r="M454" t="s">
        <v>23</v>
      </c>
      <c r="N454">
        <f>VALUE(IF(AND(ISERR(FIND(".",'Raw Data'!N454)),LEN('Raw Data'!N454)=5), IF(YEAR('Raw Data'!N454)=2026,CONCATENATE(DAY('Raw Data'!N454),".",IF(LEN(MONTH('Raw Data'!N454))=2,MONTH('Raw Data'!N454),CONCATENATE("0",MONTH('Raw Data'!N454)))),CONCATENATE(MONTH('Raw Data'!N454),".",RIGHT(YEAR('Raw Data'!N454),2))),'Raw Data'!N454))</f>
        <v>318.05</v>
      </c>
      <c r="O454" s="6">
        <f t="shared" si="22"/>
        <v>4.7619047619047548</v>
      </c>
      <c r="P454" s="6">
        <f t="shared" si="23"/>
        <v>15.902499999999975</v>
      </c>
      <c r="Q454">
        <f>VALUE(IF(AND(ISERR(FIND(".",'Raw Data'!Q454)),LEN('Raw Data'!Q454)=5), IF(YEAR('Raw Data'!Q454)=2026,CONCATENATE(DAY('Raw Data'!Q454),".",IF(LEN(MONTH('Raw Data'!Q454))=2,MONTH('Raw Data'!Q454),CONCATENATE(MONTH('Raw Data'!Q454)))),CONCATENATE(MONTH('Raw Data'!Q454),".",RIGHT(YEAR('Raw Data'!Q454),2))),'Raw Data'!Q454))</f>
        <v>4.8</v>
      </c>
    </row>
    <row r="455" spans="1:17">
      <c r="A455" t="s">
        <v>542</v>
      </c>
      <c r="B455" t="s">
        <v>18</v>
      </c>
      <c r="C455" t="s">
        <v>19</v>
      </c>
      <c r="D455" t="s">
        <v>27</v>
      </c>
      <c r="E455" t="s">
        <v>30</v>
      </c>
      <c r="F455" t="s">
        <v>22</v>
      </c>
      <c r="G455">
        <f>VALUE(IF(AND(ISERR(FIND(".",'Raw Data'!G455)),LEN('Raw Data'!G455)=5), IF(YEAR('Raw Data'!G455)=2026,CONCATENATE(DAY('Raw Data'!G455),".",IF(LEN(MONTH('Raw Data'!G455))=2,MONTH('Raw Data'!G455),CONCATENATE("0",MONTH('Raw Data'!G455)))),CONCATENATE(MONTH('Raw Data'!G455),".",RIGHT(YEAR('Raw Data'!G455),2))),'Raw Data'!G455))</f>
        <v>25</v>
      </c>
      <c r="H455">
        <f>'Raw Data'!H455</f>
        <v>1</v>
      </c>
      <c r="I455" s="6">
        <f t="shared" si="21"/>
        <v>1.25</v>
      </c>
      <c r="J455" s="6">
        <f>'Raw Data'!J455</f>
        <v>26.25</v>
      </c>
      <c r="K455" s="1">
        <f>VALUE(IFERROR(VALUE('Raw Data'!K455),CONCATENATE(MID('Raw Data'!K455,3,2),".","0",LEFT('Raw Data'!K455,1),".", RIGHT('Raw Data'!K455,4))))</f>
        <v>43527</v>
      </c>
      <c r="L455" s="2">
        <f>'Raw Data'!L455</f>
        <v>0.63124999999999998</v>
      </c>
      <c r="M455" t="s">
        <v>23</v>
      </c>
      <c r="N455">
        <f>VALUE(IF(AND(ISERR(FIND(".",'Raw Data'!N455)),LEN('Raw Data'!N455)=5), IF(YEAR('Raw Data'!N455)=2026,CONCATENATE(DAY('Raw Data'!N455),".",IF(LEN(MONTH('Raw Data'!N455))=2,MONTH('Raw Data'!N455),CONCATENATE("0",MONTH('Raw Data'!N455)))),CONCATENATE(MONTH('Raw Data'!N455),".",RIGHT(YEAR('Raw Data'!N455),2))),'Raw Data'!N455))</f>
        <v>25</v>
      </c>
      <c r="O455" s="6">
        <f t="shared" si="22"/>
        <v>4.7619047619047619</v>
      </c>
      <c r="P455" s="6">
        <f t="shared" si="23"/>
        <v>1.25</v>
      </c>
      <c r="Q455">
        <f>VALUE(IF(AND(ISERR(FIND(".",'Raw Data'!Q455)),LEN('Raw Data'!Q455)=5), IF(YEAR('Raw Data'!Q455)=2026,CONCATENATE(DAY('Raw Data'!Q455),".",IF(LEN(MONTH('Raw Data'!Q455))=2,MONTH('Raw Data'!Q455),CONCATENATE(MONTH('Raw Data'!Q455)))),CONCATENATE(MONTH('Raw Data'!Q455),".",RIGHT(YEAR('Raw Data'!Q455),2))),'Raw Data'!Q455))</f>
        <v>5.5</v>
      </c>
    </row>
    <row r="456" spans="1:17">
      <c r="A456" t="s">
        <v>543</v>
      </c>
      <c r="B456" t="s">
        <v>18</v>
      </c>
      <c r="C456" t="s">
        <v>19</v>
      </c>
      <c r="D456" t="s">
        <v>20</v>
      </c>
      <c r="E456" t="s">
        <v>30</v>
      </c>
      <c r="F456" t="s">
        <v>28</v>
      </c>
      <c r="G456">
        <f>VALUE(IF(AND(ISERR(FIND(".",'Raw Data'!G456)),LEN('Raw Data'!G456)=5), IF(YEAR('Raw Data'!G456)=2026,CONCATENATE(DAY('Raw Data'!G456),".",IF(LEN(MONTH('Raw Data'!G456))=2,MONTH('Raw Data'!G456),CONCATENATE("0",MONTH('Raw Data'!G456)))),CONCATENATE(MONTH('Raw Data'!G456),".",RIGHT(YEAR('Raw Data'!G456),2))),'Raw Data'!G456))</f>
        <v>20.77</v>
      </c>
      <c r="H456">
        <f>'Raw Data'!H456</f>
        <v>4</v>
      </c>
      <c r="I456" s="6">
        <f t="shared" si="21"/>
        <v>4.1539999999999964</v>
      </c>
      <c r="J456" s="6">
        <f>'Raw Data'!J456</f>
        <v>87.233999999999995</v>
      </c>
      <c r="K456" s="1">
        <f>VALUE(IFERROR(VALUE('Raw Data'!K456),CONCATENATE(MID('Raw Data'!K456,3,2),".","0",LEFT('Raw Data'!K456,1),".", RIGHT('Raw Data'!K456,4))))</f>
        <v>43496</v>
      </c>
      <c r="L456" s="2">
        <f>'Raw Data'!L456</f>
        <v>0.57430555555555551</v>
      </c>
      <c r="M456" t="s">
        <v>29</v>
      </c>
      <c r="N456">
        <f>VALUE(IF(AND(ISERR(FIND(".",'Raw Data'!N456)),LEN('Raw Data'!N456)=5), IF(YEAR('Raw Data'!N456)=2026,CONCATENATE(DAY('Raw Data'!N456),".",IF(LEN(MONTH('Raw Data'!N456))=2,MONTH('Raw Data'!N456),CONCATENATE("0",MONTH('Raw Data'!N456)))),CONCATENATE(MONTH('Raw Data'!N456),".",RIGHT(YEAR('Raw Data'!N456),2))),'Raw Data'!N456))</f>
        <v>83.08</v>
      </c>
      <c r="O456" s="6">
        <f t="shared" si="22"/>
        <v>4.7619047619047583</v>
      </c>
      <c r="P456" s="6">
        <f t="shared" si="23"/>
        <v>4.1539999999999964</v>
      </c>
      <c r="Q456">
        <f>VALUE(IF(AND(ISERR(FIND(".",'Raw Data'!Q456)),LEN('Raw Data'!Q456)=5), IF(YEAR('Raw Data'!Q456)=2026,CONCATENATE(DAY('Raw Data'!Q456),".",IF(LEN(MONTH('Raw Data'!Q456))=2,MONTH('Raw Data'!Q456),CONCATENATE(MONTH('Raw Data'!Q456)))),CONCATENATE(MONTH('Raw Data'!Q456),".",RIGHT(YEAR('Raw Data'!Q456),2))),'Raw Data'!Q456))</f>
        <v>4.7</v>
      </c>
    </row>
    <row r="457" spans="1:17">
      <c r="A457" t="s">
        <v>544</v>
      </c>
      <c r="B457" t="s">
        <v>34</v>
      </c>
      <c r="C457" t="s">
        <v>35</v>
      </c>
      <c r="D457" t="s">
        <v>20</v>
      </c>
      <c r="E457" t="s">
        <v>21</v>
      </c>
      <c r="F457" t="s">
        <v>43</v>
      </c>
      <c r="G457">
        <f>VALUE(IF(AND(ISERR(FIND(".",'Raw Data'!G457)),LEN('Raw Data'!G457)=5), IF(YEAR('Raw Data'!G457)=2026,CONCATENATE(DAY('Raw Data'!G457),".",IF(LEN(MONTH('Raw Data'!G457))=2,MONTH('Raw Data'!G457),CONCATENATE("0",MONTH('Raw Data'!G457)))),CONCATENATE(MONTH('Raw Data'!G457),".",RIGHT(YEAR('Raw Data'!G457),2))),'Raw Data'!G457))</f>
        <v>29.56</v>
      </c>
      <c r="H457">
        <f>'Raw Data'!H457</f>
        <v>5</v>
      </c>
      <c r="I457" s="6">
        <f t="shared" si="21"/>
        <v>7.3900000000000148</v>
      </c>
      <c r="J457" s="6">
        <f>'Raw Data'!J457</f>
        <v>155.19</v>
      </c>
      <c r="K457" s="1">
        <f>VALUE(IFERROR(VALUE('Raw Data'!K457),CONCATENATE(MID('Raw Data'!K457,3,2),".","0",LEFT('Raw Data'!K457,1),".", RIGHT('Raw Data'!K457,4))))</f>
        <v>43509</v>
      </c>
      <c r="L457" s="2">
        <f>'Raw Data'!L457</f>
        <v>0.70763888888888893</v>
      </c>
      <c r="M457" t="s">
        <v>29</v>
      </c>
      <c r="N457">
        <f>VALUE(IF(AND(ISERR(FIND(".",'Raw Data'!N457)),LEN('Raw Data'!N457)=5), IF(YEAR('Raw Data'!N457)=2026,CONCATENATE(DAY('Raw Data'!N457),".",IF(LEN(MONTH('Raw Data'!N457))=2,MONTH('Raw Data'!N457),CONCATENATE("0",MONTH('Raw Data'!N457)))),CONCATENATE(MONTH('Raw Data'!N457),".",RIGHT(YEAR('Raw Data'!N457),2))),'Raw Data'!N457))</f>
        <v>147.80000000000001</v>
      </c>
      <c r="O457" s="6">
        <f t="shared" si="22"/>
        <v>4.761904761904753</v>
      </c>
      <c r="P457" s="6">
        <f t="shared" si="23"/>
        <v>7.3899999999999864</v>
      </c>
      <c r="Q457">
        <f>VALUE(IF(AND(ISERR(FIND(".",'Raw Data'!Q457)),LEN('Raw Data'!Q457)=5), IF(YEAR('Raw Data'!Q457)=2026,CONCATENATE(DAY('Raw Data'!Q457),".",IF(LEN(MONTH('Raw Data'!Q457))=2,MONTH('Raw Data'!Q457),CONCATENATE(MONTH('Raw Data'!Q457)))),CONCATENATE(MONTH('Raw Data'!Q457),".",RIGHT(YEAR('Raw Data'!Q457),2))),'Raw Data'!Q457))</f>
        <v>6.9</v>
      </c>
    </row>
    <row r="458" spans="1:17">
      <c r="A458" t="s">
        <v>545</v>
      </c>
      <c r="B458" t="s">
        <v>34</v>
      </c>
      <c r="C458" t="s">
        <v>35</v>
      </c>
      <c r="D458" t="s">
        <v>20</v>
      </c>
      <c r="E458" t="s">
        <v>21</v>
      </c>
      <c r="F458" t="s">
        <v>40</v>
      </c>
      <c r="G458">
        <f>VALUE(IF(AND(ISERR(FIND(".",'Raw Data'!G458)),LEN('Raw Data'!G458)=5), IF(YEAR('Raw Data'!G458)=2026,CONCATENATE(DAY('Raw Data'!G458),".",IF(LEN(MONTH('Raw Data'!G458))=2,MONTH('Raw Data'!G458),CONCATENATE("0",MONTH('Raw Data'!G458)))),CONCATENATE(MONTH('Raw Data'!G458),".",RIGHT(YEAR('Raw Data'!G458),2))),'Raw Data'!G458))</f>
        <v>77.400000000000006</v>
      </c>
      <c r="H458">
        <f>'Raw Data'!H458</f>
        <v>9</v>
      </c>
      <c r="I458" s="6">
        <f t="shared" si="21"/>
        <v>34.829999999999927</v>
      </c>
      <c r="J458" s="6">
        <f>'Raw Data'!J458</f>
        <v>731.43</v>
      </c>
      <c r="K458" s="1">
        <f>VALUE(IFERROR(VALUE('Raw Data'!K458),CONCATENATE(MID('Raw Data'!K458,3,2),".","0",LEFT('Raw Data'!K458,1),".", RIGHT('Raw Data'!K458,4))))</f>
        <v>43511</v>
      </c>
      <c r="L458" s="2">
        <f>'Raw Data'!L458</f>
        <v>0.59375</v>
      </c>
      <c r="M458" t="s">
        <v>33</v>
      </c>
      <c r="N458">
        <f>VALUE(IF(AND(ISERR(FIND(".",'Raw Data'!N458)),LEN('Raw Data'!N458)=5), IF(YEAR('Raw Data'!N458)=2026,CONCATENATE(DAY('Raw Data'!N458),".",IF(LEN(MONTH('Raw Data'!N458))=2,MONTH('Raw Data'!N458),CONCATENATE("0",MONTH('Raw Data'!N458)))),CONCATENATE(MONTH('Raw Data'!N458),".",RIGHT(YEAR('Raw Data'!N458),2))),'Raw Data'!N458))</f>
        <v>696.6</v>
      </c>
      <c r="O458" s="6">
        <f t="shared" si="22"/>
        <v>4.761904761904753</v>
      </c>
      <c r="P458" s="6">
        <f t="shared" si="23"/>
        <v>34.829999999999927</v>
      </c>
      <c r="Q458">
        <f>VALUE(IF(AND(ISERR(FIND(".",'Raw Data'!Q458)),LEN('Raw Data'!Q458)=5), IF(YEAR('Raw Data'!Q458)=2026,CONCATENATE(DAY('Raw Data'!Q458),".",IF(LEN(MONTH('Raw Data'!Q458))=2,MONTH('Raw Data'!Q458),CONCATENATE(MONTH('Raw Data'!Q458)))),CONCATENATE(MONTH('Raw Data'!Q458),".",RIGHT(YEAR('Raw Data'!Q458),2))),'Raw Data'!Q458))</f>
        <v>4.5</v>
      </c>
    </row>
    <row r="459" spans="1:17">
      <c r="A459" t="s">
        <v>546</v>
      </c>
      <c r="B459" t="s">
        <v>34</v>
      </c>
      <c r="C459" t="s">
        <v>35</v>
      </c>
      <c r="D459" t="s">
        <v>27</v>
      </c>
      <c r="E459" t="s">
        <v>30</v>
      </c>
      <c r="F459" t="s">
        <v>28</v>
      </c>
      <c r="G459">
        <f>VALUE(IF(AND(ISERR(FIND(".",'Raw Data'!G459)),LEN('Raw Data'!G459)=5), IF(YEAR('Raw Data'!G459)=2026,CONCATENATE(DAY('Raw Data'!G459),".",IF(LEN(MONTH('Raw Data'!G459))=2,MONTH('Raw Data'!G459),CONCATENATE("0",MONTH('Raw Data'!G459)))),CONCATENATE(MONTH('Raw Data'!G459),".",RIGHT(YEAR('Raw Data'!G459),2))),'Raw Data'!G459))</f>
        <v>79.39</v>
      </c>
      <c r="H459">
        <f>'Raw Data'!H459</f>
        <v>10</v>
      </c>
      <c r="I459" s="6">
        <f t="shared" si="21"/>
        <v>39.69500000000005</v>
      </c>
      <c r="J459" s="6">
        <f>'Raw Data'!J459</f>
        <v>833.59500000000003</v>
      </c>
      <c r="K459" s="1">
        <f>VALUE(IFERROR(VALUE('Raw Data'!K459),CONCATENATE(MID('Raw Data'!K459,3,2),".","0",LEFT('Raw Data'!K459,1),".", RIGHT('Raw Data'!K459,4))))</f>
        <v>43648</v>
      </c>
      <c r="L459" s="2">
        <f>'Raw Data'!L459</f>
        <v>0.85</v>
      </c>
      <c r="M459" t="s">
        <v>29</v>
      </c>
      <c r="N459">
        <f>VALUE(IF(AND(ISERR(FIND(".",'Raw Data'!N459)),LEN('Raw Data'!N459)=5), IF(YEAR('Raw Data'!N459)=2026,CONCATENATE(DAY('Raw Data'!N459),".",IF(LEN(MONTH('Raw Data'!N459))=2,MONTH('Raw Data'!N459),CONCATENATE("0",MONTH('Raw Data'!N459)))),CONCATENATE(MONTH('Raw Data'!N459),".",RIGHT(YEAR('Raw Data'!N459),2))),'Raw Data'!N459))</f>
        <v>793.9</v>
      </c>
      <c r="O459" s="6">
        <f t="shared" si="22"/>
        <v>4.7619047619047681</v>
      </c>
      <c r="P459" s="6">
        <f t="shared" si="23"/>
        <v>39.69500000000005</v>
      </c>
      <c r="Q459">
        <f>VALUE(IF(AND(ISERR(FIND(".",'Raw Data'!Q459)),LEN('Raw Data'!Q459)=5), IF(YEAR('Raw Data'!Q459)=2026,CONCATENATE(DAY('Raw Data'!Q459),".",IF(LEN(MONTH('Raw Data'!Q459))=2,MONTH('Raw Data'!Q459),CONCATENATE(MONTH('Raw Data'!Q459)))),CONCATENATE(MONTH('Raw Data'!Q459),".",RIGHT(YEAR('Raw Data'!Q459),2))),'Raw Data'!Q459))</f>
        <v>6.2</v>
      </c>
    </row>
    <row r="460" spans="1:17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f>VALUE(IF(AND(ISERR(FIND(".",'Raw Data'!G460)),LEN('Raw Data'!G460)=5), IF(YEAR('Raw Data'!G460)=2026,CONCATENATE(DAY('Raw Data'!G460),".",IF(LEN(MONTH('Raw Data'!G460))=2,MONTH('Raw Data'!G460),CONCATENATE("0",MONTH('Raw Data'!G460)))),CONCATENATE(MONTH('Raw Data'!G460),".",RIGHT(YEAR('Raw Data'!G460),2))),'Raw Data'!G460))</f>
        <v>46.57</v>
      </c>
      <c r="H460">
        <f>'Raw Data'!H460</f>
        <v>10</v>
      </c>
      <c r="I460" s="6">
        <f t="shared" si="21"/>
        <v>23.285000000000025</v>
      </c>
      <c r="J460" s="6">
        <f>'Raw Data'!J460</f>
        <v>488.98500000000001</v>
      </c>
      <c r="K460" s="1">
        <f>VALUE(IFERROR(VALUE('Raw Data'!K460),CONCATENATE(MID('Raw Data'!K460,3,2),".","0",LEFT('Raw Data'!K460,1),".", RIGHT('Raw Data'!K460,4))))</f>
        <v>43492</v>
      </c>
      <c r="L460" s="2">
        <f>'Raw Data'!L460</f>
        <v>0.58194444444444449</v>
      </c>
      <c r="M460" t="s">
        <v>29</v>
      </c>
      <c r="N460">
        <f>VALUE(IF(AND(ISERR(FIND(".",'Raw Data'!N460)),LEN('Raw Data'!N460)=5), IF(YEAR('Raw Data'!N460)=2026,CONCATENATE(DAY('Raw Data'!N460),".",IF(LEN(MONTH('Raw Data'!N460))=2,MONTH('Raw Data'!N460),CONCATENATE("0",MONTH('Raw Data'!N460)))),CONCATENATE(MONTH('Raw Data'!N460),".",RIGHT(YEAR('Raw Data'!N460),2))),'Raw Data'!N460))</f>
        <v>465.7</v>
      </c>
      <c r="O460" s="6">
        <f t="shared" si="22"/>
        <v>4.7619047619047672</v>
      </c>
      <c r="P460" s="6">
        <f t="shared" si="23"/>
        <v>23.285000000000025</v>
      </c>
      <c r="Q460">
        <f>VALUE(IF(AND(ISERR(FIND(".",'Raw Data'!Q460)),LEN('Raw Data'!Q460)=5), IF(YEAR('Raw Data'!Q460)=2026,CONCATENATE(DAY('Raw Data'!Q460),".",IF(LEN(MONTH('Raw Data'!Q460))=2,MONTH('Raw Data'!Q460),CONCATENATE(MONTH('Raw Data'!Q460)))),CONCATENATE(MONTH('Raw Data'!Q460),".",RIGHT(YEAR('Raw Data'!Q460),2))),'Raw Data'!Q460))</f>
        <v>7.6</v>
      </c>
    </row>
    <row r="461" spans="1:17">
      <c r="A461" t="s">
        <v>548</v>
      </c>
      <c r="B461" t="s">
        <v>25</v>
      </c>
      <c r="C461" t="s">
        <v>26</v>
      </c>
      <c r="D461" t="s">
        <v>27</v>
      </c>
      <c r="E461" t="s">
        <v>30</v>
      </c>
      <c r="F461" t="s">
        <v>40</v>
      </c>
      <c r="G461">
        <f>VALUE(IF(AND(ISERR(FIND(".",'Raw Data'!G461)),LEN('Raw Data'!G461)=5), IF(YEAR('Raw Data'!G461)=2026,CONCATENATE(DAY('Raw Data'!G461),".",IF(LEN(MONTH('Raw Data'!G461))=2,MONTH('Raw Data'!G461),CONCATENATE("0",MONTH('Raw Data'!G461)))),CONCATENATE(MONTH('Raw Data'!G461),".",RIGHT(YEAR('Raw Data'!G461),2))),'Raw Data'!G461))</f>
        <v>35.89</v>
      </c>
      <c r="H461">
        <f>'Raw Data'!H461</f>
        <v>1</v>
      </c>
      <c r="I461" s="6">
        <f t="shared" si="21"/>
        <v>1.7944999999999993</v>
      </c>
      <c r="J461" s="6">
        <f>'Raw Data'!J461</f>
        <v>37.6845</v>
      </c>
      <c r="K461" s="1">
        <f>VALUE(IFERROR(VALUE('Raw Data'!K461),CONCATENATE(MID('Raw Data'!K461,3,2),".","0",LEFT('Raw Data'!K461,1),".", RIGHT('Raw Data'!K461,4))))</f>
        <v>43519</v>
      </c>
      <c r="L461" s="2">
        <f>'Raw Data'!L461</f>
        <v>0.70277777777777783</v>
      </c>
      <c r="M461" t="s">
        <v>33</v>
      </c>
      <c r="N461">
        <f>VALUE(IF(AND(ISERR(FIND(".",'Raw Data'!N461)),LEN('Raw Data'!N461)=5), IF(YEAR('Raw Data'!N461)=2026,CONCATENATE(DAY('Raw Data'!N461),".",IF(LEN(MONTH('Raw Data'!N461))=2,MONTH('Raw Data'!N461),CONCATENATE("0",MONTH('Raw Data'!N461)))),CONCATENATE(MONTH('Raw Data'!N461),".",RIGHT(YEAR('Raw Data'!N461),2))),'Raw Data'!N461))</f>
        <v>35.89</v>
      </c>
      <c r="O461" s="6">
        <f t="shared" si="22"/>
        <v>4.7619047619047601</v>
      </c>
      <c r="P461" s="6">
        <f t="shared" si="23"/>
        <v>1.7944999999999993</v>
      </c>
      <c r="Q461">
        <f>VALUE(IF(AND(ISERR(FIND(".",'Raw Data'!Q461)),LEN('Raw Data'!Q461)=5), IF(YEAR('Raw Data'!Q461)=2026,CONCATENATE(DAY('Raw Data'!Q461),".",IF(LEN(MONTH('Raw Data'!Q461))=2,MONTH('Raw Data'!Q461),CONCATENATE(MONTH('Raw Data'!Q461)))),CONCATENATE(MONTH('Raw Data'!Q461),".",RIGHT(YEAR('Raw Data'!Q461),2))),'Raw Data'!Q461))</f>
        <v>7.9</v>
      </c>
    </row>
    <row r="462" spans="1:17">
      <c r="A462" t="s">
        <v>549</v>
      </c>
      <c r="B462" t="s">
        <v>25</v>
      </c>
      <c r="C462" t="s">
        <v>26</v>
      </c>
      <c r="D462" t="s">
        <v>27</v>
      </c>
      <c r="E462" t="s">
        <v>30</v>
      </c>
      <c r="F462" t="s">
        <v>40</v>
      </c>
      <c r="G462">
        <f>VALUE(IF(AND(ISERR(FIND(".",'Raw Data'!G462)),LEN('Raw Data'!G462)=5), IF(YEAR('Raw Data'!G462)=2026,CONCATENATE(DAY('Raw Data'!G462),".",IF(LEN(MONTH('Raw Data'!G462))=2,MONTH('Raw Data'!G462),CONCATENATE("0",MONTH('Raw Data'!G462)))),CONCATENATE(MONTH('Raw Data'!G462),".",RIGHT(YEAR('Raw Data'!G462),2))),'Raw Data'!G462))</f>
        <v>40.520000000000003</v>
      </c>
      <c r="H462">
        <f>'Raw Data'!H462</f>
        <v>5</v>
      </c>
      <c r="I462" s="6">
        <f t="shared" si="21"/>
        <v>10.129999999999967</v>
      </c>
      <c r="J462" s="6">
        <f>'Raw Data'!J462</f>
        <v>212.73</v>
      </c>
      <c r="K462" s="1">
        <f>VALUE(IFERROR(VALUE('Raw Data'!K462),CONCATENATE(MID('Raw Data'!K462,3,2),".","0",LEFT('Raw Data'!K462,1),".", RIGHT('Raw Data'!K462,4))))</f>
        <v>43526</v>
      </c>
      <c r="L462" s="2">
        <f>'Raw Data'!L462</f>
        <v>0.6381944444444444</v>
      </c>
      <c r="M462" t="s">
        <v>29</v>
      </c>
      <c r="N462">
        <f>VALUE(IF(AND(ISERR(FIND(".",'Raw Data'!N462)),LEN('Raw Data'!N462)=5), IF(YEAR('Raw Data'!N462)=2026,CONCATENATE(DAY('Raw Data'!N462),".",IF(LEN(MONTH('Raw Data'!N462))=2,MONTH('Raw Data'!N462),CONCATENATE("0",MONTH('Raw Data'!N462)))),CONCATENATE(MONTH('Raw Data'!N462),".",RIGHT(YEAR('Raw Data'!N462),2))),'Raw Data'!N462))</f>
        <v>202.6</v>
      </c>
      <c r="O462" s="6">
        <f t="shared" si="22"/>
        <v>4.7619047619047601</v>
      </c>
      <c r="P462" s="6">
        <f t="shared" si="23"/>
        <v>10.129999999999995</v>
      </c>
      <c r="Q462">
        <f>VALUE(IF(AND(ISERR(FIND(".",'Raw Data'!Q462)),LEN('Raw Data'!Q462)=5), IF(YEAR('Raw Data'!Q462)=2026,CONCATENATE(DAY('Raw Data'!Q462),".",IF(LEN(MONTH('Raw Data'!Q462))=2,MONTH('Raw Data'!Q462),CONCATENATE(MONTH('Raw Data'!Q462)))),CONCATENATE(MONTH('Raw Data'!Q462),".",RIGHT(YEAR('Raw Data'!Q462),2))),'Raw Data'!Q462))</f>
        <v>4.5</v>
      </c>
    </row>
    <row r="463" spans="1:17">
      <c r="A463" t="s">
        <v>550</v>
      </c>
      <c r="B463" t="s">
        <v>34</v>
      </c>
      <c r="C463" t="s">
        <v>35</v>
      </c>
      <c r="D463" t="s">
        <v>20</v>
      </c>
      <c r="E463" t="s">
        <v>21</v>
      </c>
      <c r="F463" t="s">
        <v>40</v>
      </c>
      <c r="G463">
        <f>VALUE(IF(AND(ISERR(FIND(".",'Raw Data'!G463)),LEN('Raw Data'!G463)=5), IF(YEAR('Raw Data'!G463)=2026,CONCATENATE(DAY('Raw Data'!G463),".",IF(LEN(MONTH('Raw Data'!G463))=2,MONTH('Raw Data'!G463),CONCATENATE("0",MONTH('Raw Data'!G463)))),CONCATENATE(MONTH('Raw Data'!G463),".",RIGHT(YEAR('Raw Data'!G463),2))),'Raw Data'!G463))</f>
        <v>73.05</v>
      </c>
      <c r="H463">
        <f>'Raw Data'!H463</f>
        <v>10</v>
      </c>
      <c r="I463" s="6">
        <f t="shared" si="21"/>
        <v>36.524999999999977</v>
      </c>
      <c r="J463" s="6">
        <f>'Raw Data'!J463</f>
        <v>767.02499999999998</v>
      </c>
      <c r="K463" s="1">
        <f>VALUE(IFERROR(VALUE('Raw Data'!K463),CONCATENATE(MID('Raw Data'!K463,3,2),".","0",LEFT('Raw Data'!K463,1),".", RIGHT('Raw Data'!K463,4))))</f>
        <v>43527</v>
      </c>
      <c r="L463" s="2">
        <f>'Raw Data'!L463</f>
        <v>0.51736111111111105</v>
      </c>
      <c r="M463" t="s">
        <v>33</v>
      </c>
      <c r="N463">
        <f>VALUE(IF(AND(ISERR(FIND(".",'Raw Data'!N463)),LEN('Raw Data'!N463)=5), IF(YEAR('Raw Data'!N463)=2026,CONCATENATE(DAY('Raw Data'!N463),".",IF(LEN(MONTH('Raw Data'!N463))=2,MONTH('Raw Data'!N463),CONCATENATE("0",MONTH('Raw Data'!N463)))),CONCATENATE(MONTH('Raw Data'!N463),".",RIGHT(YEAR('Raw Data'!N463),2))),'Raw Data'!N463))</f>
        <v>730.5</v>
      </c>
      <c r="O463" s="6">
        <f t="shared" si="22"/>
        <v>4.7619047619047592</v>
      </c>
      <c r="P463" s="6">
        <f t="shared" si="23"/>
        <v>36.524999999999977</v>
      </c>
      <c r="Q463">
        <f>VALUE(IF(AND(ISERR(FIND(".",'Raw Data'!Q463)),LEN('Raw Data'!Q463)=5), IF(YEAR('Raw Data'!Q463)=2026,CONCATENATE(DAY('Raw Data'!Q463),".",IF(LEN(MONTH('Raw Data'!Q463))=2,MONTH('Raw Data'!Q463),CONCATENATE(MONTH('Raw Data'!Q463)))),CONCATENATE(MONTH('Raw Data'!Q463),".",RIGHT(YEAR('Raw Data'!Q463),2))),'Raw Data'!Q463))</f>
        <v>8.6999999999999993</v>
      </c>
    </row>
    <row r="464" spans="1:17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38</v>
      </c>
      <c r="G464">
        <f>VALUE(IF(AND(ISERR(FIND(".",'Raw Data'!G464)),LEN('Raw Data'!G464)=5), IF(YEAR('Raw Data'!G464)=2026,CONCATENATE(DAY('Raw Data'!G464),".",IF(LEN(MONTH('Raw Data'!G464))=2,MONTH('Raw Data'!G464),CONCATENATE("0",MONTH('Raw Data'!G464)))),CONCATENATE(MONTH('Raw Data'!G464),".",RIGHT(YEAR('Raw Data'!G464),2))),'Raw Data'!G464))</f>
        <v>73.95</v>
      </c>
      <c r="H464">
        <f>'Raw Data'!H464</f>
        <v>4</v>
      </c>
      <c r="I464" s="6">
        <f t="shared" si="21"/>
        <v>14.789999999999964</v>
      </c>
      <c r="J464" s="6">
        <f>'Raw Data'!J464</f>
        <v>310.58999999999997</v>
      </c>
      <c r="K464" s="1">
        <f>VALUE(IFERROR(VALUE('Raw Data'!K464),CONCATENATE(MID('Raw Data'!K464,3,2),".","0",LEFT('Raw Data'!K464,1),".", RIGHT('Raw Data'!K464,4))))</f>
        <v>43526</v>
      </c>
      <c r="L464" s="2">
        <f>'Raw Data'!L464</f>
        <v>0.41805555555555557</v>
      </c>
      <c r="M464" t="s">
        <v>29</v>
      </c>
      <c r="N464">
        <f>VALUE(IF(AND(ISERR(FIND(".",'Raw Data'!N464)),LEN('Raw Data'!N464)=5), IF(YEAR('Raw Data'!N464)=2026,CONCATENATE(DAY('Raw Data'!N464),".",IF(LEN(MONTH('Raw Data'!N464))=2,MONTH('Raw Data'!N464),CONCATENATE("0",MONTH('Raw Data'!N464)))),CONCATENATE(MONTH('Raw Data'!N464),".",RIGHT(YEAR('Raw Data'!N464),2))),'Raw Data'!N464))</f>
        <v>295.8</v>
      </c>
      <c r="O464" s="6">
        <f t="shared" si="22"/>
        <v>4.7619047619047503</v>
      </c>
      <c r="P464" s="6">
        <f t="shared" si="23"/>
        <v>14.789999999999964</v>
      </c>
      <c r="Q464">
        <f>VALUE(IF(AND(ISERR(FIND(".",'Raw Data'!Q464)),LEN('Raw Data'!Q464)=5), IF(YEAR('Raw Data'!Q464)=2026,CONCATENATE(DAY('Raw Data'!Q464),".",IF(LEN(MONTH('Raw Data'!Q464))=2,MONTH('Raw Data'!Q464),CONCATENATE(MONTH('Raw Data'!Q464)))),CONCATENATE(MONTH('Raw Data'!Q464),".",RIGHT(YEAR('Raw Data'!Q464),2))),'Raw Data'!Q464))</f>
        <v>6.1</v>
      </c>
    </row>
    <row r="465" spans="1:17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40</v>
      </c>
      <c r="G465">
        <f>VALUE(IF(AND(ISERR(FIND(".",'Raw Data'!G465)),LEN('Raw Data'!G465)=5), IF(YEAR('Raw Data'!G465)=2026,CONCATENATE(DAY('Raw Data'!G465),".",IF(LEN(MONTH('Raw Data'!G465))=2,MONTH('Raw Data'!G465),CONCATENATE("0",MONTH('Raw Data'!G465)))),CONCATENATE(MONTH('Raw Data'!G465),".",RIGHT(YEAR('Raw Data'!G465),2))),'Raw Data'!G465))</f>
        <v>22.62</v>
      </c>
      <c r="H465">
        <f>'Raw Data'!H465</f>
        <v>1</v>
      </c>
      <c r="I465" s="6">
        <f t="shared" si="21"/>
        <v>1.1310000000000002</v>
      </c>
      <c r="J465" s="6">
        <f>'Raw Data'!J465</f>
        <v>23.751000000000001</v>
      </c>
      <c r="K465" s="1">
        <f>VALUE(IFERROR(VALUE('Raw Data'!K465),CONCATENATE(MID('Raw Data'!K465,3,2),".","0",LEFT('Raw Data'!K465,1),".", RIGHT('Raw Data'!K465,4))))</f>
        <v>43541</v>
      </c>
      <c r="L465" s="2">
        <f>'Raw Data'!L465</f>
        <v>0.79027777777777775</v>
      </c>
      <c r="M465" t="s">
        <v>29</v>
      </c>
      <c r="N465">
        <f>VALUE(IF(AND(ISERR(FIND(".",'Raw Data'!N465)),LEN('Raw Data'!N465)=5), IF(YEAR('Raw Data'!N465)=2026,CONCATENATE(DAY('Raw Data'!N465),".",IF(LEN(MONTH('Raw Data'!N465))=2,MONTH('Raw Data'!N465),CONCATENATE("0",MONTH('Raw Data'!N465)))),CONCATENATE(MONTH('Raw Data'!N465),".",RIGHT(YEAR('Raw Data'!N465),2))),'Raw Data'!N465))</f>
        <v>22.62</v>
      </c>
      <c r="O465" s="6">
        <f t="shared" si="22"/>
        <v>4.7619047619047628</v>
      </c>
      <c r="P465" s="6">
        <f t="shared" si="23"/>
        <v>1.1310000000000002</v>
      </c>
      <c r="Q465">
        <f>VALUE(IF(AND(ISERR(FIND(".",'Raw Data'!Q465)),LEN('Raw Data'!Q465)=5), IF(YEAR('Raw Data'!Q465)=2026,CONCATENATE(DAY('Raw Data'!Q465),".",IF(LEN(MONTH('Raw Data'!Q465))=2,MONTH('Raw Data'!Q465),CONCATENATE(MONTH('Raw Data'!Q465)))),CONCATENATE(MONTH('Raw Data'!Q465),".",RIGHT(YEAR('Raw Data'!Q465),2))),'Raw Data'!Q465))</f>
        <v>6.4</v>
      </c>
    </row>
    <row r="466" spans="1:17">
      <c r="A466" t="s">
        <v>553</v>
      </c>
      <c r="B466" t="s">
        <v>18</v>
      </c>
      <c r="C466" t="s">
        <v>19</v>
      </c>
      <c r="D466" t="s">
        <v>20</v>
      </c>
      <c r="E466" t="s">
        <v>30</v>
      </c>
      <c r="F466" t="s">
        <v>40</v>
      </c>
      <c r="G466">
        <f>VALUE(IF(AND(ISERR(FIND(".",'Raw Data'!G466)),LEN('Raw Data'!G466)=5), IF(YEAR('Raw Data'!G466)=2026,CONCATENATE(DAY('Raw Data'!G466),".",IF(LEN(MONTH('Raw Data'!G466))=2,MONTH('Raw Data'!G466),CONCATENATE("0",MONTH('Raw Data'!G466)))),CONCATENATE(MONTH('Raw Data'!G466),".",RIGHT(YEAR('Raw Data'!G466),2))),'Raw Data'!G466))</f>
        <v>51.34</v>
      </c>
      <c r="H466">
        <f>'Raw Data'!H466</f>
        <v>5</v>
      </c>
      <c r="I466" s="6">
        <f t="shared" si="21"/>
        <v>12.83499999999998</v>
      </c>
      <c r="J466" s="6">
        <f>'Raw Data'!J466</f>
        <v>269.53500000000003</v>
      </c>
      <c r="K466" s="1">
        <f>VALUE(IFERROR(VALUE('Raw Data'!K466),CONCATENATE(MID('Raw Data'!K466,3,2),".","0",LEFT('Raw Data'!K466,1),".", RIGHT('Raw Data'!K466,4))))</f>
        <v>43552</v>
      </c>
      <c r="L466" s="2">
        <f>'Raw Data'!L466</f>
        <v>0.64652777777777781</v>
      </c>
      <c r="M466" t="s">
        <v>33</v>
      </c>
      <c r="N466">
        <f>VALUE(IF(AND(ISERR(FIND(".",'Raw Data'!N466)),LEN('Raw Data'!N466)=5), IF(YEAR('Raw Data'!N466)=2026,CONCATENATE(DAY('Raw Data'!N466),".",IF(LEN(MONTH('Raw Data'!N466))=2,MONTH('Raw Data'!N466),CONCATENATE("0",MONTH('Raw Data'!N466)))),CONCATENATE(MONTH('Raw Data'!N466),".",RIGHT(YEAR('Raw Data'!N466),2))),'Raw Data'!N466))</f>
        <v>256.7</v>
      </c>
      <c r="O466" s="6">
        <f t="shared" si="22"/>
        <v>4.7619047619047752</v>
      </c>
      <c r="P466" s="6">
        <f t="shared" si="23"/>
        <v>12.835000000000036</v>
      </c>
      <c r="Q466">
        <f>VALUE(IF(AND(ISERR(FIND(".",'Raw Data'!Q466)),LEN('Raw Data'!Q466)=5), IF(YEAR('Raw Data'!Q466)=2026,CONCATENATE(DAY('Raw Data'!Q466),".",IF(LEN(MONTH('Raw Data'!Q466))=2,MONTH('Raw Data'!Q466),CONCATENATE(MONTH('Raw Data'!Q466)))),CONCATENATE(MONTH('Raw Data'!Q466),".",RIGHT(YEAR('Raw Data'!Q466),2))),'Raw Data'!Q466))</f>
        <v>9.1</v>
      </c>
    </row>
    <row r="467" spans="1:17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38</v>
      </c>
      <c r="G467">
        <f>VALUE(IF(AND(ISERR(FIND(".",'Raw Data'!G467)),LEN('Raw Data'!G467)=5), IF(YEAR('Raw Data'!G467)=2026,CONCATENATE(DAY('Raw Data'!G467),".",IF(LEN(MONTH('Raw Data'!G467))=2,MONTH('Raw Data'!G467),CONCATENATE("0",MONTH('Raw Data'!G467)))),CONCATENATE(MONTH('Raw Data'!G467),".",RIGHT(YEAR('Raw Data'!G467),2))),'Raw Data'!G467))</f>
        <v>54.55</v>
      </c>
      <c r="H467">
        <f>'Raw Data'!H467</f>
        <v>10</v>
      </c>
      <c r="I467" s="6">
        <f t="shared" si="21"/>
        <v>27.274999999999977</v>
      </c>
      <c r="J467" s="6">
        <f>'Raw Data'!J467</f>
        <v>572.77499999999998</v>
      </c>
      <c r="K467" s="1">
        <f>VALUE(IFERROR(VALUE('Raw Data'!K467),CONCATENATE(MID('Raw Data'!K467,3,2),".","0",LEFT('Raw Data'!K467,1),".", RIGHT('Raw Data'!K467,4))))</f>
        <v>43499</v>
      </c>
      <c r="L467" s="2">
        <f>'Raw Data'!L467</f>
        <v>0.47361111111111115</v>
      </c>
      <c r="M467" t="s">
        <v>33</v>
      </c>
      <c r="N467">
        <f>VALUE(IF(AND(ISERR(FIND(".",'Raw Data'!N467)),LEN('Raw Data'!N467)=5), IF(YEAR('Raw Data'!N467)=2026,CONCATENATE(DAY('Raw Data'!N467),".",IF(LEN(MONTH('Raw Data'!N467))=2,MONTH('Raw Data'!N467),CONCATENATE("0",MONTH('Raw Data'!N467)))),CONCATENATE(MONTH('Raw Data'!N467),".",RIGHT(YEAR('Raw Data'!N467),2))),'Raw Data'!N467))</f>
        <v>545.5</v>
      </c>
      <c r="O467" s="6">
        <f t="shared" si="22"/>
        <v>4.7619047619047583</v>
      </c>
      <c r="P467" s="6">
        <f t="shared" si="23"/>
        <v>27.274999999999977</v>
      </c>
      <c r="Q467">
        <f>VALUE(IF(AND(ISERR(FIND(".",'Raw Data'!Q467)),LEN('Raw Data'!Q467)=5), IF(YEAR('Raw Data'!Q467)=2026,CONCATENATE(DAY('Raw Data'!Q467),".",IF(LEN(MONTH('Raw Data'!Q467))=2,MONTH('Raw Data'!Q467),CONCATENATE(MONTH('Raw Data'!Q467)))),CONCATENATE(MONTH('Raw Data'!Q467),".",RIGHT(YEAR('Raw Data'!Q467),2))),'Raw Data'!Q467))</f>
        <v>7.1</v>
      </c>
    </row>
    <row r="468" spans="1:17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f>VALUE(IF(AND(ISERR(FIND(".",'Raw Data'!G468)),LEN('Raw Data'!G468)=5), IF(YEAR('Raw Data'!G468)=2026,CONCATENATE(DAY('Raw Data'!G468),".",IF(LEN(MONTH('Raw Data'!G468))=2,MONTH('Raw Data'!G468),CONCATENATE("0",MONTH('Raw Data'!G468)))),CONCATENATE(MONTH('Raw Data'!G468),".",RIGHT(YEAR('Raw Data'!G468),2))),'Raw Data'!G468))</f>
        <v>37.15</v>
      </c>
      <c r="H468">
        <f>'Raw Data'!H468</f>
        <v>7</v>
      </c>
      <c r="I468" s="6">
        <f t="shared" si="21"/>
        <v>13.002499999999998</v>
      </c>
      <c r="J468" s="6">
        <f>'Raw Data'!J468</f>
        <v>273.05250000000001</v>
      </c>
      <c r="K468" s="1">
        <f>VALUE(IFERROR(VALUE('Raw Data'!K468),CONCATENATE(MID('Raw Data'!K468,3,2),".","0",LEFT('Raw Data'!K468,1),".", RIGHT('Raw Data'!K468,4))))</f>
        <v>43679</v>
      </c>
      <c r="L468" s="2">
        <f>'Raw Data'!L468</f>
        <v>0.54999999999999993</v>
      </c>
      <c r="M468" t="s">
        <v>33</v>
      </c>
      <c r="N468">
        <f>VALUE(IF(AND(ISERR(FIND(".",'Raw Data'!N468)),LEN('Raw Data'!N468)=5), IF(YEAR('Raw Data'!N468)=2026,CONCATENATE(DAY('Raw Data'!N468),".",IF(LEN(MONTH('Raw Data'!N468))=2,MONTH('Raw Data'!N468),CONCATENATE("0",MONTH('Raw Data'!N468)))),CONCATENATE(MONTH('Raw Data'!N468),".",RIGHT(YEAR('Raw Data'!N468),2))),'Raw Data'!N468))</f>
        <v>260.05</v>
      </c>
      <c r="O468" s="6">
        <f t="shared" si="22"/>
        <v>4.761904761904761</v>
      </c>
      <c r="P468" s="6">
        <f t="shared" si="23"/>
        <v>13.002499999999998</v>
      </c>
      <c r="Q468">
        <f>VALUE(IF(AND(ISERR(FIND(".",'Raw Data'!Q468)),LEN('Raw Data'!Q468)=5), IF(YEAR('Raw Data'!Q468)=2026,CONCATENATE(DAY('Raw Data'!Q468),".",IF(LEN(MONTH('Raw Data'!Q468))=2,MONTH('Raw Data'!Q468),CONCATENATE(MONTH('Raw Data'!Q468)))),CONCATENATE(MONTH('Raw Data'!Q468),".",RIGHT(YEAR('Raw Data'!Q468),2))),'Raw Data'!Q468))</f>
        <v>7.7</v>
      </c>
    </row>
    <row r="469" spans="1:17">
      <c r="A469" t="s">
        <v>556</v>
      </c>
      <c r="B469" t="s">
        <v>34</v>
      </c>
      <c r="C469" t="s">
        <v>35</v>
      </c>
      <c r="D469" t="s">
        <v>27</v>
      </c>
      <c r="E469" t="s">
        <v>30</v>
      </c>
      <c r="F469" t="s">
        <v>38</v>
      </c>
      <c r="G469">
        <f>VALUE(IF(AND(ISERR(FIND(".",'Raw Data'!G469)),LEN('Raw Data'!G469)=5), IF(YEAR('Raw Data'!G469)=2026,CONCATENATE(DAY('Raw Data'!G469),".",IF(LEN(MONTH('Raw Data'!G469))=2,MONTH('Raw Data'!G469),CONCATENATE("0",MONTH('Raw Data'!G469)))),CONCATENATE(MONTH('Raw Data'!G469),".",RIGHT(YEAR('Raw Data'!G469),2))),'Raw Data'!G469))</f>
        <v>37.020000000000003</v>
      </c>
      <c r="H469">
        <f>'Raw Data'!H469</f>
        <v>6</v>
      </c>
      <c r="I469" s="6">
        <f t="shared" si="21"/>
        <v>11.105999999999995</v>
      </c>
      <c r="J469" s="6">
        <f>'Raw Data'!J469</f>
        <v>233.226</v>
      </c>
      <c r="K469" s="1">
        <f>VALUE(IFERROR(VALUE('Raw Data'!K469),CONCATENATE(MID('Raw Data'!K469,3,2),".","0",LEFT('Raw Data'!K469,1),".", RIGHT('Raw Data'!K469,4))))</f>
        <v>43546</v>
      </c>
      <c r="L469" s="2">
        <f>'Raw Data'!L469</f>
        <v>0.7729166666666667</v>
      </c>
      <c r="M469" t="s">
        <v>29</v>
      </c>
      <c r="N469">
        <f>VALUE(IF(AND(ISERR(FIND(".",'Raw Data'!N469)),LEN('Raw Data'!N469)=5), IF(YEAR('Raw Data'!N469)=2026,CONCATENATE(DAY('Raw Data'!N469),".",IF(LEN(MONTH('Raw Data'!N469))=2,MONTH('Raw Data'!N469),CONCATENATE("0",MONTH('Raw Data'!N469)))),CONCATENATE(MONTH('Raw Data'!N469),".",RIGHT(YEAR('Raw Data'!N469),2))),'Raw Data'!N469))</f>
        <v>222.12</v>
      </c>
      <c r="O469" s="6">
        <f t="shared" si="22"/>
        <v>4.7619047619047592</v>
      </c>
      <c r="P469" s="6">
        <f t="shared" si="23"/>
        <v>11.105999999999995</v>
      </c>
      <c r="Q469">
        <f>VALUE(IF(AND(ISERR(FIND(".",'Raw Data'!Q469)),LEN('Raw Data'!Q469)=5), IF(YEAR('Raw Data'!Q469)=2026,CONCATENATE(DAY('Raw Data'!Q469),".",IF(LEN(MONTH('Raw Data'!Q469))=2,MONTH('Raw Data'!Q469),CONCATENATE(MONTH('Raw Data'!Q469)))),CONCATENATE(MONTH('Raw Data'!Q469),".",RIGHT(YEAR('Raw Data'!Q469),2))),'Raw Data'!Q469))</f>
        <v>4.5</v>
      </c>
    </row>
    <row r="470" spans="1:17">
      <c r="A470" t="s">
        <v>557</v>
      </c>
      <c r="B470" t="s">
        <v>25</v>
      </c>
      <c r="C470" t="s">
        <v>26</v>
      </c>
      <c r="D470" t="s">
        <v>27</v>
      </c>
      <c r="E470" t="s">
        <v>30</v>
      </c>
      <c r="F470" t="s">
        <v>40</v>
      </c>
      <c r="G470">
        <f>VALUE(IF(AND(ISERR(FIND(".",'Raw Data'!G470)),LEN('Raw Data'!G470)=5), IF(YEAR('Raw Data'!G470)=2026,CONCATENATE(DAY('Raw Data'!G470),".",IF(LEN(MONTH('Raw Data'!G470))=2,MONTH('Raw Data'!G470),CONCATENATE("0",MONTH('Raw Data'!G470)))),CONCATENATE(MONTH('Raw Data'!G470),".",RIGHT(YEAR('Raw Data'!G470),2))),'Raw Data'!G470))</f>
        <v>21.58</v>
      </c>
      <c r="H470">
        <f>'Raw Data'!H470</f>
        <v>1</v>
      </c>
      <c r="I470" s="6">
        <f t="shared" si="21"/>
        <v>1.0790000000000006</v>
      </c>
      <c r="J470" s="6">
        <f>'Raw Data'!J470</f>
        <v>22.658999999999999</v>
      </c>
      <c r="K470" s="1">
        <f>VALUE(IFERROR(VALUE('Raw Data'!K470),CONCATENATE(MID('Raw Data'!K470,3,2),".","0",LEFT('Raw Data'!K470,1),".", RIGHT('Raw Data'!K470,4))))</f>
        <v>43710</v>
      </c>
      <c r="L470" s="2">
        <f>'Raw Data'!L470</f>
        <v>0.41805555555555557</v>
      </c>
      <c r="M470" t="s">
        <v>23</v>
      </c>
      <c r="N470">
        <f>VALUE(IF(AND(ISERR(FIND(".",'Raw Data'!N470)),LEN('Raw Data'!N470)=5), IF(YEAR('Raw Data'!N470)=2026,CONCATENATE(DAY('Raw Data'!N470),".",IF(LEN(MONTH('Raw Data'!N470))=2,MONTH('Raw Data'!N470),CONCATENATE("0",MONTH('Raw Data'!N470)))),CONCATENATE(MONTH('Raw Data'!N470),".",RIGHT(YEAR('Raw Data'!N470),2))),'Raw Data'!N470))</f>
        <v>21.58</v>
      </c>
      <c r="O470" s="6">
        <f t="shared" si="22"/>
        <v>4.7619047619047654</v>
      </c>
      <c r="P470" s="6">
        <f t="shared" si="23"/>
        <v>1.0790000000000006</v>
      </c>
      <c r="Q470">
        <f>VALUE(IF(AND(ISERR(FIND(".",'Raw Data'!Q470)),LEN('Raw Data'!Q470)=5), IF(YEAR('Raw Data'!Q470)=2026,CONCATENATE(DAY('Raw Data'!Q470),".",IF(LEN(MONTH('Raw Data'!Q470))=2,MONTH('Raw Data'!Q470),CONCATENATE(MONTH('Raw Data'!Q470)))),CONCATENATE(MONTH('Raw Data'!Q470),".",RIGHT(YEAR('Raw Data'!Q470),2))),'Raw Data'!Q470))</f>
        <v>7.2</v>
      </c>
    </row>
    <row r="471" spans="1:17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f>VALUE(IF(AND(ISERR(FIND(".",'Raw Data'!G471)),LEN('Raw Data'!G471)=5), IF(YEAR('Raw Data'!G471)=2026,CONCATENATE(DAY('Raw Data'!G471),".",IF(LEN(MONTH('Raw Data'!G471))=2,MONTH('Raw Data'!G471),CONCATENATE("0",MONTH('Raw Data'!G471)))),CONCATENATE(MONTH('Raw Data'!G471),".",RIGHT(YEAR('Raw Data'!G471),2))),'Raw Data'!G471))</f>
        <v>98.84</v>
      </c>
      <c r="H471">
        <f>'Raw Data'!H471</f>
        <v>1</v>
      </c>
      <c r="I471" s="6">
        <f t="shared" si="21"/>
        <v>4.9419999999999931</v>
      </c>
      <c r="J471" s="6">
        <f>'Raw Data'!J471</f>
        <v>103.782</v>
      </c>
      <c r="K471" s="1">
        <f>VALUE(IFERROR(VALUE('Raw Data'!K471),CONCATENATE(MID('Raw Data'!K471,3,2),".","0",LEFT('Raw Data'!K471,1),".", RIGHT('Raw Data'!K471,4))))</f>
        <v>43511</v>
      </c>
      <c r="L471" s="2">
        <f>'Raw Data'!L471</f>
        <v>0.47291666666666665</v>
      </c>
      <c r="M471" t="s">
        <v>29</v>
      </c>
      <c r="N471">
        <f>VALUE(IF(AND(ISERR(FIND(".",'Raw Data'!N471)),LEN('Raw Data'!N471)=5), IF(YEAR('Raw Data'!N471)=2026,CONCATENATE(DAY('Raw Data'!N471),".",IF(LEN(MONTH('Raw Data'!N471))=2,MONTH('Raw Data'!N471),CONCATENATE("0",MONTH('Raw Data'!N471)))),CONCATENATE(MONTH('Raw Data'!N471),".",RIGHT(YEAR('Raw Data'!N471),2))),'Raw Data'!N471))</f>
        <v>98.84</v>
      </c>
      <c r="O471" s="6">
        <f t="shared" si="22"/>
        <v>4.7619047619047556</v>
      </c>
      <c r="P471" s="6">
        <f t="shared" si="23"/>
        <v>4.9419999999999931</v>
      </c>
      <c r="Q471">
        <f>VALUE(IF(AND(ISERR(FIND(".",'Raw Data'!Q471)),LEN('Raw Data'!Q471)=5), IF(YEAR('Raw Data'!Q471)=2026,CONCATENATE(DAY('Raw Data'!Q471),".",IF(LEN(MONTH('Raw Data'!Q471))=2,MONTH('Raw Data'!Q471),CONCATENATE(MONTH('Raw Data'!Q471)))),CONCATENATE(MONTH('Raw Data'!Q471),".",RIGHT(YEAR('Raw Data'!Q471),2))),'Raw Data'!Q471))</f>
        <v>8.4</v>
      </c>
    </row>
    <row r="472" spans="1:17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f>VALUE(IF(AND(ISERR(FIND(".",'Raw Data'!G472)),LEN('Raw Data'!G472)=5), IF(YEAR('Raw Data'!G472)=2026,CONCATENATE(DAY('Raw Data'!G472),".",IF(LEN(MONTH('Raw Data'!G472))=2,MONTH('Raw Data'!G472),CONCATENATE("0",MONTH('Raw Data'!G472)))),CONCATENATE(MONTH('Raw Data'!G472),".",RIGHT(YEAR('Raw Data'!G472),2))),'Raw Data'!G472))</f>
        <v>83.77</v>
      </c>
      <c r="H472">
        <f>'Raw Data'!H472</f>
        <v>6</v>
      </c>
      <c r="I472" s="6">
        <f t="shared" si="21"/>
        <v>25.130999999999972</v>
      </c>
      <c r="J472" s="6">
        <f>'Raw Data'!J472</f>
        <v>527.75099999999998</v>
      </c>
      <c r="K472" s="1">
        <f>VALUE(IFERROR(VALUE('Raw Data'!K472),CONCATENATE(MID('Raw Data'!K472,3,2),".","0",LEFT('Raw Data'!K472,1),".", RIGHT('Raw Data'!K472,4))))</f>
        <v>43488</v>
      </c>
      <c r="L472" s="2">
        <f>'Raw Data'!L472</f>
        <v>0.50694444444444442</v>
      </c>
      <c r="M472" t="s">
        <v>23</v>
      </c>
      <c r="N472">
        <f>VALUE(IF(AND(ISERR(FIND(".",'Raw Data'!N472)),LEN('Raw Data'!N472)=5), IF(YEAR('Raw Data'!N472)=2026,CONCATENATE(DAY('Raw Data'!N472),".",IF(LEN(MONTH('Raw Data'!N472))=2,MONTH('Raw Data'!N472),CONCATENATE("0",MONTH('Raw Data'!N472)))),CONCATENATE(MONTH('Raw Data'!N472),".",RIGHT(YEAR('Raw Data'!N472),2))),'Raw Data'!N472))</f>
        <v>502.62</v>
      </c>
      <c r="O472" s="6">
        <f t="shared" si="22"/>
        <v>4.7619047619047565</v>
      </c>
      <c r="P472" s="6">
        <f t="shared" si="23"/>
        <v>25.130999999999972</v>
      </c>
      <c r="Q472">
        <f>VALUE(IF(AND(ISERR(FIND(".",'Raw Data'!Q472)),LEN('Raw Data'!Q472)=5), IF(YEAR('Raw Data'!Q472)=2026,CONCATENATE(DAY('Raw Data'!Q472),".",IF(LEN(MONTH('Raw Data'!Q472))=2,MONTH('Raw Data'!Q472),CONCATENATE(MONTH('Raw Data'!Q472)))),CONCATENATE(MONTH('Raw Data'!Q472),".",RIGHT(YEAR('Raw Data'!Q472),2))),'Raw Data'!Q472))</f>
        <v>5.4</v>
      </c>
    </row>
    <row r="473" spans="1:17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38</v>
      </c>
      <c r="G473">
        <f>VALUE(IF(AND(ISERR(FIND(".",'Raw Data'!G473)),LEN('Raw Data'!G473)=5), IF(YEAR('Raw Data'!G473)=2026,CONCATENATE(DAY('Raw Data'!G473),".",IF(LEN(MONTH('Raw Data'!G473))=2,MONTH('Raw Data'!G473),CONCATENATE("0",MONTH('Raw Data'!G473)))),CONCATENATE(MONTH('Raw Data'!G473),".",RIGHT(YEAR('Raw Data'!G473),2))),'Raw Data'!G473))</f>
        <v>40.049999999999997</v>
      </c>
      <c r="H473">
        <f>'Raw Data'!H473</f>
        <v>4</v>
      </c>
      <c r="I473" s="6">
        <f t="shared" si="21"/>
        <v>8.0100000000000193</v>
      </c>
      <c r="J473" s="6">
        <f>'Raw Data'!J473</f>
        <v>168.21</v>
      </c>
      <c r="K473" s="1">
        <f>VALUE(IFERROR(VALUE('Raw Data'!K473),CONCATENATE(MID('Raw Data'!K473,3,2),".","0",LEFT('Raw Data'!K473,1),".", RIGHT('Raw Data'!K473,4))))</f>
        <v>43490</v>
      </c>
      <c r="L473" s="2">
        <f>'Raw Data'!L473</f>
        <v>0.4861111111111111</v>
      </c>
      <c r="M473" t="s">
        <v>29</v>
      </c>
      <c r="N473">
        <f>VALUE(IF(AND(ISERR(FIND(".",'Raw Data'!N473)),LEN('Raw Data'!N473)=5), IF(YEAR('Raw Data'!N473)=2026,CONCATENATE(DAY('Raw Data'!N473),".",IF(LEN(MONTH('Raw Data'!N473))=2,MONTH('Raw Data'!N473),CONCATENATE("0",MONTH('Raw Data'!N473)))),CONCATENATE(MONTH('Raw Data'!N473),".",RIGHT(YEAR('Raw Data'!N473),2))),'Raw Data'!N473))</f>
        <v>160.19999999999999</v>
      </c>
      <c r="O473" s="6">
        <f t="shared" si="22"/>
        <v>4.7619047619047734</v>
      </c>
      <c r="P473" s="6">
        <f t="shared" si="23"/>
        <v>8.0100000000000193</v>
      </c>
      <c r="Q473">
        <f>VALUE(IF(AND(ISERR(FIND(".",'Raw Data'!Q473)),LEN('Raw Data'!Q473)=5), IF(YEAR('Raw Data'!Q473)=2026,CONCATENATE(DAY('Raw Data'!Q473),".",IF(LEN(MONTH('Raw Data'!Q473))=2,MONTH('Raw Data'!Q473),CONCATENATE(MONTH('Raw Data'!Q473)))),CONCATENATE(MONTH('Raw Data'!Q473),".",RIGHT(YEAR('Raw Data'!Q473),2))),'Raw Data'!Q473))</f>
        <v>9.6999999999999993</v>
      </c>
    </row>
    <row r="474" spans="1:17">
      <c r="A474" t="s">
        <v>561</v>
      </c>
      <c r="B474" t="s">
        <v>18</v>
      </c>
      <c r="C474" t="s">
        <v>19</v>
      </c>
      <c r="D474" t="s">
        <v>20</v>
      </c>
      <c r="E474" t="s">
        <v>30</v>
      </c>
      <c r="F474" t="s">
        <v>43</v>
      </c>
      <c r="G474">
        <f>VALUE(IF(AND(ISERR(FIND(".",'Raw Data'!G474)),LEN('Raw Data'!G474)=5), IF(YEAR('Raw Data'!G474)=2026,CONCATENATE(DAY('Raw Data'!G474),".",IF(LEN(MONTH('Raw Data'!G474))=2,MONTH('Raw Data'!G474),CONCATENATE("0",MONTH('Raw Data'!G474)))),CONCATENATE(MONTH('Raw Data'!G474),".",RIGHT(YEAR('Raw Data'!G474),2))),'Raw Data'!G474))</f>
        <v>43.13</v>
      </c>
      <c r="H474">
        <f>'Raw Data'!H474</f>
        <v>10</v>
      </c>
      <c r="I474" s="6">
        <f t="shared" si="21"/>
        <v>21.564999999999998</v>
      </c>
      <c r="J474" s="6">
        <f>'Raw Data'!J474</f>
        <v>452.86500000000001</v>
      </c>
      <c r="K474" s="1">
        <f>VALUE(IFERROR(VALUE('Raw Data'!K474),CONCATENATE(MID('Raw Data'!K474,3,2),".","0",LEFT('Raw Data'!K474,1),".", RIGHT('Raw Data'!K474,4))))</f>
        <v>43498</v>
      </c>
      <c r="L474" s="2">
        <f>'Raw Data'!L474</f>
        <v>0.7715277777777777</v>
      </c>
      <c r="M474" t="s">
        <v>33</v>
      </c>
      <c r="N474">
        <f>VALUE(IF(AND(ISERR(FIND(".",'Raw Data'!N474)),LEN('Raw Data'!N474)=5), IF(YEAR('Raw Data'!N474)=2026,CONCATENATE(DAY('Raw Data'!N474),".",IF(LEN(MONTH('Raw Data'!N474))=2,MONTH('Raw Data'!N474),CONCATENATE("0",MONTH('Raw Data'!N474)))),CONCATENATE(MONTH('Raw Data'!N474),".",RIGHT(YEAR('Raw Data'!N474),2))),'Raw Data'!N474))</f>
        <v>431.3</v>
      </c>
      <c r="O474" s="6">
        <f t="shared" si="22"/>
        <v>4.7619047619047619</v>
      </c>
      <c r="P474" s="6">
        <f t="shared" si="23"/>
        <v>21.564999999999998</v>
      </c>
      <c r="Q474">
        <f>VALUE(IF(AND(ISERR(FIND(".",'Raw Data'!Q474)),LEN('Raw Data'!Q474)=5), IF(YEAR('Raw Data'!Q474)=2026,CONCATENATE(DAY('Raw Data'!Q474),".",IF(LEN(MONTH('Raw Data'!Q474))=2,MONTH('Raw Data'!Q474),CONCATENATE(MONTH('Raw Data'!Q474)))),CONCATENATE(MONTH('Raw Data'!Q474),".",RIGHT(YEAR('Raw Data'!Q474),2))),'Raw Data'!Q474))</f>
        <v>5.5</v>
      </c>
    </row>
    <row r="475" spans="1:17">
      <c r="A475" t="s">
        <v>562</v>
      </c>
      <c r="B475" t="s">
        <v>34</v>
      </c>
      <c r="C475" t="s">
        <v>35</v>
      </c>
      <c r="D475" t="s">
        <v>20</v>
      </c>
      <c r="E475" t="s">
        <v>30</v>
      </c>
      <c r="F475" t="s">
        <v>22</v>
      </c>
      <c r="G475">
        <f>VALUE(IF(AND(ISERR(FIND(".",'Raw Data'!G475)),LEN('Raw Data'!G475)=5), IF(YEAR('Raw Data'!G475)=2026,CONCATENATE(DAY('Raw Data'!G475),".",IF(LEN(MONTH('Raw Data'!G475))=2,MONTH('Raw Data'!G475),CONCATENATE("0",MONTH('Raw Data'!G475)))),CONCATENATE(MONTH('Raw Data'!G475),".",RIGHT(YEAR('Raw Data'!G475),2))),'Raw Data'!G475))</f>
        <v>72.569999999999993</v>
      </c>
      <c r="H475">
        <f>'Raw Data'!H475</f>
        <v>8</v>
      </c>
      <c r="I475" s="6">
        <f t="shared" si="21"/>
        <v>29.02800000000002</v>
      </c>
      <c r="J475" s="6">
        <f>'Raw Data'!J475</f>
        <v>609.58799999999997</v>
      </c>
      <c r="K475" s="1">
        <f>VALUE(IFERROR(VALUE('Raw Data'!K475),CONCATENATE(MID('Raw Data'!K475,3,2),".","0",LEFT('Raw Data'!K475,1),".", RIGHT('Raw Data'!K475,4))))</f>
        <v>43554</v>
      </c>
      <c r="L475" s="2">
        <f>'Raw Data'!L475</f>
        <v>0.74861111111111101</v>
      </c>
      <c r="M475" t="s">
        <v>29</v>
      </c>
      <c r="N475">
        <f>VALUE(IF(AND(ISERR(FIND(".",'Raw Data'!N475)),LEN('Raw Data'!N475)=5), IF(YEAR('Raw Data'!N475)=2026,CONCATENATE(DAY('Raw Data'!N475),".",IF(LEN(MONTH('Raw Data'!N475))=2,MONTH('Raw Data'!N475),CONCATENATE("0",MONTH('Raw Data'!N475)))),CONCATENATE(MONTH('Raw Data'!N475),".",RIGHT(YEAR('Raw Data'!N475),2))),'Raw Data'!N475))</f>
        <v>580.55999999999995</v>
      </c>
      <c r="O475" s="6">
        <f t="shared" si="22"/>
        <v>4.7619047619047654</v>
      </c>
      <c r="P475" s="6">
        <f t="shared" si="23"/>
        <v>29.02800000000002</v>
      </c>
      <c r="Q475">
        <f>VALUE(IF(AND(ISERR(FIND(".",'Raw Data'!Q475)),LEN('Raw Data'!Q475)=5), IF(YEAR('Raw Data'!Q475)=2026,CONCATENATE(DAY('Raw Data'!Q475),".",IF(LEN(MONTH('Raw Data'!Q475))=2,MONTH('Raw Data'!Q475),CONCATENATE(MONTH('Raw Data'!Q475)))),CONCATENATE(MONTH('Raw Data'!Q475),".",RIGHT(YEAR('Raw Data'!Q475),2))),'Raw Data'!Q475))</f>
        <v>4.5999999999999996</v>
      </c>
    </row>
    <row r="476" spans="1:17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f>VALUE(IF(AND(ISERR(FIND(".",'Raw Data'!G476)),LEN('Raw Data'!G476)=5), IF(YEAR('Raw Data'!G476)=2026,CONCATENATE(DAY('Raw Data'!G476),".",IF(LEN(MONTH('Raw Data'!G476))=2,MONTH('Raw Data'!G476),CONCATENATE("0",MONTH('Raw Data'!G476)))),CONCATENATE(MONTH('Raw Data'!G476),".",RIGHT(YEAR('Raw Data'!G476),2))),'Raw Data'!G476))</f>
        <v>64.44</v>
      </c>
      <c r="H476">
        <f>'Raw Data'!H476</f>
        <v>5</v>
      </c>
      <c r="I476" s="6">
        <f t="shared" si="21"/>
        <v>16.110000000000014</v>
      </c>
      <c r="J476" s="6">
        <f>'Raw Data'!J476</f>
        <v>338.31</v>
      </c>
      <c r="K476" s="1">
        <f>VALUE(IFERROR(VALUE('Raw Data'!K476),CONCATENATE(MID('Raw Data'!K476,3,2),".","0",LEFT('Raw Data'!K476,1),".", RIGHT('Raw Data'!K476,4))))</f>
        <v>43554</v>
      </c>
      <c r="L476" s="2">
        <f>'Raw Data'!L476</f>
        <v>0.71111111111111114</v>
      </c>
      <c r="M476" t="s">
        <v>29</v>
      </c>
      <c r="N476">
        <f>VALUE(IF(AND(ISERR(FIND(".",'Raw Data'!N476)),LEN('Raw Data'!N476)=5), IF(YEAR('Raw Data'!N476)=2026,CONCATENATE(DAY('Raw Data'!N476),".",IF(LEN(MONTH('Raw Data'!N476))=2,MONTH('Raw Data'!N476),CONCATENATE("0",MONTH('Raw Data'!N476)))),CONCATENATE(MONTH('Raw Data'!N476),".",RIGHT(YEAR('Raw Data'!N476),2))),'Raw Data'!N476))</f>
        <v>322.2</v>
      </c>
      <c r="O476" s="6">
        <f t="shared" si="22"/>
        <v>4.7619047619047654</v>
      </c>
      <c r="P476" s="6">
        <f t="shared" si="23"/>
        <v>16.110000000000014</v>
      </c>
      <c r="Q476">
        <f>VALUE(IF(AND(ISERR(FIND(".",'Raw Data'!Q476)),LEN('Raw Data'!Q476)=5), IF(YEAR('Raw Data'!Q476)=2026,CONCATENATE(DAY('Raw Data'!Q476),".",IF(LEN(MONTH('Raw Data'!Q476))=2,MONTH('Raw Data'!Q476),CONCATENATE(MONTH('Raw Data'!Q476)))),CONCATENATE(MONTH('Raw Data'!Q476),".",RIGHT(YEAR('Raw Data'!Q476),2))),'Raw Data'!Q476))</f>
        <v>6.6</v>
      </c>
    </row>
    <row r="477" spans="1:17">
      <c r="A477" t="s">
        <v>564</v>
      </c>
      <c r="B477" t="s">
        <v>18</v>
      </c>
      <c r="C477" t="s">
        <v>19</v>
      </c>
      <c r="D477" t="s">
        <v>27</v>
      </c>
      <c r="E477" t="s">
        <v>30</v>
      </c>
      <c r="F477" t="s">
        <v>22</v>
      </c>
      <c r="G477">
        <f>VALUE(IF(AND(ISERR(FIND(".",'Raw Data'!G477)),LEN('Raw Data'!G477)=5), IF(YEAR('Raw Data'!G477)=2026,CONCATENATE(DAY('Raw Data'!G477),".",IF(LEN(MONTH('Raw Data'!G477))=2,MONTH('Raw Data'!G477),CONCATENATE("0",MONTH('Raw Data'!G477)))),CONCATENATE(MONTH('Raw Data'!G477),".",RIGHT(YEAR('Raw Data'!G477),2))),'Raw Data'!G477))</f>
        <v>65.180000000000007</v>
      </c>
      <c r="H477">
        <f>'Raw Data'!H477</f>
        <v>3</v>
      </c>
      <c r="I477" s="6">
        <f t="shared" si="21"/>
        <v>9.7769999999999868</v>
      </c>
      <c r="J477" s="6">
        <f>'Raw Data'!J477</f>
        <v>205.31700000000001</v>
      </c>
      <c r="K477" s="1">
        <f>VALUE(IFERROR(VALUE('Raw Data'!K477),CONCATENATE(MID('Raw Data'!K477,3,2),".","0",LEFT('Raw Data'!K477,1),".", RIGHT('Raw Data'!K477,4))))</f>
        <v>43521</v>
      </c>
      <c r="L477" s="2">
        <f>'Raw Data'!L477</f>
        <v>0.85763888888888884</v>
      </c>
      <c r="M477" t="s">
        <v>33</v>
      </c>
      <c r="N477">
        <f>VALUE(IF(AND(ISERR(FIND(".",'Raw Data'!N477)),LEN('Raw Data'!N477)=5), IF(YEAR('Raw Data'!N477)=2026,CONCATENATE(DAY('Raw Data'!N477),".",IF(LEN(MONTH('Raw Data'!N477))=2,MONTH('Raw Data'!N477),CONCATENATE("0",MONTH('Raw Data'!N477)))),CONCATENATE(MONTH('Raw Data'!N477),".",RIGHT(YEAR('Raw Data'!N477),2))),'Raw Data'!N477))</f>
        <v>195.54</v>
      </c>
      <c r="O477" s="6">
        <f t="shared" si="22"/>
        <v>4.761904761904769</v>
      </c>
      <c r="P477" s="6">
        <f t="shared" si="23"/>
        <v>9.7770000000000152</v>
      </c>
      <c r="Q477">
        <f>VALUE(IF(AND(ISERR(FIND(".",'Raw Data'!Q477)),LEN('Raw Data'!Q477)=5), IF(YEAR('Raw Data'!Q477)=2026,CONCATENATE(DAY('Raw Data'!Q477),".",IF(LEN(MONTH('Raw Data'!Q477))=2,MONTH('Raw Data'!Q477),CONCATENATE(MONTH('Raw Data'!Q477)))),CONCATENATE(MONTH('Raw Data'!Q477),".",RIGHT(YEAR('Raw Data'!Q477),2))),'Raw Data'!Q477))</f>
        <v>6.3</v>
      </c>
    </row>
    <row r="478" spans="1:17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38</v>
      </c>
      <c r="G478">
        <f>VALUE(IF(AND(ISERR(FIND(".",'Raw Data'!G478)),LEN('Raw Data'!G478)=5), IF(YEAR('Raw Data'!G478)=2026,CONCATENATE(DAY('Raw Data'!G478),".",IF(LEN(MONTH('Raw Data'!G478))=2,MONTH('Raw Data'!G478),CONCATENATE("0",MONTH('Raw Data'!G478)))),CONCATENATE(MONTH('Raw Data'!G478),".",RIGHT(YEAR('Raw Data'!G478),2))),'Raw Data'!G478))</f>
        <v>33.26</v>
      </c>
      <c r="H478">
        <f>'Raw Data'!H478</f>
        <v>5</v>
      </c>
      <c r="I478" s="6">
        <f t="shared" si="21"/>
        <v>8.3150000000000261</v>
      </c>
      <c r="J478" s="6">
        <f>'Raw Data'!J478</f>
        <v>174.61500000000001</v>
      </c>
      <c r="K478" s="1">
        <f>VALUE(IFERROR(VALUE('Raw Data'!K478),CONCATENATE(MID('Raw Data'!K478,3,2),".","0",LEFT('Raw Data'!K478,1),".", RIGHT('Raw Data'!K478,4))))</f>
        <v>43542</v>
      </c>
      <c r="L478" s="2">
        <f>'Raw Data'!L478</f>
        <v>0.67361111111111116</v>
      </c>
      <c r="M478" t="s">
        <v>33</v>
      </c>
      <c r="N478">
        <f>VALUE(IF(AND(ISERR(FIND(".",'Raw Data'!N478)),LEN('Raw Data'!N478)=5), IF(YEAR('Raw Data'!N478)=2026,CONCATENATE(DAY('Raw Data'!N478),".",IF(LEN(MONTH('Raw Data'!N478))=2,MONTH('Raw Data'!N478),CONCATENATE("0",MONTH('Raw Data'!N478)))),CONCATENATE(MONTH('Raw Data'!N478),".",RIGHT(YEAR('Raw Data'!N478),2))),'Raw Data'!N478))</f>
        <v>166.3</v>
      </c>
      <c r="O478" s="6">
        <f t="shared" si="22"/>
        <v>4.7619047619047601</v>
      </c>
      <c r="P478" s="6">
        <f t="shared" si="23"/>
        <v>8.3149999999999977</v>
      </c>
      <c r="Q478">
        <f>VALUE(IF(AND(ISERR(FIND(".",'Raw Data'!Q478)),LEN('Raw Data'!Q478)=5), IF(YEAR('Raw Data'!Q478)=2026,CONCATENATE(DAY('Raw Data'!Q478),".",IF(LEN(MONTH('Raw Data'!Q478))=2,MONTH('Raw Data'!Q478),CONCATENATE(MONTH('Raw Data'!Q478)))),CONCATENATE(MONTH('Raw Data'!Q478),".",RIGHT(YEAR('Raw Data'!Q478),2))),'Raw Data'!Q478))</f>
        <v>4.2</v>
      </c>
    </row>
    <row r="479" spans="1:17">
      <c r="A479" t="s">
        <v>566</v>
      </c>
      <c r="B479" t="s">
        <v>25</v>
      </c>
      <c r="C479" t="s">
        <v>26</v>
      </c>
      <c r="D479" t="s">
        <v>27</v>
      </c>
      <c r="E479" t="s">
        <v>30</v>
      </c>
      <c r="F479" t="s">
        <v>28</v>
      </c>
      <c r="G479">
        <f>VALUE(IF(AND(ISERR(FIND(".",'Raw Data'!G479)),LEN('Raw Data'!G479)=5), IF(YEAR('Raw Data'!G479)=2026,CONCATENATE(DAY('Raw Data'!G479),".",IF(LEN(MONTH('Raw Data'!G479))=2,MONTH('Raw Data'!G479),CONCATENATE("0",MONTH('Raw Data'!G479)))),CONCATENATE(MONTH('Raw Data'!G479),".",RIGHT(YEAR('Raw Data'!G479),2))),'Raw Data'!G479))</f>
        <v>84.07</v>
      </c>
      <c r="H479">
        <f>'Raw Data'!H479</f>
        <v>4</v>
      </c>
      <c r="I479" s="6">
        <f t="shared" si="21"/>
        <v>16.814000000000021</v>
      </c>
      <c r="J479" s="6">
        <f>'Raw Data'!J479</f>
        <v>353.09399999999999</v>
      </c>
      <c r="K479" s="1">
        <f>VALUE(IFERROR(VALUE('Raw Data'!K479),CONCATENATE(MID('Raw Data'!K479,3,2),".","0",LEFT('Raw Data'!K479,1),".", RIGHT('Raw Data'!K479,4))))</f>
        <v>43649</v>
      </c>
      <c r="L479" s="2">
        <f>'Raw Data'!L479</f>
        <v>0.70416666666666661</v>
      </c>
      <c r="M479" t="s">
        <v>23</v>
      </c>
      <c r="N479">
        <f>VALUE(IF(AND(ISERR(FIND(".",'Raw Data'!N479)),LEN('Raw Data'!N479)=5), IF(YEAR('Raw Data'!N479)=2026,CONCATENATE(DAY('Raw Data'!N479),".",IF(LEN(MONTH('Raw Data'!N479))=2,MONTH('Raw Data'!N479),CONCATENATE("0",MONTH('Raw Data'!N479)))),CONCATENATE(MONTH('Raw Data'!N479),".",RIGHT(YEAR('Raw Data'!N479),2))),'Raw Data'!N479))</f>
        <v>336.28</v>
      </c>
      <c r="O479" s="6">
        <f t="shared" si="22"/>
        <v>4.7619047619047681</v>
      </c>
      <c r="P479" s="6">
        <f t="shared" si="23"/>
        <v>16.814000000000021</v>
      </c>
      <c r="Q479">
        <f>VALUE(IF(AND(ISERR(FIND(".",'Raw Data'!Q479)),LEN('Raw Data'!Q479)=5), IF(YEAR('Raw Data'!Q479)=2026,CONCATENATE(DAY('Raw Data'!Q479),".",IF(LEN(MONTH('Raw Data'!Q479))=2,MONTH('Raw Data'!Q479),CONCATENATE(MONTH('Raw Data'!Q479)))),CONCATENATE(MONTH('Raw Data'!Q479),".",RIGHT(YEAR('Raw Data'!Q479),2))),'Raw Data'!Q479))</f>
        <v>4.4000000000000004</v>
      </c>
    </row>
    <row r="480" spans="1:17">
      <c r="A480" t="s">
        <v>567</v>
      </c>
      <c r="B480" t="s">
        <v>34</v>
      </c>
      <c r="C480" t="s">
        <v>35</v>
      </c>
      <c r="D480" t="s">
        <v>27</v>
      </c>
      <c r="E480" t="s">
        <v>30</v>
      </c>
      <c r="F480" t="s">
        <v>38</v>
      </c>
      <c r="G480">
        <f>VALUE(IF(AND(ISERR(FIND(".",'Raw Data'!G480)),LEN('Raw Data'!G480)=5), IF(YEAR('Raw Data'!G480)=2026,CONCATENATE(DAY('Raw Data'!G480),".",IF(LEN(MONTH('Raw Data'!G480))=2,MONTH('Raw Data'!G480),CONCATENATE("0",MONTH('Raw Data'!G480)))),CONCATENATE(MONTH('Raw Data'!G480),".",RIGHT(YEAR('Raw Data'!G480),2))),'Raw Data'!G480))</f>
        <v>34.369999999999997</v>
      </c>
      <c r="H480">
        <f>'Raw Data'!H480</f>
        <v>10</v>
      </c>
      <c r="I480" s="6">
        <f t="shared" si="21"/>
        <v>17.185000000000002</v>
      </c>
      <c r="J480" s="6">
        <f>'Raw Data'!J480</f>
        <v>360.88499999999999</v>
      </c>
      <c r="K480" s="1">
        <f>VALUE(IFERROR(VALUE('Raw Data'!K480),CONCATENATE(MID('Raw Data'!K480,3,2),".","0",LEFT('Raw Data'!K480,1),".", RIGHT('Raw Data'!K480,4))))</f>
        <v>43540</v>
      </c>
      <c r="L480" s="2">
        <f>'Raw Data'!L480</f>
        <v>0.42430555555555555</v>
      </c>
      <c r="M480" t="s">
        <v>23</v>
      </c>
      <c r="N480">
        <f>VALUE(IF(AND(ISERR(FIND(".",'Raw Data'!N480)),LEN('Raw Data'!N480)=5), IF(YEAR('Raw Data'!N480)=2026,CONCATENATE(DAY('Raw Data'!N480),".",IF(LEN(MONTH('Raw Data'!N480))=2,MONTH('Raw Data'!N480),CONCATENATE("0",MONTH('Raw Data'!N480)))),CONCATENATE(MONTH('Raw Data'!N480),".",RIGHT(YEAR('Raw Data'!N480),2))),'Raw Data'!N480))</f>
        <v>343.7</v>
      </c>
      <c r="O480" s="6">
        <f t="shared" si="22"/>
        <v>4.7619047619047628</v>
      </c>
      <c r="P480" s="6">
        <f t="shared" si="23"/>
        <v>17.185000000000002</v>
      </c>
      <c r="Q480">
        <f>VALUE(IF(AND(ISERR(FIND(".",'Raw Data'!Q480)),LEN('Raw Data'!Q480)=5), IF(YEAR('Raw Data'!Q480)=2026,CONCATENATE(DAY('Raw Data'!Q480),".",IF(LEN(MONTH('Raw Data'!Q480))=2,MONTH('Raw Data'!Q480),CONCATENATE(MONTH('Raw Data'!Q480)))),CONCATENATE(MONTH('Raw Data'!Q480),".",RIGHT(YEAR('Raw Data'!Q480),2))),'Raw Data'!Q480))</f>
        <v>6.7</v>
      </c>
    </row>
    <row r="481" spans="1:17">
      <c r="A481" t="s">
        <v>568</v>
      </c>
      <c r="B481" t="s">
        <v>18</v>
      </c>
      <c r="C481" t="s">
        <v>19</v>
      </c>
      <c r="D481" t="s">
        <v>27</v>
      </c>
      <c r="E481" t="s">
        <v>30</v>
      </c>
      <c r="F481" t="s">
        <v>28</v>
      </c>
      <c r="G481">
        <f>VALUE(IF(AND(ISERR(FIND(".",'Raw Data'!G481)),LEN('Raw Data'!G481)=5), IF(YEAR('Raw Data'!G481)=2026,CONCATENATE(DAY('Raw Data'!G481),".",IF(LEN(MONTH('Raw Data'!G481))=2,MONTH('Raw Data'!G481),CONCATENATE("0",MONTH('Raw Data'!G481)))),CONCATENATE(MONTH('Raw Data'!G481),".",RIGHT(YEAR('Raw Data'!G481),2))),'Raw Data'!G481))</f>
        <v>38.6</v>
      </c>
      <c r="H481">
        <f>'Raw Data'!H481</f>
        <v>1</v>
      </c>
      <c r="I481" s="6">
        <f t="shared" si="21"/>
        <v>1.9299999999999997</v>
      </c>
      <c r="J481" s="6">
        <f>'Raw Data'!J481</f>
        <v>40.53</v>
      </c>
      <c r="K481" s="1">
        <f>VALUE(IFERROR(VALUE('Raw Data'!K481),CONCATENATE(MID('Raw Data'!K481,3,2),".","0",LEFT('Raw Data'!K481,1),".", RIGHT('Raw Data'!K481,4))))</f>
        <v>43494</v>
      </c>
      <c r="L481" s="2">
        <f>'Raw Data'!L481</f>
        <v>0.47638888888888892</v>
      </c>
      <c r="M481" t="s">
        <v>23</v>
      </c>
      <c r="N481">
        <f>VALUE(IF(AND(ISERR(FIND(".",'Raw Data'!N481)),LEN('Raw Data'!N481)=5), IF(YEAR('Raw Data'!N481)=2026,CONCATENATE(DAY('Raw Data'!N481),".",IF(LEN(MONTH('Raw Data'!N481))=2,MONTH('Raw Data'!N481),CONCATENATE("0",MONTH('Raw Data'!N481)))),CONCATENATE(MONTH('Raw Data'!N481),".",RIGHT(YEAR('Raw Data'!N481),2))),'Raw Data'!N481))</f>
        <v>38.6</v>
      </c>
      <c r="O481" s="6">
        <f t="shared" si="22"/>
        <v>4.761904761904761</v>
      </c>
      <c r="P481" s="6">
        <f t="shared" si="23"/>
        <v>1.9299999999999997</v>
      </c>
      <c r="Q481">
        <f>VALUE(IF(AND(ISERR(FIND(".",'Raw Data'!Q481)),LEN('Raw Data'!Q481)=5), IF(YEAR('Raw Data'!Q481)=2026,CONCATENATE(DAY('Raw Data'!Q481),".",IF(LEN(MONTH('Raw Data'!Q481))=2,MONTH('Raw Data'!Q481),CONCATENATE(MONTH('Raw Data'!Q481)))),CONCATENATE(MONTH('Raw Data'!Q481),".",RIGHT(YEAR('Raw Data'!Q481),2))),'Raw Data'!Q481))</f>
        <v>6.7</v>
      </c>
    </row>
    <row r="482" spans="1:17">
      <c r="A482" t="s">
        <v>569</v>
      </c>
      <c r="B482" t="s">
        <v>25</v>
      </c>
      <c r="C482" t="s">
        <v>26</v>
      </c>
      <c r="D482" t="s">
        <v>27</v>
      </c>
      <c r="E482" t="s">
        <v>30</v>
      </c>
      <c r="F482" t="s">
        <v>40</v>
      </c>
      <c r="G482">
        <f>VALUE(IF(AND(ISERR(FIND(".",'Raw Data'!G482)),LEN('Raw Data'!G482)=5), IF(YEAR('Raw Data'!G482)=2026,CONCATENATE(DAY('Raw Data'!G482),".",IF(LEN(MONTH('Raw Data'!G482))=2,MONTH('Raw Data'!G482),CONCATENATE("0",MONTH('Raw Data'!G482)))),CONCATENATE(MONTH('Raw Data'!G482),".",RIGHT(YEAR('Raw Data'!G482),2))),'Raw Data'!G482))</f>
        <v>65.97</v>
      </c>
      <c r="H482">
        <f>'Raw Data'!H482</f>
        <v>8</v>
      </c>
      <c r="I482" s="6">
        <f t="shared" si="21"/>
        <v>26.388000000000034</v>
      </c>
      <c r="J482" s="6">
        <f>'Raw Data'!J482</f>
        <v>554.14800000000002</v>
      </c>
      <c r="K482" s="1">
        <f>VALUE(IFERROR(VALUE('Raw Data'!K482),CONCATENATE(MID('Raw Data'!K482,3,2),".","0",LEFT('Raw Data'!K482,1),".", RIGHT('Raw Data'!K482,4))))</f>
        <v>43498</v>
      </c>
      <c r="L482" s="2">
        <f>'Raw Data'!L482</f>
        <v>0.8534722222222223</v>
      </c>
      <c r="M482" t="s">
        <v>29</v>
      </c>
      <c r="N482">
        <f>VALUE(IF(AND(ISERR(FIND(".",'Raw Data'!N482)),LEN('Raw Data'!N482)=5), IF(YEAR('Raw Data'!N482)=2026,CONCATENATE(DAY('Raw Data'!N482),".",IF(LEN(MONTH('Raw Data'!N482))=2,MONTH('Raw Data'!N482),CONCATENATE("0",MONTH('Raw Data'!N482)))),CONCATENATE(MONTH('Raw Data'!N482),".",RIGHT(YEAR('Raw Data'!N482),2))),'Raw Data'!N482))</f>
        <v>527.76</v>
      </c>
      <c r="O482" s="6">
        <f t="shared" si="22"/>
        <v>4.7619047619047681</v>
      </c>
      <c r="P482" s="6">
        <f t="shared" si="23"/>
        <v>26.388000000000034</v>
      </c>
      <c r="Q482">
        <f>VALUE(IF(AND(ISERR(FIND(".",'Raw Data'!Q482)),LEN('Raw Data'!Q482)=5), IF(YEAR('Raw Data'!Q482)=2026,CONCATENATE(DAY('Raw Data'!Q482),".",IF(LEN(MONTH('Raw Data'!Q482))=2,MONTH('Raw Data'!Q482),CONCATENATE(MONTH('Raw Data'!Q482)))),CONCATENATE(MONTH('Raw Data'!Q482),".",RIGHT(YEAR('Raw Data'!Q482),2))),'Raw Data'!Q482))</f>
        <v>8.4</v>
      </c>
    </row>
    <row r="483" spans="1:17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f>VALUE(IF(AND(ISERR(FIND(".",'Raw Data'!G483)),LEN('Raw Data'!G483)=5), IF(YEAR('Raw Data'!G483)=2026,CONCATENATE(DAY('Raw Data'!G483),".",IF(LEN(MONTH('Raw Data'!G483))=2,MONTH('Raw Data'!G483),CONCATENATE("0",MONTH('Raw Data'!G483)))),CONCATENATE(MONTH('Raw Data'!G483),".",RIGHT(YEAR('Raw Data'!G483),2))),'Raw Data'!G483))</f>
        <v>32.799999999999997</v>
      </c>
      <c r="H483">
        <f>'Raw Data'!H483</f>
        <v>10</v>
      </c>
      <c r="I483" s="6">
        <f t="shared" si="21"/>
        <v>16.399999999999977</v>
      </c>
      <c r="J483" s="6">
        <f>'Raw Data'!J483</f>
        <v>344.4</v>
      </c>
      <c r="K483" s="1">
        <f>VALUE(IFERROR(VALUE('Raw Data'!K483),CONCATENATE(MID('Raw Data'!K483,3,2),".","0",LEFT('Raw Data'!K483,1),".", RIGHT('Raw Data'!K483,4))))</f>
        <v>43511</v>
      </c>
      <c r="L483" s="2">
        <f>'Raw Data'!L483</f>
        <v>0.5083333333333333</v>
      </c>
      <c r="M483" t="s">
        <v>29</v>
      </c>
      <c r="N483">
        <f>VALUE(IF(AND(ISERR(FIND(".",'Raw Data'!N483)),LEN('Raw Data'!N483)=5), IF(YEAR('Raw Data'!N483)=2026,CONCATENATE(DAY('Raw Data'!N483),".",IF(LEN(MONTH('Raw Data'!N483))=2,MONTH('Raw Data'!N483),CONCATENATE("0",MONTH('Raw Data'!N483)))),CONCATENATE(MONTH('Raw Data'!N483),".",RIGHT(YEAR('Raw Data'!N483),2))),'Raw Data'!N483))</f>
        <v>328</v>
      </c>
      <c r="O483" s="6">
        <f t="shared" si="22"/>
        <v>4.7619047619047556</v>
      </c>
      <c r="P483" s="6">
        <f t="shared" si="23"/>
        <v>16.399999999999977</v>
      </c>
      <c r="Q483">
        <f>VALUE(IF(AND(ISERR(FIND(".",'Raw Data'!Q483)),LEN('Raw Data'!Q483)=5), IF(YEAR('Raw Data'!Q483)=2026,CONCATENATE(DAY('Raw Data'!Q483),".",IF(LEN(MONTH('Raw Data'!Q483))=2,MONTH('Raw Data'!Q483),CONCATENATE(MONTH('Raw Data'!Q483)))),CONCATENATE(MONTH('Raw Data'!Q483),".",RIGHT(YEAR('Raw Data'!Q483),2))),'Raw Data'!Q483))</f>
        <v>6.2</v>
      </c>
    </row>
    <row r="484" spans="1:17">
      <c r="A484" t="s">
        <v>571</v>
      </c>
      <c r="B484" t="s">
        <v>18</v>
      </c>
      <c r="C484" t="s">
        <v>19</v>
      </c>
      <c r="D484" t="s">
        <v>27</v>
      </c>
      <c r="E484" t="s">
        <v>30</v>
      </c>
      <c r="F484" t="s">
        <v>38</v>
      </c>
      <c r="G484">
        <f>VALUE(IF(AND(ISERR(FIND(".",'Raw Data'!G484)),LEN('Raw Data'!G484)=5), IF(YEAR('Raw Data'!G484)=2026,CONCATENATE(DAY('Raw Data'!G484),".",IF(LEN(MONTH('Raw Data'!G484))=2,MONTH('Raw Data'!G484),CONCATENATE("0",MONTH('Raw Data'!G484)))),CONCATENATE(MONTH('Raw Data'!G484),".",RIGHT(YEAR('Raw Data'!G484),2))),'Raw Data'!G484))</f>
        <v>37.14</v>
      </c>
      <c r="H484">
        <f>'Raw Data'!H484</f>
        <v>5</v>
      </c>
      <c r="I484" s="6">
        <f t="shared" si="21"/>
        <v>9.285000000000025</v>
      </c>
      <c r="J484" s="6">
        <f>'Raw Data'!J484</f>
        <v>194.98500000000001</v>
      </c>
      <c r="K484" s="1">
        <f>VALUE(IFERROR(VALUE('Raw Data'!K484),CONCATENATE(MID('Raw Data'!K484,3,2),".","0",LEFT('Raw Data'!K484,1),".", RIGHT('Raw Data'!K484,4))))</f>
        <v>43678</v>
      </c>
      <c r="L484" s="2">
        <f>'Raw Data'!L484</f>
        <v>0.54513888888888895</v>
      </c>
      <c r="M484" t="s">
        <v>23</v>
      </c>
      <c r="N484">
        <f>VALUE(IF(AND(ISERR(FIND(".",'Raw Data'!N484)),LEN('Raw Data'!N484)=5), IF(YEAR('Raw Data'!N484)=2026,CONCATENATE(DAY('Raw Data'!N484),".",IF(LEN(MONTH('Raw Data'!N484))=2,MONTH('Raw Data'!N484),CONCATENATE("0",MONTH('Raw Data'!N484)))),CONCATENATE(MONTH('Raw Data'!N484),".",RIGHT(YEAR('Raw Data'!N484),2))),'Raw Data'!N484))</f>
        <v>185.7</v>
      </c>
      <c r="O484" s="6">
        <f t="shared" si="22"/>
        <v>4.7619047619047743</v>
      </c>
      <c r="P484" s="6">
        <f t="shared" si="23"/>
        <v>9.285000000000025</v>
      </c>
      <c r="Q484">
        <f>VALUE(IF(AND(ISERR(FIND(".",'Raw Data'!Q484)),LEN('Raw Data'!Q484)=5), IF(YEAR('Raw Data'!Q484)=2026,CONCATENATE(DAY('Raw Data'!Q484),".",IF(LEN(MONTH('Raw Data'!Q484))=2,MONTH('Raw Data'!Q484),CONCATENATE(MONTH('Raw Data'!Q484)))),CONCATENATE(MONTH('Raw Data'!Q484),".",RIGHT(YEAR('Raw Data'!Q484),2))),'Raw Data'!Q484))</f>
        <v>5</v>
      </c>
    </row>
    <row r="485" spans="1:17">
      <c r="A485" t="s">
        <v>572</v>
      </c>
      <c r="B485" t="s">
        <v>34</v>
      </c>
      <c r="C485" t="s">
        <v>35</v>
      </c>
      <c r="D485" t="s">
        <v>20</v>
      </c>
      <c r="E485" t="s">
        <v>30</v>
      </c>
      <c r="F485" t="s">
        <v>32</v>
      </c>
      <c r="G485">
        <f>VALUE(IF(AND(ISERR(FIND(".",'Raw Data'!G485)),LEN('Raw Data'!G485)=5), IF(YEAR('Raw Data'!G485)=2026,CONCATENATE(DAY('Raw Data'!G485),".",IF(LEN(MONTH('Raw Data'!G485))=2,MONTH('Raw Data'!G485),CONCATENATE("0",MONTH('Raw Data'!G485)))),CONCATENATE(MONTH('Raw Data'!G485),".",RIGHT(YEAR('Raw Data'!G485),2))),'Raw Data'!G485))</f>
        <v>60.38</v>
      </c>
      <c r="H485">
        <f>'Raw Data'!H485</f>
        <v>10</v>
      </c>
      <c r="I485" s="6">
        <f t="shared" si="21"/>
        <v>30.189999999999941</v>
      </c>
      <c r="J485" s="6">
        <f>'Raw Data'!J485</f>
        <v>633.99</v>
      </c>
      <c r="K485" s="1">
        <f>VALUE(IFERROR(VALUE('Raw Data'!K485),CONCATENATE(MID('Raw Data'!K485,3,2),".","0",LEFT('Raw Data'!K485,1),".", RIGHT('Raw Data'!K485,4))))</f>
        <v>43801</v>
      </c>
      <c r="L485" s="2">
        <f>'Raw Data'!L485</f>
        <v>0.67986111111111114</v>
      </c>
      <c r="M485" t="s">
        <v>29</v>
      </c>
      <c r="N485">
        <f>VALUE(IF(AND(ISERR(FIND(".",'Raw Data'!N485)),LEN('Raw Data'!N485)=5), IF(YEAR('Raw Data'!N485)=2026,CONCATENATE(DAY('Raw Data'!N485),".",IF(LEN(MONTH('Raw Data'!N485))=2,MONTH('Raw Data'!N485),CONCATENATE("0",MONTH('Raw Data'!N485)))),CONCATENATE(MONTH('Raw Data'!N485),".",RIGHT(YEAR('Raw Data'!N485),2))),'Raw Data'!N485))</f>
        <v>603.79999999999995</v>
      </c>
      <c r="O485" s="6">
        <f t="shared" si="22"/>
        <v>4.7619047619047707</v>
      </c>
      <c r="P485" s="6">
        <f t="shared" si="23"/>
        <v>30.190000000000055</v>
      </c>
      <c r="Q485">
        <f>VALUE(IF(AND(ISERR(FIND(".",'Raw Data'!Q485)),LEN('Raw Data'!Q485)=5), IF(YEAR('Raw Data'!Q485)=2026,CONCATENATE(DAY('Raw Data'!Q485),".",IF(LEN(MONTH('Raw Data'!Q485))=2,MONTH('Raw Data'!Q485),CONCATENATE(MONTH('Raw Data'!Q485)))),CONCATENATE(MONTH('Raw Data'!Q485),".",RIGHT(YEAR('Raw Data'!Q485),2))),'Raw Data'!Q485))</f>
        <v>6</v>
      </c>
    </row>
    <row r="486" spans="1:17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38</v>
      </c>
      <c r="G486">
        <f>VALUE(IF(AND(ISERR(FIND(".",'Raw Data'!G486)),LEN('Raw Data'!G486)=5), IF(YEAR('Raw Data'!G486)=2026,CONCATENATE(DAY('Raw Data'!G486),".",IF(LEN(MONTH('Raw Data'!G486))=2,MONTH('Raw Data'!G486),CONCATENATE("0",MONTH('Raw Data'!G486)))),CONCATENATE(MONTH('Raw Data'!G486),".",RIGHT(YEAR('Raw Data'!G486),2))),'Raw Data'!G486))</f>
        <v>36.979999999999997</v>
      </c>
      <c r="H486">
        <f>'Raw Data'!H486</f>
        <v>10</v>
      </c>
      <c r="I486" s="6">
        <f t="shared" si="21"/>
        <v>18.490000000000066</v>
      </c>
      <c r="J486" s="6">
        <f>'Raw Data'!J486</f>
        <v>388.29</v>
      </c>
      <c r="K486" s="1">
        <f>VALUE(IFERROR(VALUE('Raw Data'!K486),CONCATENATE(MID('Raw Data'!K486,3,2),".","0",LEFT('Raw Data'!K486,1),".", RIGHT('Raw Data'!K486,4))))</f>
        <v>43466</v>
      </c>
      <c r="L486" s="2">
        <f>'Raw Data'!L486</f>
        <v>0.82500000000000007</v>
      </c>
      <c r="M486" t="s">
        <v>33</v>
      </c>
      <c r="N486">
        <f>VALUE(IF(AND(ISERR(FIND(".",'Raw Data'!N486)),LEN('Raw Data'!N486)=5), IF(YEAR('Raw Data'!N486)=2026,CONCATENATE(DAY('Raw Data'!N486),".",IF(LEN(MONTH('Raw Data'!N486))=2,MONTH('Raw Data'!N486),CONCATENATE("0",MONTH('Raw Data'!N486)))),CONCATENATE(MONTH('Raw Data'!N486),".",RIGHT(YEAR('Raw Data'!N486),2))),'Raw Data'!N486))</f>
        <v>369.8</v>
      </c>
      <c r="O486" s="6">
        <f t="shared" si="22"/>
        <v>4.7619047619047636</v>
      </c>
      <c r="P486" s="6">
        <f t="shared" si="23"/>
        <v>18.490000000000009</v>
      </c>
      <c r="Q486">
        <f>VALUE(IF(AND(ISERR(FIND(".",'Raw Data'!Q486)),LEN('Raw Data'!Q486)=5), IF(YEAR('Raw Data'!Q486)=2026,CONCATENATE(DAY('Raw Data'!Q486),".",IF(LEN(MONTH('Raw Data'!Q486))=2,MONTH('Raw Data'!Q486),CONCATENATE(MONTH('Raw Data'!Q486)))),CONCATENATE(MONTH('Raw Data'!Q486),".",RIGHT(YEAR('Raw Data'!Q486),2))),'Raw Data'!Q486))</f>
        <v>7</v>
      </c>
    </row>
    <row r="487" spans="1:17">
      <c r="A487" t="s">
        <v>574</v>
      </c>
      <c r="B487" t="s">
        <v>34</v>
      </c>
      <c r="C487" t="s">
        <v>35</v>
      </c>
      <c r="D487" t="s">
        <v>20</v>
      </c>
      <c r="E487" t="s">
        <v>21</v>
      </c>
      <c r="F487" t="s">
        <v>38</v>
      </c>
      <c r="G487">
        <f>VALUE(IF(AND(ISERR(FIND(".",'Raw Data'!G487)),LEN('Raw Data'!G487)=5), IF(YEAR('Raw Data'!G487)=2026,CONCATENATE(DAY('Raw Data'!G487),".",IF(LEN(MONTH('Raw Data'!G487))=2,MONTH('Raw Data'!G487),CONCATENATE("0",MONTH('Raw Data'!G487)))),CONCATENATE(MONTH('Raw Data'!G487),".",RIGHT(YEAR('Raw Data'!G487),2))),'Raw Data'!G487))</f>
        <v>49.49</v>
      </c>
      <c r="H487">
        <f>'Raw Data'!H487</f>
        <v>4</v>
      </c>
      <c r="I487" s="6">
        <f t="shared" si="21"/>
        <v>9.8979999999999961</v>
      </c>
      <c r="J487" s="6">
        <f>'Raw Data'!J487</f>
        <v>207.858</v>
      </c>
      <c r="K487" s="1">
        <f>VALUE(IFERROR(VALUE('Raw Data'!K487),CONCATENATE(MID('Raw Data'!K487,3,2),".","0",LEFT('Raw Data'!K487,1),".", RIGHT('Raw Data'!K487,4))))</f>
        <v>43545</v>
      </c>
      <c r="L487" s="2">
        <f>'Raw Data'!L487</f>
        <v>0.64236111111111105</v>
      </c>
      <c r="M487" t="s">
        <v>23</v>
      </c>
      <c r="N487">
        <f>VALUE(IF(AND(ISERR(FIND(".",'Raw Data'!N487)),LEN('Raw Data'!N487)=5), IF(YEAR('Raw Data'!N487)=2026,CONCATENATE(DAY('Raw Data'!N487),".",IF(LEN(MONTH('Raw Data'!N487))=2,MONTH('Raw Data'!N487),CONCATENATE("0",MONTH('Raw Data'!N487)))),CONCATENATE(MONTH('Raw Data'!N487),".",RIGHT(YEAR('Raw Data'!N487),2))),'Raw Data'!N487))</f>
        <v>197.96</v>
      </c>
      <c r="O487" s="6">
        <f t="shared" si="22"/>
        <v>4.7619047619047601</v>
      </c>
      <c r="P487" s="6">
        <f t="shared" si="23"/>
        <v>9.8979999999999961</v>
      </c>
      <c r="Q487">
        <f>VALUE(IF(AND(ISERR(FIND(".",'Raw Data'!Q487)),LEN('Raw Data'!Q487)=5), IF(YEAR('Raw Data'!Q487)=2026,CONCATENATE(DAY('Raw Data'!Q487),".",IF(LEN(MONTH('Raw Data'!Q487))=2,MONTH('Raw Data'!Q487),CONCATENATE(MONTH('Raw Data'!Q487)))),CONCATENATE(MONTH('Raw Data'!Q487),".",RIGHT(YEAR('Raw Data'!Q487),2))),'Raw Data'!Q487))</f>
        <v>6.6</v>
      </c>
    </row>
    <row r="488" spans="1:17">
      <c r="A488" t="s">
        <v>575</v>
      </c>
      <c r="B488" t="s">
        <v>34</v>
      </c>
      <c r="C488" t="s">
        <v>35</v>
      </c>
      <c r="D488" t="s">
        <v>27</v>
      </c>
      <c r="E488" t="s">
        <v>21</v>
      </c>
      <c r="F488" t="s">
        <v>43</v>
      </c>
      <c r="G488">
        <f>VALUE(IF(AND(ISERR(FIND(".",'Raw Data'!G488)),LEN('Raw Data'!G488)=5), IF(YEAR('Raw Data'!G488)=2026,CONCATENATE(DAY('Raw Data'!G488),".",IF(LEN(MONTH('Raw Data'!G488))=2,MONTH('Raw Data'!G488),CONCATENATE("0",MONTH('Raw Data'!G488)))),CONCATENATE(MONTH('Raw Data'!G488),".",RIGHT(YEAR('Raw Data'!G488),2))),'Raw Data'!G488))</f>
        <v>41.09</v>
      </c>
      <c r="H488">
        <f>'Raw Data'!H488</f>
        <v>10</v>
      </c>
      <c r="I488" s="6">
        <f t="shared" si="21"/>
        <v>20.544999999999959</v>
      </c>
      <c r="J488" s="6">
        <f>'Raw Data'!J488</f>
        <v>431.44499999999999</v>
      </c>
      <c r="K488" s="1">
        <f>VALUE(IFERROR(VALUE('Raw Data'!K488),CONCATENATE(MID('Raw Data'!K488,3,2),".","0",LEFT('Raw Data'!K488,1),".", RIGHT('Raw Data'!K488,4))))</f>
        <v>43524</v>
      </c>
      <c r="L488" s="2">
        <f>'Raw Data'!L488</f>
        <v>0.61249999999999993</v>
      </c>
      <c r="M488" t="s">
        <v>29</v>
      </c>
      <c r="N488">
        <f>VALUE(IF(AND(ISERR(FIND(".",'Raw Data'!N488)),LEN('Raw Data'!N488)=5), IF(YEAR('Raw Data'!N488)=2026,CONCATENATE(DAY('Raw Data'!N488),".",IF(LEN(MONTH('Raw Data'!N488))=2,MONTH('Raw Data'!N488),CONCATENATE("0",MONTH('Raw Data'!N488)))),CONCATENATE(MONTH('Raw Data'!N488),".",RIGHT(YEAR('Raw Data'!N488),2))),'Raw Data'!N488))</f>
        <v>410.9</v>
      </c>
      <c r="O488" s="6">
        <f t="shared" si="22"/>
        <v>4.7619047619047654</v>
      </c>
      <c r="P488" s="6">
        <f t="shared" si="23"/>
        <v>20.545000000000016</v>
      </c>
      <c r="Q488">
        <f>VALUE(IF(AND(ISERR(FIND(".",'Raw Data'!Q488)),LEN('Raw Data'!Q488)=5), IF(YEAR('Raw Data'!Q488)=2026,CONCATENATE(DAY('Raw Data'!Q488),".",IF(LEN(MONTH('Raw Data'!Q488))=2,MONTH('Raw Data'!Q488),CONCATENATE(MONTH('Raw Data'!Q488)))),CONCATENATE(MONTH('Raw Data'!Q488),".",RIGHT(YEAR('Raw Data'!Q488),2))),'Raw Data'!Q488))</f>
        <v>7.3</v>
      </c>
    </row>
    <row r="489" spans="1:17">
      <c r="A489" t="s">
        <v>576</v>
      </c>
      <c r="B489" t="s">
        <v>18</v>
      </c>
      <c r="C489" t="s">
        <v>19</v>
      </c>
      <c r="D489" t="s">
        <v>27</v>
      </c>
      <c r="E489" t="s">
        <v>30</v>
      </c>
      <c r="F489" t="s">
        <v>43</v>
      </c>
      <c r="G489">
        <f>VALUE(IF(AND(ISERR(FIND(".",'Raw Data'!G489)),LEN('Raw Data'!G489)=5), IF(YEAR('Raw Data'!G489)=2026,CONCATENATE(DAY('Raw Data'!G489),".",IF(LEN(MONTH('Raw Data'!G489))=2,MONTH('Raw Data'!G489),CONCATENATE("0",MONTH('Raw Data'!G489)))),CONCATENATE(MONTH('Raw Data'!G489),".",RIGHT(YEAR('Raw Data'!G489),2))),'Raw Data'!G489))</f>
        <v>37.15</v>
      </c>
      <c r="H489">
        <f>'Raw Data'!H489</f>
        <v>4</v>
      </c>
      <c r="I489" s="6">
        <f t="shared" si="21"/>
        <v>7.4300000000000068</v>
      </c>
      <c r="J489" s="6">
        <f>'Raw Data'!J489</f>
        <v>156.03</v>
      </c>
      <c r="K489" s="1">
        <f>VALUE(IFERROR(VALUE('Raw Data'!K489),CONCATENATE(MID('Raw Data'!K489,3,2),".","0",LEFT('Raw Data'!K489,1),".", RIGHT('Raw Data'!K489,4))))</f>
        <v>43547</v>
      </c>
      <c r="L489" s="2">
        <f>'Raw Data'!L489</f>
        <v>0.7909722222222223</v>
      </c>
      <c r="M489" t="s">
        <v>23</v>
      </c>
      <c r="N489">
        <f>VALUE(IF(AND(ISERR(FIND(".",'Raw Data'!N489)),LEN('Raw Data'!N489)=5), IF(YEAR('Raw Data'!N489)=2026,CONCATENATE(DAY('Raw Data'!N489),".",IF(LEN(MONTH('Raw Data'!N489))=2,MONTH('Raw Data'!N489),CONCATENATE("0",MONTH('Raw Data'!N489)))),CONCATENATE(MONTH('Raw Data'!N489),".",RIGHT(YEAR('Raw Data'!N489),2))),'Raw Data'!N489))</f>
        <v>148.6</v>
      </c>
      <c r="O489" s="6">
        <f t="shared" si="22"/>
        <v>4.7619047619047663</v>
      </c>
      <c r="P489" s="6">
        <f t="shared" si="23"/>
        <v>7.4300000000000068</v>
      </c>
      <c r="Q489">
        <f>VALUE(IF(AND(ISERR(FIND(".",'Raw Data'!Q489)),LEN('Raw Data'!Q489)=5), IF(YEAR('Raw Data'!Q489)=2026,CONCATENATE(DAY('Raw Data'!Q489),".",IF(LEN(MONTH('Raw Data'!Q489))=2,MONTH('Raw Data'!Q489),CONCATENATE(MONTH('Raw Data'!Q489)))),CONCATENATE(MONTH('Raw Data'!Q489),".",RIGHT(YEAR('Raw Data'!Q489),2))),'Raw Data'!Q489))</f>
        <v>8.3000000000000007</v>
      </c>
    </row>
    <row r="490" spans="1:17">
      <c r="A490" t="s">
        <v>577</v>
      </c>
      <c r="B490" t="s">
        <v>25</v>
      </c>
      <c r="C490" t="s">
        <v>26</v>
      </c>
      <c r="D490" t="s">
        <v>27</v>
      </c>
      <c r="E490" t="s">
        <v>30</v>
      </c>
      <c r="F490" t="s">
        <v>32</v>
      </c>
      <c r="G490">
        <f>VALUE(IF(AND(ISERR(FIND(".",'Raw Data'!G490)),LEN('Raw Data'!G490)=5), IF(YEAR('Raw Data'!G490)=2026,CONCATENATE(DAY('Raw Data'!G490),".",IF(LEN(MONTH('Raw Data'!G490))=2,MONTH('Raw Data'!G490),CONCATENATE("0",MONTH('Raw Data'!G490)))),CONCATENATE(MONTH('Raw Data'!G490),".",RIGHT(YEAR('Raw Data'!G490),2))),'Raw Data'!G490))</f>
        <v>22.96</v>
      </c>
      <c r="H490">
        <f>'Raw Data'!H490</f>
        <v>1</v>
      </c>
      <c r="I490" s="6">
        <f t="shared" si="21"/>
        <v>1.1479999999999997</v>
      </c>
      <c r="J490" s="6">
        <f>'Raw Data'!J490</f>
        <v>24.108000000000001</v>
      </c>
      <c r="K490" s="1">
        <f>VALUE(IFERROR(VALUE('Raw Data'!K490),CONCATENATE(MID('Raw Data'!K490,3,2),".","0",LEFT('Raw Data'!K490,1),".", RIGHT('Raw Data'!K490,4))))</f>
        <v>43495</v>
      </c>
      <c r="L490" s="2">
        <f>'Raw Data'!L490</f>
        <v>0.86597222222222225</v>
      </c>
      <c r="M490" t="s">
        <v>29</v>
      </c>
      <c r="N490">
        <f>VALUE(IF(AND(ISERR(FIND(".",'Raw Data'!N490)),LEN('Raw Data'!N490)=5), IF(YEAR('Raw Data'!N490)=2026,CONCATENATE(DAY('Raw Data'!N490),".",IF(LEN(MONTH('Raw Data'!N490))=2,MONTH('Raw Data'!N490),CONCATENATE("0",MONTH('Raw Data'!N490)))),CONCATENATE(MONTH('Raw Data'!N490),".",RIGHT(YEAR('Raw Data'!N490),2))),'Raw Data'!N490))</f>
        <v>22.96</v>
      </c>
      <c r="O490" s="6">
        <f t="shared" si="22"/>
        <v>4.7619047619047601</v>
      </c>
      <c r="P490" s="6">
        <f t="shared" si="23"/>
        <v>1.1479999999999997</v>
      </c>
      <c r="Q490">
        <f>VALUE(IF(AND(ISERR(FIND(".",'Raw Data'!Q490)),LEN('Raw Data'!Q490)=5), IF(YEAR('Raw Data'!Q490)=2026,CONCATENATE(DAY('Raw Data'!Q490),".",IF(LEN(MONTH('Raw Data'!Q490))=2,MONTH('Raw Data'!Q490),CONCATENATE(MONTH('Raw Data'!Q490)))),CONCATENATE(MONTH('Raw Data'!Q490),".",RIGHT(YEAR('Raw Data'!Q490),2))),'Raw Data'!Q490))</f>
        <v>4.3</v>
      </c>
    </row>
    <row r="491" spans="1:17">
      <c r="A491" t="s">
        <v>578</v>
      </c>
      <c r="B491" t="s">
        <v>34</v>
      </c>
      <c r="C491" t="s">
        <v>35</v>
      </c>
      <c r="D491" t="s">
        <v>20</v>
      </c>
      <c r="E491" t="s">
        <v>21</v>
      </c>
      <c r="F491" t="s">
        <v>32</v>
      </c>
      <c r="G491">
        <f>VALUE(IF(AND(ISERR(FIND(".",'Raw Data'!G491)),LEN('Raw Data'!G491)=5), IF(YEAR('Raw Data'!G491)=2026,CONCATENATE(DAY('Raw Data'!G491),".",IF(LEN(MONTH('Raw Data'!G491))=2,MONTH('Raw Data'!G491),CONCATENATE("0",MONTH('Raw Data'!G491)))),CONCATENATE(MONTH('Raw Data'!G491),".",RIGHT(YEAR('Raw Data'!G491),2))),'Raw Data'!G491))</f>
        <v>77.680000000000007</v>
      </c>
      <c r="H491">
        <f>'Raw Data'!H491</f>
        <v>9</v>
      </c>
      <c r="I491" s="6">
        <f t="shared" si="21"/>
        <v>34.955999999999904</v>
      </c>
      <c r="J491" s="6">
        <f>'Raw Data'!J491</f>
        <v>734.07600000000002</v>
      </c>
      <c r="K491" s="1">
        <f>VALUE(IFERROR(VALUE('Raw Data'!K491),CONCATENATE(MID('Raw Data'!K491,3,2),".","0",LEFT('Raw Data'!K491,1),".", RIGHT('Raw Data'!K491,4))))</f>
        <v>43557</v>
      </c>
      <c r="L491" s="2">
        <f>'Raw Data'!L491</f>
        <v>0.55625000000000002</v>
      </c>
      <c r="M491" t="s">
        <v>23</v>
      </c>
      <c r="N491">
        <f>VALUE(IF(AND(ISERR(FIND(".",'Raw Data'!N491)),LEN('Raw Data'!N491)=5), IF(YEAR('Raw Data'!N491)=2026,CONCATENATE(DAY('Raw Data'!N491),".",IF(LEN(MONTH('Raw Data'!N491))=2,MONTH('Raw Data'!N491),CONCATENATE("0",MONTH('Raw Data'!N491)))),CONCATENATE(MONTH('Raw Data'!N491),".",RIGHT(YEAR('Raw Data'!N491),2))),'Raw Data'!N491))</f>
        <v>699.12</v>
      </c>
      <c r="O491" s="6">
        <f t="shared" si="22"/>
        <v>4.7619047619047645</v>
      </c>
      <c r="P491" s="6">
        <f t="shared" si="23"/>
        <v>34.956000000000017</v>
      </c>
      <c r="Q491">
        <f>VALUE(IF(AND(ISERR(FIND(".",'Raw Data'!Q491)),LEN('Raw Data'!Q491)=5), IF(YEAR('Raw Data'!Q491)=2026,CONCATENATE(DAY('Raw Data'!Q491),".",IF(LEN(MONTH('Raw Data'!Q491))=2,MONTH('Raw Data'!Q491),CONCATENATE(MONTH('Raw Data'!Q491)))),CONCATENATE(MONTH('Raw Data'!Q491),".",RIGHT(YEAR('Raw Data'!Q491),2))),'Raw Data'!Q491))</f>
        <v>9.8000000000000007</v>
      </c>
    </row>
    <row r="492" spans="1:17">
      <c r="A492" t="s">
        <v>579</v>
      </c>
      <c r="B492" t="s">
        <v>34</v>
      </c>
      <c r="C492" t="s">
        <v>35</v>
      </c>
      <c r="D492" t="s">
        <v>27</v>
      </c>
      <c r="E492" t="s">
        <v>21</v>
      </c>
      <c r="F492" t="s">
        <v>43</v>
      </c>
      <c r="G492">
        <f>VALUE(IF(AND(ISERR(FIND(".",'Raw Data'!G492)),LEN('Raw Data'!G492)=5), IF(YEAR('Raw Data'!G492)=2026,CONCATENATE(DAY('Raw Data'!G492),".",IF(LEN(MONTH('Raw Data'!G492))=2,MONTH('Raw Data'!G492),CONCATENATE("0",MONTH('Raw Data'!G492)))),CONCATENATE(MONTH('Raw Data'!G492),".",RIGHT(YEAR('Raw Data'!G492),2))),'Raw Data'!G492))</f>
        <v>34.700000000000003</v>
      </c>
      <c r="H492">
        <f>'Raw Data'!H492</f>
        <v>2</v>
      </c>
      <c r="I492" s="6">
        <f t="shared" si="21"/>
        <v>3.4699999999999989</v>
      </c>
      <c r="J492" s="6">
        <f>'Raw Data'!J492</f>
        <v>72.87</v>
      </c>
      <c r="K492" s="1">
        <f>VALUE(IFERROR(VALUE('Raw Data'!K492),CONCATENATE(MID('Raw Data'!K492,3,2),".","0",LEFT('Raw Data'!K492,1),".", RIGHT('Raw Data'!K492,4))))</f>
        <v>43537</v>
      </c>
      <c r="L492" s="2">
        <f>'Raw Data'!L492</f>
        <v>0.82500000000000007</v>
      </c>
      <c r="M492" t="s">
        <v>23</v>
      </c>
      <c r="N492">
        <f>VALUE(IF(AND(ISERR(FIND(".",'Raw Data'!N492)),LEN('Raw Data'!N492)=5), IF(YEAR('Raw Data'!N492)=2026,CONCATENATE(DAY('Raw Data'!N492),".",IF(LEN(MONTH('Raw Data'!N492))=2,MONTH('Raw Data'!N492),CONCATENATE("0",MONTH('Raw Data'!N492)))),CONCATENATE(MONTH('Raw Data'!N492),".",RIGHT(YEAR('Raw Data'!N492),2))),'Raw Data'!N492))</f>
        <v>69.400000000000006</v>
      </c>
      <c r="O492" s="6">
        <f t="shared" si="22"/>
        <v>4.7619047619047601</v>
      </c>
      <c r="P492" s="6">
        <f t="shared" si="23"/>
        <v>3.4699999999999989</v>
      </c>
      <c r="Q492">
        <f>VALUE(IF(AND(ISERR(FIND(".",'Raw Data'!Q492)),LEN('Raw Data'!Q492)=5), IF(YEAR('Raw Data'!Q492)=2026,CONCATENATE(DAY('Raw Data'!Q492),".",IF(LEN(MONTH('Raw Data'!Q492))=2,MONTH('Raw Data'!Q492),CONCATENATE(MONTH('Raw Data'!Q492)))),CONCATENATE(MONTH('Raw Data'!Q492),".",RIGHT(YEAR('Raw Data'!Q492),2))),'Raw Data'!Q492))</f>
        <v>8.1999999999999993</v>
      </c>
    </row>
    <row r="493" spans="1:17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43</v>
      </c>
      <c r="G493">
        <f>VALUE(IF(AND(ISERR(FIND(".",'Raw Data'!G493)),LEN('Raw Data'!G493)=5), IF(YEAR('Raw Data'!G493)=2026,CONCATENATE(DAY('Raw Data'!G493),".",IF(LEN(MONTH('Raw Data'!G493))=2,MONTH('Raw Data'!G493),CONCATENATE("0",MONTH('Raw Data'!G493)))),CONCATENATE(MONTH('Raw Data'!G493),".",RIGHT(YEAR('Raw Data'!G493),2))),'Raw Data'!G493))</f>
        <v>19.66</v>
      </c>
      <c r="H493">
        <f>'Raw Data'!H493</f>
        <v>10</v>
      </c>
      <c r="I493" s="6">
        <f t="shared" si="21"/>
        <v>9.8300000000000125</v>
      </c>
      <c r="J493" s="6">
        <f>'Raw Data'!J493</f>
        <v>206.43</v>
      </c>
      <c r="K493" s="1">
        <f>VALUE(IFERROR(VALUE('Raw Data'!K493),CONCATENATE(MID('Raw Data'!K493,3,2),".","0",LEFT('Raw Data'!K493,1),".", RIGHT('Raw Data'!K493,4))))</f>
        <v>43539</v>
      </c>
      <c r="L493" s="2">
        <f>'Raw Data'!L493</f>
        <v>0.76388888888888884</v>
      </c>
      <c r="M493" t="s">
        <v>33</v>
      </c>
      <c r="N493">
        <f>VALUE(IF(AND(ISERR(FIND(".",'Raw Data'!N493)),LEN('Raw Data'!N493)=5), IF(YEAR('Raw Data'!N493)=2026,CONCATENATE(DAY('Raw Data'!N493),".",IF(LEN(MONTH('Raw Data'!N493))=2,MONTH('Raw Data'!N493),CONCATENATE("0",MONTH('Raw Data'!N493)))),CONCATENATE(MONTH('Raw Data'!N493),".",RIGHT(YEAR('Raw Data'!N493),2))),'Raw Data'!N493))</f>
        <v>196.6</v>
      </c>
      <c r="O493" s="6">
        <f t="shared" si="22"/>
        <v>4.7619047619047681</v>
      </c>
      <c r="P493" s="6">
        <f t="shared" si="23"/>
        <v>9.8300000000000125</v>
      </c>
      <c r="Q493">
        <f>VALUE(IF(AND(ISERR(FIND(".",'Raw Data'!Q493)),LEN('Raw Data'!Q493)=5), IF(YEAR('Raw Data'!Q493)=2026,CONCATENATE(DAY('Raw Data'!Q493),".",IF(LEN(MONTH('Raw Data'!Q493))=2,MONTH('Raw Data'!Q493),CONCATENATE(MONTH('Raw Data'!Q493)))),CONCATENATE(MONTH('Raw Data'!Q493),".",RIGHT(YEAR('Raw Data'!Q493),2))),'Raw Data'!Q493))</f>
        <v>7.2</v>
      </c>
    </row>
    <row r="494" spans="1:17">
      <c r="A494" t="s">
        <v>581</v>
      </c>
      <c r="B494" t="s">
        <v>34</v>
      </c>
      <c r="C494" t="s">
        <v>35</v>
      </c>
      <c r="D494" t="s">
        <v>20</v>
      </c>
      <c r="E494" t="s">
        <v>21</v>
      </c>
      <c r="F494" t="s">
        <v>22</v>
      </c>
      <c r="G494">
        <f>VALUE(IF(AND(ISERR(FIND(".",'Raw Data'!G494)),LEN('Raw Data'!G494)=5), IF(YEAR('Raw Data'!G494)=2026,CONCATENATE(DAY('Raw Data'!G494),".",IF(LEN(MONTH('Raw Data'!G494))=2,MONTH('Raw Data'!G494),CONCATENATE("0",MONTH('Raw Data'!G494)))),CONCATENATE(MONTH('Raw Data'!G494),".",RIGHT(YEAR('Raw Data'!G494),2))),'Raw Data'!G494))</f>
        <v>25.32</v>
      </c>
      <c r="H494">
        <f>'Raw Data'!H494</f>
        <v>8</v>
      </c>
      <c r="I494" s="6">
        <f t="shared" si="21"/>
        <v>10.127999999999986</v>
      </c>
      <c r="J494" s="6">
        <f>'Raw Data'!J494</f>
        <v>212.68799999999999</v>
      </c>
      <c r="K494" s="1">
        <f>VALUE(IFERROR(VALUE('Raw Data'!K494),CONCATENATE(MID('Raw Data'!K494,3,2),".","0",LEFT('Raw Data'!K494,1),".", RIGHT('Raw Data'!K494,4))))</f>
        <v>43588</v>
      </c>
      <c r="L494" s="2">
        <f>'Raw Data'!L494</f>
        <v>0.85</v>
      </c>
      <c r="M494" t="s">
        <v>23</v>
      </c>
      <c r="N494">
        <f>VALUE(IF(AND(ISERR(FIND(".",'Raw Data'!N494)),LEN('Raw Data'!N494)=5), IF(YEAR('Raw Data'!N494)=2026,CONCATENATE(DAY('Raw Data'!N494),".",IF(LEN(MONTH('Raw Data'!N494))=2,MONTH('Raw Data'!N494),CONCATENATE("0",MONTH('Raw Data'!N494)))),CONCATENATE(MONTH('Raw Data'!N494),".",RIGHT(YEAR('Raw Data'!N494),2))),'Raw Data'!N494))</f>
        <v>202.56</v>
      </c>
      <c r="O494" s="6">
        <f t="shared" si="22"/>
        <v>4.7619047619047556</v>
      </c>
      <c r="P494" s="6">
        <f t="shared" si="23"/>
        <v>10.127999999999986</v>
      </c>
      <c r="Q494">
        <f>VALUE(IF(AND(ISERR(FIND(".",'Raw Data'!Q494)),LEN('Raw Data'!Q494)=5), IF(YEAR('Raw Data'!Q494)=2026,CONCATENATE(DAY('Raw Data'!Q494),".",IF(LEN(MONTH('Raw Data'!Q494))=2,MONTH('Raw Data'!Q494),CONCATENATE(MONTH('Raw Data'!Q494)))),CONCATENATE(MONTH('Raw Data'!Q494),".",RIGHT(YEAR('Raw Data'!Q494),2))),'Raw Data'!Q494))</f>
        <v>8.6999999999999993</v>
      </c>
    </row>
    <row r="495" spans="1:17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f>VALUE(IF(AND(ISERR(FIND(".",'Raw Data'!G495)),LEN('Raw Data'!G495)=5), IF(YEAR('Raw Data'!G495)=2026,CONCATENATE(DAY('Raw Data'!G495),".",IF(LEN(MONTH('Raw Data'!G495))=2,MONTH('Raw Data'!G495),CONCATENATE("0",MONTH('Raw Data'!G495)))),CONCATENATE(MONTH('Raw Data'!G495),".",RIGHT(YEAR('Raw Data'!G495),2))),'Raw Data'!G495))</f>
        <v>12.12</v>
      </c>
      <c r="H495">
        <f>'Raw Data'!H495</f>
        <v>10</v>
      </c>
      <c r="I495" s="6">
        <f t="shared" si="21"/>
        <v>6.0600000000000165</v>
      </c>
      <c r="J495" s="6">
        <f>'Raw Data'!J495</f>
        <v>127.26</v>
      </c>
      <c r="K495" s="1">
        <f>VALUE(IFERROR(VALUE('Raw Data'!K495),CONCATENATE(MID('Raw Data'!K495,3,2),".","0",LEFT('Raw Data'!K495,1),".", RIGHT('Raw Data'!K495,4))))</f>
        <v>43588</v>
      </c>
      <c r="L495" s="2">
        <f>'Raw Data'!L495</f>
        <v>0.57222222222222219</v>
      </c>
      <c r="M495" t="s">
        <v>33</v>
      </c>
      <c r="N495">
        <f>VALUE(IF(AND(ISERR(FIND(".",'Raw Data'!N495)),LEN('Raw Data'!N495)=5), IF(YEAR('Raw Data'!N495)=2026,CONCATENATE(DAY('Raw Data'!N495),".",IF(LEN(MONTH('Raw Data'!N495))=2,MONTH('Raw Data'!N495),CONCATENATE("0",MONTH('Raw Data'!N495)))),CONCATENATE(MONTH('Raw Data'!N495),".",RIGHT(YEAR('Raw Data'!N495),2))),'Raw Data'!N495))</f>
        <v>121.2</v>
      </c>
      <c r="O495" s="6">
        <f t="shared" si="22"/>
        <v>4.7619047619047636</v>
      </c>
      <c r="P495" s="6">
        <f t="shared" si="23"/>
        <v>6.0600000000000023</v>
      </c>
      <c r="Q495">
        <f>VALUE(IF(AND(ISERR(FIND(".",'Raw Data'!Q495)),LEN('Raw Data'!Q495)=5), IF(YEAR('Raw Data'!Q495)=2026,CONCATENATE(DAY('Raw Data'!Q495),".",IF(LEN(MONTH('Raw Data'!Q495))=2,MONTH('Raw Data'!Q495),CONCATENATE(MONTH('Raw Data'!Q495)))),CONCATENATE(MONTH('Raw Data'!Q495),".",RIGHT(YEAR('Raw Data'!Q495),2))),'Raw Data'!Q495))</f>
        <v>8.4</v>
      </c>
    </row>
    <row r="496" spans="1:17">
      <c r="A496" t="s">
        <v>583</v>
      </c>
      <c r="B496" t="s">
        <v>34</v>
      </c>
      <c r="C496" t="s">
        <v>35</v>
      </c>
      <c r="D496" t="s">
        <v>27</v>
      </c>
      <c r="E496" t="s">
        <v>30</v>
      </c>
      <c r="F496" t="s">
        <v>43</v>
      </c>
      <c r="G496">
        <f>VALUE(IF(AND(ISERR(FIND(".",'Raw Data'!G496)),LEN('Raw Data'!G496)=5), IF(YEAR('Raw Data'!G496)=2026,CONCATENATE(DAY('Raw Data'!G496),".",IF(LEN(MONTH('Raw Data'!G496))=2,MONTH('Raw Data'!G496),CONCATENATE("0",MONTH('Raw Data'!G496)))),CONCATENATE(MONTH('Raw Data'!G496),".",RIGHT(YEAR('Raw Data'!G496),2))),'Raw Data'!G496))</f>
        <v>99.89</v>
      </c>
      <c r="H496">
        <f>'Raw Data'!H496</f>
        <v>2</v>
      </c>
      <c r="I496" s="6">
        <f t="shared" si="21"/>
        <v>9.9890000000000043</v>
      </c>
      <c r="J496" s="6">
        <f>'Raw Data'!J496</f>
        <v>209.76900000000001</v>
      </c>
      <c r="K496" s="1">
        <f>VALUE(IFERROR(VALUE('Raw Data'!K496),CONCATENATE(MID('Raw Data'!K496,3,2),".","0",LEFT('Raw Data'!K496,1),".", RIGHT('Raw Data'!K496,4))))</f>
        <v>43522</v>
      </c>
      <c r="L496" s="2">
        <f>'Raw Data'!L496</f>
        <v>0.4916666666666667</v>
      </c>
      <c r="M496" t="s">
        <v>23</v>
      </c>
      <c r="N496">
        <f>VALUE(IF(AND(ISERR(FIND(".",'Raw Data'!N496)),LEN('Raw Data'!N496)=5), IF(YEAR('Raw Data'!N496)=2026,CONCATENATE(DAY('Raw Data'!N496),".",IF(LEN(MONTH('Raw Data'!N496))=2,MONTH('Raw Data'!N496),CONCATENATE("0",MONTH('Raw Data'!N496)))),CONCATENATE(MONTH('Raw Data'!N496),".",RIGHT(YEAR('Raw Data'!N496),2))),'Raw Data'!N496))</f>
        <v>199.78</v>
      </c>
      <c r="O496" s="6">
        <f t="shared" si="22"/>
        <v>4.7619047619047636</v>
      </c>
      <c r="P496" s="6">
        <f t="shared" si="23"/>
        <v>9.9890000000000043</v>
      </c>
      <c r="Q496">
        <f>VALUE(IF(AND(ISERR(FIND(".",'Raw Data'!Q496)),LEN('Raw Data'!Q496)=5), IF(YEAR('Raw Data'!Q496)=2026,CONCATENATE(DAY('Raw Data'!Q496),".",IF(LEN(MONTH('Raw Data'!Q496))=2,MONTH('Raw Data'!Q496),CONCATENATE(MONTH('Raw Data'!Q496)))),CONCATENATE(MONTH('Raw Data'!Q496),".",RIGHT(YEAR('Raw Data'!Q496),2))),'Raw Data'!Q496))</f>
        <v>7.1</v>
      </c>
    </row>
    <row r="497" spans="1:17">
      <c r="A497" t="s">
        <v>584</v>
      </c>
      <c r="B497" t="s">
        <v>34</v>
      </c>
      <c r="C497" t="s">
        <v>35</v>
      </c>
      <c r="D497" t="s">
        <v>27</v>
      </c>
      <c r="E497" t="s">
        <v>30</v>
      </c>
      <c r="F497" t="s">
        <v>38</v>
      </c>
      <c r="G497">
        <f>VALUE(IF(AND(ISERR(FIND(".",'Raw Data'!G497)),LEN('Raw Data'!G497)=5), IF(YEAR('Raw Data'!G497)=2026,CONCATENATE(DAY('Raw Data'!G497),".",IF(LEN(MONTH('Raw Data'!G497))=2,MONTH('Raw Data'!G497),CONCATENATE("0",MONTH('Raw Data'!G497)))),CONCATENATE(MONTH('Raw Data'!G497),".",RIGHT(YEAR('Raw Data'!G497),2))),'Raw Data'!G497))</f>
        <v>75.92</v>
      </c>
      <c r="H497">
        <f>'Raw Data'!H497</f>
        <v>8</v>
      </c>
      <c r="I497" s="6">
        <f t="shared" si="21"/>
        <v>30.367999999999938</v>
      </c>
      <c r="J497" s="6">
        <f>'Raw Data'!J497</f>
        <v>637.72799999999995</v>
      </c>
      <c r="K497" s="1">
        <f>VALUE(IFERROR(VALUE('Raw Data'!K497),CONCATENATE(MID('Raw Data'!K497,3,2),".","0",LEFT('Raw Data'!K497,1),".", RIGHT('Raw Data'!K497,4))))</f>
        <v>43544</v>
      </c>
      <c r="L497" s="2">
        <f>'Raw Data'!L497</f>
        <v>0.59305555555555556</v>
      </c>
      <c r="M497" t="s">
        <v>29</v>
      </c>
      <c r="N497">
        <f>VALUE(IF(AND(ISERR(FIND(".",'Raw Data'!N497)),LEN('Raw Data'!N497)=5), IF(YEAR('Raw Data'!N497)=2026,CONCATENATE(DAY('Raw Data'!N497),".",IF(LEN(MONTH('Raw Data'!N497))=2,MONTH('Raw Data'!N497),CONCATENATE("0",MONTH('Raw Data'!N497)))),CONCATENATE(MONTH('Raw Data'!N497),".",RIGHT(YEAR('Raw Data'!N497),2))),'Raw Data'!N497))</f>
        <v>607.36</v>
      </c>
      <c r="O497" s="6">
        <f t="shared" si="22"/>
        <v>4.761904761904753</v>
      </c>
      <c r="P497" s="6">
        <f t="shared" si="23"/>
        <v>30.367999999999938</v>
      </c>
      <c r="Q497">
        <f>VALUE(IF(AND(ISERR(FIND(".",'Raw Data'!Q497)),LEN('Raw Data'!Q497)=5), IF(YEAR('Raw Data'!Q497)=2026,CONCATENATE(DAY('Raw Data'!Q497),".",IF(LEN(MONTH('Raw Data'!Q497))=2,MONTH('Raw Data'!Q497),CONCATENATE(MONTH('Raw Data'!Q497)))),CONCATENATE(MONTH('Raw Data'!Q497),".",RIGHT(YEAR('Raw Data'!Q497),2))),'Raw Data'!Q497))</f>
        <v>5.5</v>
      </c>
    </row>
    <row r="498" spans="1:17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f>VALUE(IF(AND(ISERR(FIND(".",'Raw Data'!G498)),LEN('Raw Data'!G498)=5), IF(YEAR('Raw Data'!G498)=2026,CONCATENATE(DAY('Raw Data'!G498),".",IF(LEN(MONTH('Raw Data'!G498))=2,MONTH('Raw Data'!G498),CONCATENATE("0",MONTH('Raw Data'!G498)))),CONCATENATE(MONTH('Raw Data'!G498),".",RIGHT(YEAR('Raw Data'!G498),2))),'Raw Data'!G498))</f>
        <v>63.22</v>
      </c>
      <c r="H498">
        <f>'Raw Data'!H498</f>
        <v>2</v>
      </c>
      <c r="I498" s="6">
        <f t="shared" si="21"/>
        <v>6.3220000000000027</v>
      </c>
      <c r="J498" s="6">
        <f>'Raw Data'!J498</f>
        <v>132.762</v>
      </c>
      <c r="K498" s="1">
        <f>VALUE(IFERROR(VALUE('Raw Data'!K498),CONCATENATE(MID('Raw Data'!K498,3,2),".","0",LEFT('Raw Data'!K498,1),".", RIGHT('Raw Data'!K498,4))))</f>
        <v>43466</v>
      </c>
      <c r="L498" s="2">
        <f>'Raw Data'!L498</f>
        <v>0.66041666666666665</v>
      </c>
      <c r="M498" t="s">
        <v>29</v>
      </c>
      <c r="N498">
        <f>VALUE(IF(AND(ISERR(FIND(".",'Raw Data'!N498)),LEN('Raw Data'!N498)=5), IF(YEAR('Raw Data'!N498)=2026,CONCATENATE(DAY('Raw Data'!N498),".",IF(LEN(MONTH('Raw Data'!N498))=2,MONTH('Raw Data'!N498),CONCATENATE("0",MONTH('Raw Data'!N498)))),CONCATENATE(MONTH('Raw Data'!N498),".",RIGHT(YEAR('Raw Data'!N498),2))),'Raw Data'!N498))</f>
        <v>126.44</v>
      </c>
      <c r="O498" s="6">
        <f t="shared" si="22"/>
        <v>4.7619047619047636</v>
      </c>
      <c r="P498" s="6">
        <f t="shared" si="23"/>
        <v>6.3220000000000027</v>
      </c>
      <c r="Q498">
        <f>VALUE(IF(AND(ISERR(FIND(".",'Raw Data'!Q498)),LEN('Raw Data'!Q498)=5), IF(YEAR('Raw Data'!Q498)=2026,CONCATENATE(DAY('Raw Data'!Q498),".",IF(LEN(MONTH('Raw Data'!Q498))=2,MONTH('Raw Data'!Q498),CONCATENATE(MONTH('Raw Data'!Q498)))),CONCATENATE(MONTH('Raw Data'!Q498),".",RIGHT(YEAR('Raw Data'!Q498),2))),'Raw Data'!Q498))</f>
        <v>8.5</v>
      </c>
    </row>
    <row r="499" spans="1:17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40</v>
      </c>
      <c r="G499">
        <f>VALUE(IF(AND(ISERR(FIND(".",'Raw Data'!G499)),LEN('Raw Data'!G499)=5), IF(YEAR('Raw Data'!G499)=2026,CONCATENATE(DAY('Raw Data'!G499),".",IF(LEN(MONTH('Raw Data'!G499))=2,MONTH('Raw Data'!G499),CONCATENATE("0",MONTH('Raw Data'!G499)))),CONCATENATE(MONTH('Raw Data'!G499),".",RIGHT(YEAR('Raw Data'!G499),2))),'Raw Data'!G499))</f>
        <v>90.24</v>
      </c>
      <c r="H499">
        <f>'Raw Data'!H499</f>
        <v>6</v>
      </c>
      <c r="I499" s="6">
        <f t="shared" si="21"/>
        <v>27.072000000000003</v>
      </c>
      <c r="J499" s="6">
        <f>'Raw Data'!J499</f>
        <v>568.51199999999994</v>
      </c>
      <c r="K499" s="1">
        <f>VALUE(IFERROR(VALUE('Raw Data'!K499),CONCATENATE(MID('Raw Data'!K499,3,2),".","0",LEFT('Raw Data'!K499,1),".", RIGHT('Raw Data'!K499,4))))</f>
        <v>43492</v>
      </c>
      <c r="L499" s="2">
        <f>'Raw Data'!L499</f>
        <v>0.47013888888888888</v>
      </c>
      <c r="M499" t="s">
        <v>29</v>
      </c>
      <c r="N499">
        <f>VALUE(IF(AND(ISERR(FIND(".",'Raw Data'!N499)),LEN('Raw Data'!N499)=5), IF(YEAR('Raw Data'!N499)=2026,CONCATENATE(DAY('Raw Data'!N499),".",IF(LEN(MONTH('Raw Data'!N499))=2,MONTH('Raw Data'!N499),CONCATENATE("0",MONTH('Raw Data'!N499)))),CONCATENATE(MONTH('Raw Data'!N499),".",RIGHT(YEAR('Raw Data'!N499),2))),'Raw Data'!N499))</f>
        <v>541.44000000000005</v>
      </c>
      <c r="O499" s="6">
        <f t="shared" si="22"/>
        <v>4.7619047619047432</v>
      </c>
      <c r="P499" s="6">
        <f t="shared" si="23"/>
        <v>27.071999999999889</v>
      </c>
      <c r="Q499">
        <f>VALUE(IF(AND(ISERR(FIND(".",'Raw Data'!Q499)),LEN('Raw Data'!Q499)=5), IF(YEAR('Raw Data'!Q499)=2026,CONCATENATE(DAY('Raw Data'!Q499),".",IF(LEN(MONTH('Raw Data'!Q499))=2,MONTH('Raw Data'!Q499),CONCATENATE(MONTH('Raw Data'!Q499)))),CONCATENATE(MONTH('Raw Data'!Q499),".",RIGHT(YEAR('Raw Data'!Q499),2))),'Raw Data'!Q499))</f>
        <v>6.2</v>
      </c>
    </row>
    <row r="500" spans="1:17">
      <c r="A500" t="s">
        <v>587</v>
      </c>
      <c r="B500" t="s">
        <v>34</v>
      </c>
      <c r="C500" t="s">
        <v>35</v>
      </c>
      <c r="D500" t="s">
        <v>20</v>
      </c>
      <c r="E500" t="s">
        <v>21</v>
      </c>
      <c r="F500" t="s">
        <v>38</v>
      </c>
      <c r="G500">
        <f>VALUE(IF(AND(ISERR(FIND(".",'Raw Data'!G500)),LEN('Raw Data'!G500)=5), IF(YEAR('Raw Data'!G500)=2026,CONCATENATE(DAY('Raw Data'!G500),".",IF(LEN(MONTH('Raw Data'!G500))=2,MONTH('Raw Data'!G500),CONCATENATE("0",MONTH('Raw Data'!G500)))),CONCATENATE(MONTH('Raw Data'!G500),".",RIGHT(YEAR('Raw Data'!G500),2))),'Raw Data'!G500))</f>
        <v>98.13</v>
      </c>
      <c r="H500">
        <f>'Raw Data'!H500</f>
        <v>1</v>
      </c>
      <c r="I500" s="6">
        <f t="shared" si="21"/>
        <v>4.9065000000000083</v>
      </c>
      <c r="J500" s="6">
        <f>'Raw Data'!J500</f>
        <v>103.0365</v>
      </c>
      <c r="K500" s="1">
        <f>VALUE(IFERROR(VALUE('Raw Data'!K500),CONCATENATE(MID('Raw Data'!K500,3,2),".","0",LEFT('Raw Data'!K500,1),".", RIGHT('Raw Data'!K500,4))))</f>
        <v>43486</v>
      </c>
      <c r="L500" s="2">
        <f>'Raw Data'!L500</f>
        <v>0.73333333333333339</v>
      </c>
      <c r="M500" t="s">
        <v>29</v>
      </c>
      <c r="N500">
        <f>VALUE(IF(AND(ISERR(FIND(".",'Raw Data'!N500)),LEN('Raw Data'!N500)=5), IF(YEAR('Raw Data'!N500)=2026,CONCATENATE(DAY('Raw Data'!N500),".",IF(LEN(MONTH('Raw Data'!N500))=2,MONTH('Raw Data'!N500),CONCATENATE("0",MONTH('Raw Data'!N500)))),CONCATENATE(MONTH('Raw Data'!N500),".",RIGHT(YEAR('Raw Data'!N500),2))),'Raw Data'!N500))</f>
        <v>98.13</v>
      </c>
      <c r="O500" s="6">
        <f t="shared" si="22"/>
        <v>4.7619047619047699</v>
      </c>
      <c r="P500" s="6">
        <f t="shared" si="23"/>
        <v>4.9065000000000083</v>
      </c>
      <c r="Q500">
        <f>VALUE(IF(AND(ISERR(FIND(".",'Raw Data'!Q500)),LEN('Raw Data'!Q500)=5), IF(YEAR('Raw Data'!Q500)=2026,CONCATENATE(DAY('Raw Data'!Q500),".",IF(LEN(MONTH('Raw Data'!Q500))=2,MONTH('Raw Data'!Q500),CONCATENATE(MONTH('Raw Data'!Q500)))),CONCATENATE(MONTH('Raw Data'!Q500),".",RIGHT(YEAR('Raw Data'!Q500),2))),'Raw Data'!Q500))</f>
        <v>8.9</v>
      </c>
    </row>
    <row r="501" spans="1:17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38</v>
      </c>
      <c r="G501">
        <f>VALUE(IF(AND(ISERR(FIND(".",'Raw Data'!G501)),LEN('Raw Data'!G501)=5), IF(YEAR('Raw Data'!G501)=2026,CONCATENATE(DAY('Raw Data'!G501),".",IF(LEN(MONTH('Raw Data'!G501))=2,MONTH('Raw Data'!G501),CONCATENATE("0",MONTH('Raw Data'!G501)))),CONCATENATE(MONTH('Raw Data'!G501),".",RIGHT(YEAR('Raw Data'!G501),2))),'Raw Data'!G501))</f>
        <v>51.52</v>
      </c>
      <c r="H501">
        <f>'Raw Data'!H501</f>
        <v>8</v>
      </c>
      <c r="I501" s="6">
        <f t="shared" si="21"/>
        <v>20.607999999999947</v>
      </c>
      <c r="J501" s="6">
        <f>'Raw Data'!J501</f>
        <v>432.76799999999997</v>
      </c>
      <c r="K501" s="1">
        <f>VALUE(IFERROR(VALUE('Raw Data'!K501),CONCATENATE(MID('Raw Data'!K501,3,2),".","0",LEFT('Raw Data'!K501,1),".", RIGHT('Raw Data'!K501,4))))</f>
        <v>43498</v>
      </c>
      <c r="L501" s="2">
        <f>'Raw Data'!L501</f>
        <v>0.65763888888888888</v>
      </c>
      <c r="M501" t="s">
        <v>29</v>
      </c>
      <c r="N501">
        <f>VALUE(IF(AND(ISERR(FIND(".",'Raw Data'!N501)),LEN('Raw Data'!N501)=5), IF(YEAR('Raw Data'!N501)=2026,CONCATENATE(DAY('Raw Data'!N501),".",IF(LEN(MONTH('Raw Data'!N501))=2,MONTH('Raw Data'!N501),CONCATENATE("0",MONTH('Raw Data'!N501)))),CONCATENATE(MONTH('Raw Data'!N501),".",RIGHT(YEAR('Raw Data'!N501),2))),'Raw Data'!N501))</f>
        <v>412.16</v>
      </c>
      <c r="O501" s="6">
        <f t="shared" si="22"/>
        <v>4.7619047619047494</v>
      </c>
      <c r="P501" s="6">
        <f t="shared" si="23"/>
        <v>20.607999999999947</v>
      </c>
      <c r="Q501">
        <f>VALUE(IF(AND(ISERR(FIND(".",'Raw Data'!Q501)),LEN('Raw Data'!Q501)=5), IF(YEAR('Raw Data'!Q501)=2026,CONCATENATE(DAY('Raw Data'!Q501),".",IF(LEN(MONTH('Raw Data'!Q501))=2,MONTH('Raw Data'!Q501),CONCATENATE(MONTH('Raw Data'!Q501)))),CONCATENATE(MONTH('Raw Data'!Q501),".",RIGHT(YEAR('Raw Data'!Q501),2))),'Raw Data'!Q501))</f>
        <v>9.6</v>
      </c>
    </row>
    <row r="502" spans="1:17">
      <c r="A502" t="s">
        <v>589</v>
      </c>
      <c r="B502" t="s">
        <v>34</v>
      </c>
      <c r="C502" t="s">
        <v>35</v>
      </c>
      <c r="D502" t="s">
        <v>20</v>
      </c>
      <c r="E502" t="s">
        <v>30</v>
      </c>
      <c r="F502" t="s">
        <v>38</v>
      </c>
      <c r="G502">
        <f>VALUE(IF(AND(ISERR(FIND(".",'Raw Data'!G502)),LEN('Raw Data'!G502)=5), IF(YEAR('Raw Data'!G502)=2026,CONCATENATE(DAY('Raw Data'!G502),".",IF(LEN(MONTH('Raw Data'!G502))=2,MONTH('Raw Data'!G502),CONCATENATE("0",MONTH('Raw Data'!G502)))),CONCATENATE(MONTH('Raw Data'!G502),".",RIGHT(YEAR('Raw Data'!G502),2))),'Raw Data'!G502))</f>
        <v>73.97</v>
      </c>
      <c r="H502">
        <f>'Raw Data'!H502</f>
        <v>1</v>
      </c>
      <c r="I502" s="6">
        <f t="shared" si="21"/>
        <v>3.6984999999999957</v>
      </c>
      <c r="J502" s="6">
        <f>'Raw Data'!J502</f>
        <v>77.668499999999995</v>
      </c>
      <c r="K502" s="1">
        <f>VALUE(IFERROR(VALUE('Raw Data'!K502),CONCATENATE(MID('Raw Data'!K502,3,2),".","0",LEFT('Raw Data'!K502,1),".", RIGHT('Raw Data'!K502,4))))</f>
        <v>43526</v>
      </c>
      <c r="L502" s="2">
        <f>'Raw Data'!L502</f>
        <v>0.66180555555555554</v>
      </c>
      <c r="M502" t="s">
        <v>33</v>
      </c>
      <c r="N502">
        <f>VALUE(IF(AND(ISERR(FIND(".",'Raw Data'!N502)),LEN('Raw Data'!N502)=5), IF(YEAR('Raw Data'!N502)=2026,CONCATENATE(DAY('Raw Data'!N502),".",IF(LEN(MONTH('Raw Data'!N502))=2,MONTH('Raw Data'!N502),CONCATENATE("0",MONTH('Raw Data'!N502)))),CONCATENATE(MONTH('Raw Data'!N502),".",RIGHT(YEAR('Raw Data'!N502),2))),'Raw Data'!N502))</f>
        <v>73.97</v>
      </c>
      <c r="O502" s="6">
        <f t="shared" si="22"/>
        <v>4.7619047619047565</v>
      </c>
      <c r="P502" s="6">
        <f t="shared" si="23"/>
        <v>3.6984999999999957</v>
      </c>
      <c r="Q502">
        <f>VALUE(IF(AND(ISERR(FIND(".",'Raw Data'!Q502)),LEN('Raw Data'!Q502)=5), IF(YEAR('Raw Data'!Q502)=2026,CONCATENATE(DAY('Raw Data'!Q502),".",IF(LEN(MONTH('Raw Data'!Q502))=2,MONTH('Raw Data'!Q502),CONCATENATE(MONTH('Raw Data'!Q502)))),CONCATENATE(MONTH('Raw Data'!Q502),".",RIGHT(YEAR('Raw Data'!Q502),2))),'Raw Data'!Q502))</f>
        <v>5.4</v>
      </c>
    </row>
    <row r="503" spans="1:17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43</v>
      </c>
      <c r="G503">
        <f>VALUE(IF(AND(ISERR(FIND(".",'Raw Data'!G503)),LEN('Raw Data'!G503)=5), IF(YEAR('Raw Data'!G503)=2026,CONCATENATE(DAY('Raw Data'!G503),".",IF(LEN(MONTH('Raw Data'!G503))=2,MONTH('Raw Data'!G503),CONCATENATE("0",MONTH('Raw Data'!G503)))),CONCATENATE(MONTH('Raw Data'!G503),".",RIGHT(YEAR('Raw Data'!G503),2))),'Raw Data'!G503))</f>
        <v>31.9</v>
      </c>
      <c r="H503">
        <f>'Raw Data'!H503</f>
        <v>1</v>
      </c>
      <c r="I503" s="6">
        <f t="shared" si="21"/>
        <v>1.5949999999999989</v>
      </c>
      <c r="J503" s="6">
        <f>'Raw Data'!J503</f>
        <v>33.494999999999997</v>
      </c>
      <c r="K503" s="1">
        <f>VALUE(IFERROR(VALUE('Raw Data'!K503),CONCATENATE(MID('Raw Data'!K503,3,2),".","0",LEFT('Raw Data'!K503,1),".", RIGHT('Raw Data'!K503,4))))</f>
        <v>43586</v>
      </c>
      <c r="L503" s="2">
        <f>'Raw Data'!L503</f>
        <v>0.52777777777777779</v>
      </c>
      <c r="M503" t="s">
        <v>23</v>
      </c>
      <c r="N503">
        <f>VALUE(IF(AND(ISERR(FIND(".",'Raw Data'!N503)),LEN('Raw Data'!N503)=5), IF(YEAR('Raw Data'!N503)=2026,CONCATENATE(DAY('Raw Data'!N503),".",IF(LEN(MONTH('Raw Data'!N503))=2,MONTH('Raw Data'!N503),CONCATENATE("0",MONTH('Raw Data'!N503)))),CONCATENATE(MONTH('Raw Data'!N503),".",RIGHT(YEAR('Raw Data'!N503),2))),'Raw Data'!N503))</f>
        <v>31.9</v>
      </c>
      <c r="O503" s="6">
        <f t="shared" si="22"/>
        <v>4.7619047619047592</v>
      </c>
      <c r="P503" s="6">
        <f t="shared" si="23"/>
        <v>1.5949999999999989</v>
      </c>
      <c r="Q503">
        <f>VALUE(IF(AND(ISERR(FIND(".",'Raw Data'!Q503)),LEN('Raw Data'!Q503)=5), IF(YEAR('Raw Data'!Q503)=2026,CONCATENATE(DAY('Raw Data'!Q503),".",IF(LEN(MONTH('Raw Data'!Q503))=2,MONTH('Raw Data'!Q503),CONCATENATE(MONTH('Raw Data'!Q503)))),CONCATENATE(MONTH('Raw Data'!Q503),".",RIGHT(YEAR('Raw Data'!Q503),2))),'Raw Data'!Q503))</f>
        <v>9.1</v>
      </c>
    </row>
    <row r="504" spans="1:17">
      <c r="A504" t="s">
        <v>591</v>
      </c>
      <c r="B504" t="s">
        <v>25</v>
      </c>
      <c r="C504" t="s">
        <v>26</v>
      </c>
      <c r="D504" t="s">
        <v>27</v>
      </c>
      <c r="E504" t="s">
        <v>30</v>
      </c>
      <c r="F504" t="s">
        <v>32</v>
      </c>
      <c r="G504">
        <f>VALUE(IF(AND(ISERR(FIND(".",'Raw Data'!G504)),LEN('Raw Data'!G504)=5), IF(YEAR('Raw Data'!G504)=2026,CONCATENATE(DAY('Raw Data'!G504),".",IF(LEN(MONTH('Raw Data'!G504))=2,MONTH('Raw Data'!G504),CONCATENATE("0",MONTH('Raw Data'!G504)))),CONCATENATE(MONTH('Raw Data'!G504),".",RIGHT(YEAR('Raw Data'!G504),2))),'Raw Data'!G504))</f>
        <v>69.400000000000006</v>
      </c>
      <c r="H504">
        <f>'Raw Data'!H504</f>
        <v>2</v>
      </c>
      <c r="I504" s="6">
        <f t="shared" si="21"/>
        <v>6.9399999999999977</v>
      </c>
      <c r="J504" s="6">
        <f>'Raw Data'!J504</f>
        <v>145.74</v>
      </c>
      <c r="K504" s="1">
        <f>VALUE(IFERROR(VALUE('Raw Data'!K504),CONCATENATE(MID('Raw Data'!K504,3,2),".","0",LEFT('Raw Data'!K504,1),".", RIGHT('Raw Data'!K504,4))))</f>
        <v>43492</v>
      </c>
      <c r="L504" s="2">
        <f>'Raw Data'!L504</f>
        <v>0.82500000000000007</v>
      </c>
      <c r="M504" t="s">
        <v>23</v>
      </c>
      <c r="N504">
        <f>VALUE(IF(AND(ISERR(FIND(".",'Raw Data'!N504)),LEN('Raw Data'!N504)=5), IF(YEAR('Raw Data'!N504)=2026,CONCATENATE(DAY('Raw Data'!N504),".",IF(LEN(MONTH('Raw Data'!N504))=2,MONTH('Raw Data'!N504),CONCATENATE("0",MONTH('Raw Data'!N504)))),CONCATENATE(MONTH('Raw Data'!N504),".",RIGHT(YEAR('Raw Data'!N504),2))),'Raw Data'!N504))</f>
        <v>138.80000000000001</v>
      </c>
      <c r="O504" s="6">
        <f t="shared" si="22"/>
        <v>4.7619047619047601</v>
      </c>
      <c r="P504" s="6">
        <f t="shared" si="23"/>
        <v>6.9399999999999977</v>
      </c>
      <c r="Q504">
        <f>VALUE(IF(AND(ISERR(FIND(".",'Raw Data'!Q504)),LEN('Raw Data'!Q504)=5), IF(YEAR('Raw Data'!Q504)=2026,CONCATENATE(DAY('Raw Data'!Q504),".",IF(LEN(MONTH('Raw Data'!Q504))=2,MONTH('Raw Data'!Q504),CONCATENATE(MONTH('Raw Data'!Q504)))),CONCATENATE(MONTH('Raw Data'!Q504),".",RIGHT(YEAR('Raw Data'!Q504),2))),'Raw Data'!Q504))</f>
        <v>9</v>
      </c>
    </row>
    <row r="505" spans="1:17">
      <c r="A505" t="s">
        <v>592</v>
      </c>
      <c r="B505" t="s">
        <v>34</v>
      </c>
      <c r="C505" t="s">
        <v>35</v>
      </c>
      <c r="D505" t="s">
        <v>27</v>
      </c>
      <c r="E505" t="s">
        <v>21</v>
      </c>
      <c r="F505" t="s">
        <v>38</v>
      </c>
      <c r="G505">
        <f>VALUE(IF(AND(ISERR(FIND(".",'Raw Data'!G505)),LEN('Raw Data'!G505)=5), IF(YEAR('Raw Data'!G505)=2026,CONCATENATE(DAY('Raw Data'!G505),".",IF(LEN(MONTH('Raw Data'!G505))=2,MONTH('Raw Data'!G505),CONCATENATE("0",MONTH('Raw Data'!G505)))),CONCATENATE(MONTH('Raw Data'!G505),".",RIGHT(YEAR('Raw Data'!G505),2))),'Raw Data'!G505))</f>
        <v>93.31</v>
      </c>
      <c r="H505">
        <f>'Raw Data'!H505</f>
        <v>2</v>
      </c>
      <c r="I505" s="6">
        <f t="shared" si="21"/>
        <v>9.3309999999999889</v>
      </c>
      <c r="J505" s="6">
        <f>'Raw Data'!J505</f>
        <v>195.95099999999999</v>
      </c>
      <c r="K505" s="1">
        <f>VALUE(IFERROR(VALUE('Raw Data'!K505),CONCATENATE(MID('Raw Data'!K505,3,2),".","0",LEFT('Raw Data'!K505,1),".", RIGHT('Raw Data'!K505,4))))</f>
        <v>43549</v>
      </c>
      <c r="L505" s="2">
        <f>'Raw Data'!L505</f>
        <v>0.74513888888888891</v>
      </c>
      <c r="M505" t="s">
        <v>29</v>
      </c>
      <c r="N505">
        <f>VALUE(IF(AND(ISERR(FIND(".",'Raw Data'!N505)),LEN('Raw Data'!N505)=5), IF(YEAR('Raw Data'!N505)=2026,CONCATENATE(DAY('Raw Data'!N505),".",IF(LEN(MONTH('Raw Data'!N505))=2,MONTH('Raw Data'!N505),CONCATENATE("0",MONTH('Raw Data'!N505)))),CONCATENATE(MONTH('Raw Data'!N505),".",RIGHT(YEAR('Raw Data'!N505),2))),'Raw Data'!N505))</f>
        <v>186.62</v>
      </c>
      <c r="O505" s="6">
        <f t="shared" si="22"/>
        <v>4.7619047619047556</v>
      </c>
      <c r="P505" s="6">
        <f t="shared" si="23"/>
        <v>9.3309999999999889</v>
      </c>
      <c r="Q505">
        <f>VALUE(IF(AND(ISERR(FIND(".",'Raw Data'!Q505)),LEN('Raw Data'!Q505)=5), IF(YEAR('Raw Data'!Q505)=2026,CONCATENATE(DAY('Raw Data'!Q505),".",IF(LEN(MONTH('Raw Data'!Q505))=2,MONTH('Raw Data'!Q505),CONCATENATE(MONTH('Raw Data'!Q505)))),CONCATENATE(MONTH('Raw Data'!Q505),".",RIGHT(YEAR('Raw Data'!Q505),2))),'Raw Data'!Q505))</f>
        <v>6.3</v>
      </c>
    </row>
    <row r="506" spans="1:17">
      <c r="A506" t="s">
        <v>593</v>
      </c>
      <c r="B506" t="s">
        <v>34</v>
      </c>
      <c r="C506" t="s">
        <v>35</v>
      </c>
      <c r="D506" t="s">
        <v>27</v>
      </c>
      <c r="E506" t="s">
        <v>30</v>
      </c>
      <c r="F506" t="s">
        <v>38</v>
      </c>
      <c r="G506">
        <f>VALUE(IF(AND(ISERR(FIND(".",'Raw Data'!G506)),LEN('Raw Data'!G506)=5), IF(YEAR('Raw Data'!G506)=2026,CONCATENATE(DAY('Raw Data'!G506),".",IF(LEN(MONTH('Raw Data'!G506))=2,MONTH('Raw Data'!G506),CONCATENATE("0",MONTH('Raw Data'!G506)))),CONCATENATE(MONTH('Raw Data'!G506),".",RIGHT(YEAR('Raw Data'!G506),2))),'Raw Data'!G506))</f>
        <v>88.45</v>
      </c>
      <c r="H506">
        <f>'Raw Data'!H506</f>
        <v>1</v>
      </c>
      <c r="I506" s="6">
        <f t="shared" si="21"/>
        <v>4.4224999999999994</v>
      </c>
      <c r="J506" s="6">
        <f>'Raw Data'!J506</f>
        <v>92.872500000000002</v>
      </c>
      <c r="K506" s="1">
        <f>VALUE(IFERROR(VALUE('Raw Data'!K506),CONCATENATE(MID('Raw Data'!K506,3,2),".","0",LEFT('Raw Data'!K506,1),".", RIGHT('Raw Data'!K506,4))))</f>
        <v>43521</v>
      </c>
      <c r="L506" s="2">
        <f>'Raw Data'!L506</f>
        <v>0.69166666666666676</v>
      </c>
      <c r="M506" t="s">
        <v>33</v>
      </c>
      <c r="N506">
        <f>VALUE(IF(AND(ISERR(FIND(".",'Raw Data'!N506)),LEN('Raw Data'!N506)=5), IF(YEAR('Raw Data'!N506)=2026,CONCATENATE(DAY('Raw Data'!N506),".",IF(LEN(MONTH('Raw Data'!N506))=2,MONTH('Raw Data'!N506),CONCATENATE("0",MONTH('Raw Data'!N506)))),CONCATENATE(MONTH('Raw Data'!N506),".",RIGHT(YEAR('Raw Data'!N506),2))),'Raw Data'!N506))</f>
        <v>88.45</v>
      </c>
      <c r="O506" s="6">
        <f t="shared" si="22"/>
        <v>4.761904761904761</v>
      </c>
      <c r="P506" s="6">
        <f t="shared" si="23"/>
        <v>4.4224999999999994</v>
      </c>
      <c r="Q506">
        <f>VALUE(IF(AND(ISERR(FIND(".",'Raw Data'!Q506)),LEN('Raw Data'!Q506)=5), IF(YEAR('Raw Data'!Q506)=2026,CONCATENATE(DAY('Raw Data'!Q506),".",IF(LEN(MONTH('Raw Data'!Q506))=2,MONTH('Raw Data'!Q506),CONCATENATE(MONTH('Raw Data'!Q506)))),CONCATENATE(MONTH('Raw Data'!Q506),".",RIGHT(YEAR('Raw Data'!Q506),2))),'Raw Data'!Q506))</f>
        <v>9.5</v>
      </c>
    </row>
    <row r="507" spans="1:17">
      <c r="A507" t="s">
        <v>594</v>
      </c>
      <c r="B507" t="s">
        <v>18</v>
      </c>
      <c r="C507" t="s">
        <v>19</v>
      </c>
      <c r="D507" t="s">
        <v>20</v>
      </c>
      <c r="E507" t="s">
        <v>30</v>
      </c>
      <c r="F507" t="s">
        <v>28</v>
      </c>
      <c r="G507">
        <f>VALUE(IF(AND(ISERR(FIND(".",'Raw Data'!G507)),LEN('Raw Data'!G507)=5), IF(YEAR('Raw Data'!G507)=2026,CONCATENATE(DAY('Raw Data'!G507),".",IF(LEN(MONTH('Raw Data'!G507))=2,MONTH('Raw Data'!G507),CONCATENATE("0",MONTH('Raw Data'!G507)))),CONCATENATE(MONTH('Raw Data'!G507),".",RIGHT(YEAR('Raw Data'!G507),2))),'Raw Data'!G507))</f>
        <v>24.18</v>
      </c>
      <c r="H507">
        <f>'Raw Data'!H507</f>
        <v>8</v>
      </c>
      <c r="I507" s="6">
        <f t="shared" si="21"/>
        <v>9.671999999999997</v>
      </c>
      <c r="J507" s="6">
        <f>'Raw Data'!J507</f>
        <v>203.11199999999999</v>
      </c>
      <c r="K507" s="1">
        <f>VALUE(IFERROR(VALUE('Raw Data'!K507),CONCATENATE(MID('Raw Data'!K507,3,2),".","0",LEFT('Raw Data'!K507,1),".", RIGHT('Raw Data'!K507,4))))</f>
        <v>43493</v>
      </c>
      <c r="L507" s="2">
        <f>'Raw Data'!L507</f>
        <v>0.87083333333333324</v>
      </c>
      <c r="M507" t="s">
        <v>23</v>
      </c>
      <c r="N507">
        <f>VALUE(IF(AND(ISERR(FIND(".",'Raw Data'!N507)),LEN('Raw Data'!N507)=5), IF(YEAR('Raw Data'!N507)=2026,CONCATENATE(DAY('Raw Data'!N507),".",IF(LEN(MONTH('Raw Data'!N507))=2,MONTH('Raw Data'!N507),CONCATENATE("0",MONTH('Raw Data'!N507)))),CONCATENATE(MONTH('Raw Data'!N507),".",RIGHT(YEAR('Raw Data'!N507),2))),'Raw Data'!N507))</f>
        <v>193.44</v>
      </c>
      <c r="O507" s="6">
        <f t="shared" si="22"/>
        <v>4.7619047619047601</v>
      </c>
      <c r="P507" s="6">
        <f t="shared" si="23"/>
        <v>9.671999999999997</v>
      </c>
      <c r="Q507">
        <f>VALUE(IF(AND(ISERR(FIND(".",'Raw Data'!Q507)),LEN('Raw Data'!Q507)=5), IF(YEAR('Raw Data'!Q507)=2026,CONCATENATE(DAY('Raw Data'!Q507),".",IF(LEN(MONTH('Raw Data'!Q507))=2,MONTH('Raw Data'!Q507),CONCATENATE(MONTH('Raw Data'!Q507)))),CONCATENATE(MONTH('Raw Data'!Q507),".",RIGHT(YEAR('Raw Data'!Q507),2))),'Raw Data'!Q507))</f>
        <v>9.8000000000000007</v>
      </c>
    </row>
    <row r="508" spans="1:17">
      <c r="A508" t="s">
        <v>595</v>
      </c>
      <c r="B508" t="s">
        <v>34</v>
      </c>
      <c r="C508" t="s">
        <v>35</v>
      </c>
      <c r="D508" t="s">
        <v>20</v>
      </c>
      <c r="E508" t="s">
        <v>21</v>
      </c>
      <c r="F508" t="s">
        <v>38</v>
      </c>
      <c r="G508">
        <f>VALUE(IF(AND(ISERR(FIND(".",'Raw Data'!G508)),LEN('Raw Data'!G508)=5), IF(YEAR('Raw Data'!G508)=2026,CONCATENATE(DAY('Raw Data'!G508),".",IF(LEN(MONTH('Raw Data'!G508))=2,MONTH('Raw Data'!G508),CONCATENATE("0",MONTH('Raw Data'!G508)))),CONCATENATE(MONTH('Raw Data'!G508),".",RIGHT(YEAR('Raw Data'!G508),2))),'Raw Data'!G508))</f>
        <v>48.5</v>
      </c>
      <c r="H508">
        <f>'Raw Data'!H508</f>
        <v>3</v>
      </c>
      <c r="I508" s="6">
        <f t="shared" si="21"/>
        <v>7.2750000000000057</v>
      </c>
      <c r="J508" s="6">
        <f>'Raw Data'!J508</f>
        <v>152.77500000000001</v>
      </c>
      <c r="K508" s="1">
        <f>VALUE(IFERROR(VALUE('Raw Data'!K508),CONCATENATE(MID('Raw Data'!K508,3,2),".","0",LEFT('Raw Data'!K508,1),".", RIGHT('Raw Data'!K508,4))))</f>
        <v>43678</v>
      </c>
      <c r="L508" s="2">
        <f>'Raw Data'!L508</f>
        <v>0.53472222222222221</v>
      </c>
      <c r="M508" t="s">
        <v>29</v>
      </c>
      <c r="N508">
        <f>VALUE(IF(AND(ISERR(FIND(".",'Raw Data'!N508)),LEN('Raw Data'!N508)=5), IF(YEAR('Raw Data'!N508)=2026,CONCATENATE(DAY('Raw Data'!N508),".",IF(LEN(MONTH('Raw Data'!N508))=2,MONTH('Raw Data'!N508),CONCATENATE("0",MONTH('Raw Data'!N508)))),CONCATENATE(MONTH('Raw Data'!N508),".",RIGHT(YEAR('Raw Data'!N508),2))),'Raw Data'!N508))</f>
        <v>145.5</v>
      </c>
      <c r="O508" s="6">
        <f t="shared" si="22"/>
        <v>4.7619047619047654</v>
      </c>
      <c r="P508" s="6">
        <f t="shared" si="23"/>
        <v>7.2750000000000057</v>
      </c>
      <c r="Q508">
        <f>VALUE(IF(AND(ISERR(FIND(".",'Raw Data'!Q508)),LEN('Raw Data'!Q508)=5), IF(YEAR('Raw Data'!Q508)=2026,CONCATENATE(DAY('Raw Data'!Q508),".",IF(LEN(MONTH('Raw Data'!Q508))=2,MONTH('Raw Data'!Q508),CONCATENATE(MONTH('Raw Data'!Q508)))),CONCATENATE(MONTH('Raw Data'!Q508),".",RIGHT(YEAR('Raw Data'!Q508),2))),'Raw Data'!Q508))</f>
        <v>6.7</v>
      </c>
    </row>
    <row r="509" spans="1:17">
      <c r="A509" t="s">
        <v>596</v>
      </c>
      <c r="B509" t="s">
        <v>34</v>
      </c>
      <c r="C509" t="s">
        <v>35</v>
      </c>
      <c r="D509" t="s">
        <v>27</v>
      </c>
      <c r="E509" t="s">
        <v>21</v>
      </c>
      <c r="F509" t="s">
        <v>40</v>
      </c>
      <c r="G509">
        <f>VALUE(IF(AND(ISERR(FIND(".",'Raw Data'!G509)),LEN('Raw Data'!G509)=5), IF(YEAR('Raw Data'!G509)=2026,CONCATENATE(DAY('Raw Data'!G509),".",IF(LEN(MONTH('Raw Data'!G509))=2,MONTH('Raw Data'!G509),CONCATENATE("0",MONTH('Raw Data'!G509)))),CONCATENATE(MONTH('Raw Data'!G509),".",RIGHT(YEAR('Raw Data'!G509),2))),'Raw Data'!G509))</f>
        <v>84.05</v>
      </c>
      <c r="H509">
        <f>'Raw Data'!H509</f>
        <v>6</v>
      </c>
      <c r="I509" s="6">
        <f t="shared" si="21"/>
        <v>25.215000000000032</v>
      </c>
      <c r="J509" s="6">
        <f>'Raw Data'!J509</f>
        <v>529.51499999999999</v>
      </c>
      <c r="K509" s="1">
        <f>VALUE(IFERROR(VALUE('Raw Data'!K509),CONCATENATE(MID('Raw Data'!K509,3,2),".","0",LEFT('Raw Data'!K509,1),".", RIGHT('Raw Data'!K509,4))))</f>
        <v>43494</v>
      </c>
      <c r="L509" s="2">
        <f>'Raw Data'!L509</f>
        <v>0.45</v>
      </c>
      <c r="M509" t="s">
        <v>33</v>
      </c>
      <c r="N509">
        <f>VALUE(IF(AND(ISERR(FIND(".",'Raw Data'!N509)),LEN('Raw Data'!N509)=5), IF(YEAR('Raw Data'!N509)=2026,CONCATENATE(DAY('Raw Data'!N509),".",IF(LEN(MONTH('Raw Data'!N509))=2,MONTH('Raw Data'!N509),CONCATENATE("0",MONTH('Raw Data'!N509)))),CONCATENATE(MONTH('Raw Data'!N509),".",RIGHT(YEAR('Raw Data'!N509),2))),'Raw Data'!N509))</f>
        <v>504.3</v>
      </c>
      <c r="O509" s="6">
        <f t="shared" si="22"/>
        <v>4.7619047619047574</v>
      </c>
      <c r="P509" s="6">
        <f t="shared" si="23"/>
        <v>25.214999999999975</v>
      </c>
      <c r="Q509">
        <f>VALUE(IF(AND(ISERR(FIND(".",'Raw Data'!Q509)),LEN('Raw Data'!Q509)=5), IF(YEAR('Raw Data'!Q509)=2026,CONCATENATE(DAY('Raw Data'!Q509),".",IF(LEN(MONTH('Raw Data'!Q509))=2,MONTH('Raw Data'!Q509),CONCATENATE(MONTH('Raw Data'!Q509)))),CONCATENATE(MONTH('Raw Data'!Q509),".",RIGHT(YEAR('Raw Data'!Q509),2))),'Raw Data'!Q509))</f>
        <v>7.7</v>
      </c>
    </row>
    <row r="510" spans="1:17">
      <c r="A510" t="s">
        <v>597</v>
      </c>
      <c r="B510" t="s">
        <v>34</v>
      </c>
      <c r="C510" t="s">
        <v>35</v>
      </c>
      <c r="D510" t="s">
        <v>20</v>
      </c>
      <c r="E510" t="s">
        <v>30</v>
      </c>
      <c r="F510" t="s">
        <v>22</v>
      </c>
      <c r="G510">
        <f>VALUE(IF(AND(ISERR(FIND(".",'Raw Data'!G510)),LEN('Raw Data'!G510)=5), IF(YEAR('Raw Data'!G510)=2026,CONCATENATE(DAY('Raw Data'!G510),".",IF(LEN(MONTH('Raw Data'!G510))=2,MONTH('Raw Data'!G510),CONCATENATE("0",MONTH('Raw Data'!G510)))),CONCATENATE(MONTH('Raw Data'!G510),".",RIGHT(YEAR('Raw Data'!G510),2))),'Raw Data'!G510))</f>
        <v>61.29</v>
      </c>
      <c r="H510">
        <f>'Raw Data'!H510</f>
        <v>5</v>
      </c>
      <c r="I510" s="6">
        <f t="shared" si="21"/>
        <v>15.322499999999991</v>
      </c>
      <c r="J510" s="6">
        <f>'Raw Data'!J510</f>
        <v>321.77249999999998</v>
      </c>
      <c r="K510" s="1">
        <f>VALUE(IFERROR(VALUE('Raw Data'!K510),CONCATENATE(MID('Raw Data'!K510,3,2),".","0",LEFT('Raw Data'!K510,1),".", RIGHT('Raw Data'!K510,4))))</f>
        <v>43553</v>
      </c>
      <c r="L510" s="2">
        <f>'Raw Data'!L510</f>
        <v>0.60277777777777775</v>
      </c>
      <c r="M510" t="s">
        <v>29</v>
      </c>
      <c r="N510">
        <f>VALUE(IF(AND(ISERR(FIND(".",'Raw Data'!N510)),LEN('Raw Data'!N510)=5), IF(YEAR('Raw Data'!N510)=2026,CONCATENATE(DAY('Raw Data'!N510),".",IF(LEN(MONTH('Raw Data'!N510))=2,MONTH('Raw Data'!N510),CONCATENATE("0",MONTH('Raw Data'!N510)))),CONCATENATE(MONTH('Raw Data'!N510),".",RIGHT(YEAR('Raw Data'!N510),2))),'Raw Data'!N510))</f>
        <v>306.45</v>
      </c>
      <c r="O510" s="6">
        <f t="shared" si="22"/>
        <v>4.7619047619047592</v>
      </c>
      <c r="P510" s="6">
        <f t="shared" si="23"/>
        <v>15.322499999999991</v>
      </c>
      <c r="Q510">
        <f>VALUE(IF(AND(ISERR(FIND(".",'Raw Data'!Q510)),LEN('Raw Data'!Q510)=5), IF(YEAR('Raw Data'!Q510)=2026,CONCATENATE(DAY('Raw Data'!Q510),".",IF(LEN(MONTH('Raw Data'!Q510))=2,MONTH('Raw Data'!Q510),CONCATENATE(MONTH('Raw Data'!Q510)))),CONCATENATE(MONTH('Raw Data'!Q510),".",RIGHT(YEAR('Raw Data'!Q510),2))),'Raw Data'!Q510))</f>
        <v>7</v>
      </c>
    </row>
    <row r="511" spans="1:17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f>VALUE(IF(AND(ISERR(FIND(".",'Raw Data'!G511)),LEN('Raw Data'!G511)=5), IF(YEAR('Raw Data'!G511)=2026,CONCATENATE(DAY('Raw Data'!G511),".",IF(LEN(MONTH('Raw Data'!G511))=2,MONTH('Raw Data'!G511),CONCATENATE("0",MONTH('Raw Data'!G511)))),CONCATENATE(MONTH('Raw Data'!G511),".",RIGHT(YEAR('Raw Data'!G511),2))),'Raw Data'!G511))</f>
        <v>15.95</v>
      </c>
      <c r="H511">
        <f>'Raw Data'!H511</f>
        <v>6</v>
      </c>
      <c r="I511" s="6">
        <f t="shared" si="21"/>
        <v>4.7850000000000108</v>
      </c>
      <c r="J511" s="6">
        <f>'Raw Data'!J511</f>
        <v>100.485</v>
      </c>
      <c r="K511" s="1">
        <f>VALUE(IFERROR(VALUE('Raw Data'!K511),CONCATENATE(MID('Raw Data'!K511,3,2),".","0",LEFT('Raw Data'!K511,1),".", RIGHT('Raw Data'!K511,4))))</f>
        <v>43710</v>
      </c>
      <c r="L511" s="2">
        <f>'Raw Data'!L511</f>
        <v>0.71875</v>
      </c>
      <c r="M511" t="s">
        <v>33</v>
      </c>
      <c r="N511">
        <f>VALUE(IF(AND(ISERR(FIND(".",'Raw Data'!N511)),LEN('Raw Data'!N511)=5), IF(YEAR('Raw Data'!N511)=2026,CONCATENATE(DAY('Raw Data'!N511),".",IF(LEN(MONTH('Raw Data'!N511))=2,MONTH('Raw Data'!N511),CONCATENATE("0",MONTH('Raw Data'!N511)))),CONCATENATE(MONTH('Raw Data'!N511),".",RIGHT(YEAR('Raw Data'!N511),2))),'Raw Data'!N511))</f>
        <v>95.7</v>
      </c>
      <c r="O511" s="6">
        <f t="shared" si="22"/>
        <v>4.7619047619047592</v>
      </c>
      <c r="P511" s="6">
        <f t="shared" si="23"/>
        <v>4.7849999999999966</v>
      </c>
      <c r="Q511">
        <f>VALUE(IF(AND(ISERR(FIND(".",'Raw Data'!Q511)),LEN('Raw Data'!Q511)=5), IF(YEAR('Raw Data'!Q511)=2026,CONCATENATE(DAY('Raw Data'!Q511),".",IF(LEN(MONTH('Raw Data'!Q511))=2,MONTH('Raw Data'!Q511),CONCATENATE(MONTH('Raw Data'!Q511)))),CONCATENATE(MONTH('Raw Data'!Q511),".",RIGHT(YEAR('Raw Data'!Q511),2))),'Raw Data'!Q511))</f>
        <v>5.0999999999999996</v>
      </c>
    </row>
    <row r="512" spans="1:17">
      <c r="A512" t="s">
        <v>599</v>
      </c>
      <c r="B512" t="s">
        <v>34</v>
      </c>
      <c r="C512" t="s">
        <v>35</v>
      </c>
      <c r="D512" t="s">
        <v>20</v>
      </c>
      <c r="E512" t="s">
        <v>21</v>
      </c>
      <c r="F512" t="s">
        <v>38</v>
      </c>
      <c r="G512">
        <f>VALUE(IF(AND(ISERR(FIND(".",'Raw Data'!G512)),LEN('Raw Data'!G512)=5), IF(YEAR('Raw Data'!G512)=2026,CONCATENATE(DAY('Raw Data'!G512),".",IF(LEN(MONTH('Raw Data'!G512))=2,MONTH('Raw Data'!G512),CONCATENATE("0",MONTH('Raw Data'!G512)))),CONCATENATE(MONTH('Raw Data'!G512),".",RIGHT(YEAR('Raw Data'!G512),2))),'Raw Data'!G512))</f>
        <v>90.74</v>
      </c>
      <c r="H512">
        <f>'Raw Data'!H512</f>
        <v>7</v>
      </c>
      <c r="I512" s="6">
        <f t="shared" si="21"/>
        <v>31.759000000000015</v>
      </c>
      <c r="J512" s="6">
        <f>'Raw Data'!J512</f>
        <v>666.93899999999996</v>
      </c>
      <c r="K512" s="1">
        <f>VALUE(IFERROR(VALUE('Raw Data'!K512),CONCATENATE(MID('Raw Data'!K512,3,2),".","0",LEFT('Raw Data'!K512,1),".", RIGHT('Raw Data'!K512,4))))</f>
        <v>43481</v>
      </c>
      <c r="L512" s="2">
        <f>'Raw Data'!L512</f>
        <v>0.75208333333333333</v>
      </c>
      <c r="M512" t="s">
        <v>33</v>
      </c>
      <c r="N512">
        <f>VALUE(IF(AND(ISERR(FIND(".",'Raw Data'!N512)),LEN('Raw Data'!N512)=5), IF(YEAR('Raw Data'!N512)=2026,CONCATENATE(DAY('Raw Data'!N512),".",IF(LEN(MONTH('Raw Data'!N512))=2,MONTH('Raw Data'!N512),CONCATENATE("0",MONTH('Raw Data'!N512)))),CONCATENATE(MONTH('Raw Data'!N512),".",RIGHT(YEAR('Raw Data'!N512),2))),'Raw Data'!N512))</f>
        <v>635.17999999999995</v>
      </c>
      <c r="O512" s="6">
        <f t="shared" si="22"/>
        <v>4.7619047619047645</v>
      </c>
      <c r="P512" s="6">
        <f t="shared" si="23"/>
        <v>31.759000000000015</v>
      </c>
      <c r="Q512">
        <f>VALUE(IF(AND(ISERR(FIND(".",'Raw Data'!Q512)),LEN('Raw Data'!Q512)=5), IF(YEAR('Raw Data'!Q512)=2026,CONCATENATE(DAY('Raw Data'!Q512),".",IF(LEN(MONTH('Raw Data'!Q512))=2,MONTH('Raw Data'!Q512),CONCATENATE(MONTH('Raw Data'!Q512)))),CONCATENATE(MONTH('Raw Data'!Q512),".",RIGHT(YEAR('Raw Data'!Q512),2))),'Raw Data'!Q512))</f>
        <v>6.2</v>
      </c>
    </row>
    <row r="513" spans="1:17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f>VALUE(IF(AND(ISERR(FIND(".",'Raw Data'!G513)),LEN('Raw Data'!G513)=5), IF(YEAR('Raw Data'!G513)=2026,CONCATENATE(DAY('Raw Data'!G513),".",IF(LEN(MONTH('Raw Data'!G513))=2,MONTH('Raw Data'!G513),CONCATENATE("0",MONTH('Raw Data'!G513)))),CONCATENATE(MONTH('Raw Data'!G513),".",RIGHT(YEAR('Raw Data'!G513),2))),'Raw Data'!G513))</f>
        <v>42.91</v>
      </c>
      <c r="H513">
        <f>'Raw Data'!H513</f>
        <v>5</v>
      </c>
      <c r="I513" s="6">
        <f t="shared" si="21"/>
        <v>10.72750000000002</v>
      </c>
      <c r="J513" s="6">
        <f>'Raw Data'!J513</f>
        <v>225.2775</v>
      </c>
      <c r="K513" s="1">
        <f>VALUE(IFERROR(VALUE('Raw Data'!K513),CONCATENATE(MID('Raw Data'!K513,3,2),".","0",LEFT('Raw Data'!K513,1),".", RIGHT('Raw Data'!K513,4))))</f>
        <v>43586</v>
      </c>
      <c r="L513" s="2">
        <f>'Raw Data'!L513</f>
        <v>0.7284722222222223</v>
      </c>
      <c r="M513" t="s">
        <v>23</v>
      </c>
      <c r="N513">
        <f>VALUE(IF(AND(ISERR(FIND(".",'Raw Data'!N513)),LEN('Raw Data'!N513)=5), IF(YEAR('Raw Data'!N513)=2026,CONCATENATE(DAY('Raw Data'!N513),".",IF(LEN(MONTH('Raw Data'!N513))=2,MONTH('Raw Data'!N513),CONCATENATE("0",MONTH('Raw Data'!N513)))),CONCATENATE(MONTH('Raw Data'!N513),".",RIGHT(YEAR('Raw Data'!N513),2))),'Raw Data'!N513))</f>
        <v>214.55</v>
      </c>
      <c r="O513" s="6">
        <f t="shared" si="22"/>
        <v>4.7619047619047583</v>
      </c>
      <c r="P513" s="6">
        <f t="shared" si="23"/>
        <v>10.727499999999992</v>
      </c>
      <c r="Q513">
        <f>VALUE(IF(AND(ISERR(FIND(".",'Raw Data'!Q513)),LEN('Raw Data'!Q513)=5), IF(YEAR('Raw Data'!Q513)=2026,CONCATENATE(DAY('Raw Data'!Q513),".",IF(LEN(MONTH('Raw Data'!Q513))=2,MONTH('Raw Data'!Q513),CONCATENATE(MONTH('Raw Data'!Q513)))),CONCATENATE(MONTH('Raw Data'!Q513),".",RIGHT(YEAR('Raw Data'!Q513),2))),'Raw Data'!Q513))</f>
        <v>6.1</v>
      </c>
    </row>
    <row r="514" spans="1:17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43</v>
      </c>
      <c r="G514">
        <f>VALUE(IF(AND(ISERR(FIND(".",'Raw Data'!G514)),LEN('Raw Data'!G514)=5), IF(YEAR('Raw Data'!G514)=2026,CONCATENATE(DAY('Raw Data'!G514),".",IF(LEN(MONTH('Raw Data'!G514))=2,MONTH('Raw Data'!G514),CONCATENATE("0",MONTH('Raw Data'!G514)))),CONCATENATE(MONTH('Raw Data'!G514),".",RIGHT(YEAR('Raw Data'!G514),2))),'Raw Data'!G514))</f>
        <v>54.28</v>
      </c>
      <c r="H514">
        <f>'Raw Data'!H514</f>
        <v>7</v>
      </c>
      <c r="I514" s="6">
        <f t="shared" si="21"/>
        <v>18.99799999999999</v>
      </c>
      <c r="J514" s="6">
        <f>'Raw Data'!J514</f>
        <v>398.95800000000003</v>
      </c>
      <c r="K514" s="1">
        <f>VALUE(IFERROR(VALUE('Raw Data'!K514),CONCATENATE(MID('Raw Data'!K514,3,2),".","0",LEFT('Raw Data'!K514,1),".", RIGHT('Raw Data'!K514,4))))</f>
        <v>43492</v>
      </c>
      <c r="L514" s="2">
        <f>'Raw Data'!L514</f>
        <v>0.75347222222222221</v>
      </c>
      <c r="M514" t="s">
        <v>23</v>
      </c>
      <c r="N514">
        <f>VALUE(IF(AND(ISERR(FIND(".",'Raw Data'!N514)),LEN('Raw Data'!N514)=5), IF(YEAR('Raw Data'!N514)=2026,CONCATENATE(DAY('Raw Data'!N514),".",IF(LEN(MONTH('Raw Data'!N514))=2,MONTH('Raw Data'!N514),CONCATENATE("0",MONTH('Raw Data'!N514)))),CONCATENATE(MONTH('Raw Data'!N514),".",RIGHT(YEAR('Raw Data'!N514),2))),'Raw Data'!N514))</f>
        <v>379.96</v>
      </c>
      <c r="O514" s="6">
        <f t="shared" si="22"/>
        <v>4.7619047619047734</v>
      </c>
      <c r="P514" s="6">
        <f t="shared" si="23"/>
        <v>18.998000000000047</v>
      </c>
      <c r="Q514">
        <f>VALUE(IF(AND(ISERR(FIND(".",'Raw Data'!Q514)),LEN('Raw Data'!Q514)=5), IF(YEAR('Raw Data'!Q514)=2026,CONCATENATE(DAY('Raw Data'!Q514),".",IF(LEN(MONTH('Raw Data'!Q514))=2,MONTH('Raw Data'!Q514),CONCATENATE(MONTH('Raw Data'!Q514)))),CONCATENATE(MONTH('Raw Data'!Q514),".",RIGHT(YEAR('Raw Data'!Q514),2))),'Raw Data'!Q514))</f>
        <v>9.3000000000000007</v>
      </c>
    </row>
    <row r="515" spans="1:17">
      <c r="A515" t="s">
        <v>602</v>
      </c>
      <c r="B515" t="s">
        <v>18</v>
      </c>
      <c r="C515" t="s">
        <v>19</v>
      </c>
      <c r="D515" t="s">
        <v>27</v>
      </c>
      <c r="E515" t="s">
        <v>30</v>
      </c>
      <c r="F515" t="s">
        <v>28</v>
      </c>
      <c r="G515">
        <f>VALUE(IF(AND(ISERR(FIND(".",'Raw Data'!G515)),LEN('Raw Data'!G515)=5), IF(YEAR('Raw Data'!G515)=2026,CONCATENATE(DAY('Raw Data'!G515),".",IF(LEN(MONTH('Raw Data'!G515))=2,MONTH('Raw Data'!G515),CONCATENATE("0",MONTH('Raw Data'!G515)))),CONCATENATE(MONTH('Raw Data'!G515),".",RIGHT(YEAR('Raw Data'!G515),2))),'Raw Data'!G515))</f>
        <v>99.55</v>
      </c>
      <c r="H515">
        <f>'Raw Data'!H515</f>
        <v>7</v>
      </c>
      <c r="I515" s="6">
        <f t="shared" ref="I515:I578" si="24">J515-G515*H515</f>
        <v>34.842499999999973</v>
      </c>
      <c r="J515" s="6">
        <f>'Raw Data'!J515</f>
        <v>731.6925</v>
      </c>
      <c r="K515" s="1">
        <f>VALUE(IFERROR(VALUE('Raw Data'!K515),CONCATENATE(MID('Raw Data'!K515,3,2),".","0",LEFT('Raw Data'!K515,1),".", RIGHT('Raw Data'!K515,4))))</f>
        <v>43538</v>
      </c>
      <c r="L515" s="2">
        <f>'Raw Data'!L515</f>
        <v>0.50486111111111109</v>
      </c>
      <c r="M515" t="s">
        <v>29</v>
      </c>
      <c r="N515">
        <f>VALUE(IF(AND(ISERR(FIND(".",'Raw Data'!N515)),LEN('Raw Data'!N515)=5), IF(YEAR('Raw Data'!N515)=2026,CONCATENATE(DAY('Raw Data'!N515),".",IF(LEN(MONTH('Raw Data'!N515))=2,MONTH('Raw Data'!N515),CONCATENATE("0",MONTH('Raw Data'!N515)))),CONCATENATE(MONTH('Raw Data'!N515),".",RIGHT(YEAR('Raw Data'!N515),2))),'Raw Data'!N515))</f>
        <v>696.85</v>
      </c>
      <c r="O515" s="6">
        <f t="shared" ref="O515:O578" si="25">P515/J515*100</f>
        <v>4.7619047619047583</v>
      </c>
      <c r="P515" s="6">
        <f t="shared" ref="P515:P578" si="26">J515-N515</f>
        <v>34.842499999999973</v>
      </c>
      <c r="Q515">
        <f>VALUE(IF(AND(ISERR(FIND(".",'Raw Data'!Q515)),LEN('Raw Data'!Q515)=5), IF(YEAR('Raw Data'!Q515)=2026,CONCATENATE(DAY('Raw Data'!Q515),".",IF(LEN(MONTH('Raw Data'!Q515))=2,MONTH('Raw Data'!Q515),CONCATENATE(MONTH('Raw Data'!Q515)))),CONCATENATE(MONTH('Raw Data'!Q515),".",RIGHT(YEAR('Raw Data'!Q515),2))),'Raw Data'!Q515))</f>
        <v>7.6</v>
      </c>
    </row>
    <row r="516" spans="1:17">
      <c r="A516" t="s">
        <v>603</v>
      </c>
      <c r="B516" t="s">
        <v>25</v>
      </c>
      <c r="C516" t="s">
        <v>26</v>
      </c>
      <c r="D516" t="s">
        <v>20</v>
      </c>
      <c r="E516" t="s">
        <v>30</v>
      </c>
      <c r="F516" t="s">
        <v>38</v>
      </c>
      <c r="G516">
        <f>VALUE(IF(AND(ISERR(FIND(".",'Raw Data'!G516)),LEN('Raw Data'!G516)=5), IF(YEAR('Raw Data'!G516)=2026,CONCATENATE(DAY('Raw Data'!G516),".",IF(LEN(MONTH('Raw Data'!G516))=2,MONTH('Raw Data'!G516),CONCATENATE("0",MONTH('Raw Data'!G516)))),CONCATENATE(MONTH('Raw Data'!G516),".",RIGHT(YEAR('Raw Data'!G516),2))),'Raw Data'!G516))</f>
        <v>58.39</v>
      </c>
      <c r="H516">
        <f>'Raw Data'!H516</f>
        <v>7</v>
      </c>
      <c r="I516" s="6">
        <f t="shared" si="24"/>
        <v>20.436499999999967</v>
      </c>
      <c r="J516" s="6">
        <f>'Raw Data'!J516</f>
        <v>429.16649999999998</v>
      </c>
      <c r="K516" s="1">
        <f>VALUE(IFERROR(VALUE('Raw Data'!K516),CONCATENATE(MID('Raw Data'!K516,3,2),".","0",LEFT('Raw Data'!K516,1),".", RIGHT('Raw Data'!K516,4))))</f>
        <v>43519</v>
      </c>
      <c r="L516" s="2">
        <f>'Raw Data'!L516</f>
        <v>0.8256944444444444</v>
      </c>
      <c r="M516" t="s">
        <v>33</v>
      </c>
      <c r="N516">
        <f>VALUE(IF(AND(ISERR(FIND(".",'Raw Data'!N516)),LEN('Raw Data'!N516)=5), IF(YEAR('Raw Data'!N516)=2026,CONCATENATE(DAY('Raw Data'!N516),".",IF(LEN(MONTH('Raw Data'!N516))=2,MONTH('Raw Data'!N516),CONCATENATE("0",MONTH('Raw Data'!N516)))),CONCATENATE(MONTH('Raw Data'!N516),".",RIGHT(YEAR('Raw Data'!N516),2))),'Raw Data'!N516))</f>
        <v>408.73</v>
      </c>
      <c r="O516" s="6">
        <f t="shared" si="25"/>
        <v>4.7619047619047539</v>
      </c>
      <c r="P516" s="6">
        <f t="shared" si="26"/>
        <v>20.436499999999967</v>
      </c>
      <c r="Q516">
        <f>VALUE(IF(AND(ISERR(FIND(".",'Raw Data'!Q516)),LEN('Raw Data'!Q516)=5), IF(YEAR('Raw Data'!Q516)=2026,CONCATENATE(DAY('Raw Data'!Q516),".",IF(LEN(MONTH('Raw Data'!Q516))=2,MONTH('Raw Data'!Q516),CONCATENATE(MONTH('Raw Data'!Q516)))),CONCATENATE(MONTH('Raw Data'!Q516),".",RIGHT(YEAR('Raw Data'!Q516),2))),'Raw Data'!Q516))</f>
        <v>8.1999999999999993</v>
      </c>
    </row>
    <row r="517" spans="1:17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43</v>
      </c>
      <c r="G517">
        <f>VALUE(IF(AND(ISERR(FIND(".",'Raw Data'!G517)),LEN('Raw Data'!G517)=5), IF(YEAR('Raw Data'!G517)=2026,CONCATENATE(DAY('Raw Data'!G517),".",IF(LEN(MONTH('Raw Data'!G517))=2,MONTH('Raw Data'!G517),CONCATENATE("0",MONTH('Raw Data'!G517)))),CONCATENATE(MONTH('Raw Data'!G517),".",RIGHT(YEAR('Raw Data'!G517),2))),'Raw Data'!G517))</f>
        <v>51.47</v>
      </c>
      <c r="H517">
        <f>'Raw Data'!H517</f>
        <v>1</v>
      </c>
      <c r="I517" s="6">
        <f t="shared" si="24"/>
        <v>2.5735000000000028</v>
      </c>
      <c r="J517" s="6">
        <f>'Raw Data'!J517</f>
        <v>54.043500000000002</v>
      </c>
      <c r="K517" s="1">
        <f>VALUE(IFERROR(VALUE('Raw Data'!K517),CONCATENATE(MID('Raw Data'!K517,3,2),".","0",LEFT('Raw Data'!K517,1),".", RIGHT('Raw Data'!K517,4))))</f>
        <v>43542</v>
      </c>
      <c r="L517" s="2">
        <f>'Raw Data'!L517</f>
        <v>0.66111111111111109</v>
      </c>
      <c r="M517" t="s">
        <v>23</v>
      </c>
      <c r="N517">
        <f>VALUE(IF(AND(ISERR(FIND(".",'Raw Data'!N517)),LEN('Raw Data'!N517)=5), IF(YEAR('Raw Data'!N517)=2026,CONCATENATE(DAY('Raw Data'!N517),".",IF(LEN(MONTH('Raw Data'!N517))=2,MONTH('Raw Data'!N517),CONCATENATE("0",MONTH('Raw Data'!N517)))),CONCATENATE(MONTH('Raw Data'!N517),".",RIGHT(YEAR('Raw Data'!N517),2))),'Raw Data'!N517))</f>
        <v>51.47</v>
      </c>
      <c r="O517" s="6">
        <f t="shared" si="25"/>
        <v>4.7619047619047672</v>
      </c>
      <c r="P517" s="6">
        <f t="shared" si="26"/>
        <v>2.5735000000000028</v>
      </c>
      <c r="Q517">
        <f>VALUE(IF(AND(ISERR(FIND(".",'Raw Data'!Q517)),LEN('Raw Data'!Q517)=5), IF(YEAR('Raw Data'!Q517)=2026,CONCATENATE(DAY('Raw Data'!Q517),".",IF(LEN(MONTH('Raw Data'!Q517))=2,MONTH('Raw Data'!Q517),CONCATENATE(MONTH('Raw Data'!Q517)))),CONCATENATE(MONTH('Raw Data'!Q517),".",RIGHT(YEAR('Raw Data'!Q517),2))),'Raw Data'!Q517))</f>
        <v>8.5</v>
      </c>
    </row>
    <row r="518" spans="1:17">
      <c r="A518" t="s">
        <v>605</v>
      </c>
      <c r="B518" t="s">
        <v>34</v>
      </c>
      <c r="C518" t="s">
        <v>35</v>
      </c>
      <c r="D518" t="s">
        <v>20</v>
      </c>
      <c r="E518" t="s">
        <v>30</v>
      </c>
      <c r="F518" t="s">
        <v>22</v>
      </c>
      <c r="G518">
        <f>VALUE(IF(AND(ISERR(FIND(".",'Raw Data'!G518)),LEN('Raw Data'!G518)=5), IF(YEAR('Raw Data'!G518)=2026,CONCATENATE(DAY('Raw Data'!G518),".",IF(LEN(MONTH('Raw Data'!G518))=2,MONTH('Raw Data'!G518),CONCATENATE("0",MONTH('Raw Data'!G518)))),CONCATENATE(MONTH('Raw Data'!G518),".",RIGHT(YEAR('Raw Data'!G518),2))),'Raw Data'!G518))</f>
        <v>54.86</v>
      </c>
      <c r="H518">
        <f>'Raw Data'!H518</f>
        <v>5</v>
      </c>
      <c r="I518" s="6">
        <f t="shared" si="24"/>
        <v>13.714999999999975</v>
      </c>
      <c r="J518" s="6">
        <f>'Raw Data'!J518</f>
        <v>288.01499999999999</v>
      </c>
      <c r="K518" s="1">
        <f>VALUE(IFERROR(VALUE('Raw Data'!K518),CONCATENATE(MID('Raw Data'!K518,3,2),".","0",LEFT('Raw Data'!K518,1),".", RIGHT('Raw Data'!K518,4))))</f>
        <v>43553</v>
      </c>
      <c r="L518" s="2">
        <f>'Raw Data'!L518</f>
        <v>0.70000000000000007</v>
      </c>
      <c r="M518" t="s">
        <v>23</v>
      </c>
      <c r="N518">
        <f>VALUE(IF(AND(ISERR(FIND(".",'Raw Data'!N518)),LEN('Raw Data'!N518)=5), IF(YEAR('Raw Data'!N518)=2026,CONCATENATE(DAY('Raw Data'!N518),".",IF(LEN(MONTH('Raw Data'!N518))=2,MONTH('Raw Data'!N518),CONCATENATE("0",MONTH('Raw Data'!N518)))),CONCATENATE(MONTH('Raw Data'!N518),".",RIGHT(YEAR('Raw Data'!N518),2))),'Raw Data'!N518))</f>
        <v>274.3</v>
      </c>
      <c r="O518" s="6">
        <f t="shared" si="25"/>
        <v>4.761904761904753</v>
      </c>
      <c r="P518" s="6">
        <f t="shared" si="26"/>
        <v>13.714999999999975</v>
      </c>
      <c r="Q518">
        <f>VALUE(IF(AND(ISERR(FIND(".",'Raw Data'!Q518)),LEN('Raw Data'!Q518)=5), IF(YEAR('Raw Data'!Q518)=2026,CONCATENATE(DAY('Raw Data'!Q518),".",IF(LEN(MONTH('Raw Data'!Q518))=2,MONTH('Raw Data'!Q518),CONCATENATE(MONTH('Raw Data'!Q518)))),CONCATENATE(MONTH('Raw Data'!Q518),".",RIGHT(YEAR('Raw Data'!Q518),2))),'Raw Data'!Q518))</f>
        <v>9.8000000000000007</v>
      </c>
    </row>
    <row r="519" spans="1:17">
      <c r="A519" t="s">
        <v>606</v>
      </c>
      <c r="B519" t="s">
        <v>25</v>
      </c>
      <c r="C519" t="s">
        <v>26</v>
      </c>
      <c r="D519" t="s">
        <v>20</v>
      </c>
      <c r="E519" t="s">
        <v>30</v>
      </c>
      <c r="F519" t="s">
        <v>32</v>
      </c>
      <c r="G519">
        <f>VALUE(IF(AND(ISERR(FIND(".",'Raw Data'!G519)),LEN('Raw Data'!G519)=5), IF(YEAR('Raw Data'!G519)=2026,CONCATENATE(DAY('Raw Data'!G519),".",IF(LEN(MONTH('Raw Data'!G519))=2,MONTH('Raw Data'!G519),CONCATENATE("0",MONTH('Raw Data'!G519)))),CONCATENATE(MONTH('Raw Data'!G519),".",RIGHT(YEAR('Raw Data'!G519),2))),'Raw Data'!G519))</f>
        <v>39.39</v>
      </c>
      <c r="H519">
        <f>'Raw Data'!H519</f>
        <v>5</v>
      </c>
      <c r="I519" s="6">
        <f t="shared" si="24"/>
        <v>9.847500000000025</v>
      </c>
      <c r="J519" s="6">
        <f>'Raw Data'!J519</f>
        <v>206.79750000000001</v>
      </c>
      <c r="K519" s="1">
        <f>VALUE(IFERROR(VALUE('Raw Data'!K519),CONCATENATE(MID('Raw Data'!K519,3,2),".","0",LEFT('Raw Data'!K519,1),".", RIGHT('Raw Data'!K519,4))))</f>
        <v>43487</v>
      </c>
      <c r="L519" s="2">
        <f>'Raw Data'!L519</f>
        <v>0.8652777777777777</v>
      </c>
      <c r="M519" t="s">
        <v>33</v>
      </c>
      <c r="N519">
        <f>VALUE(IF(AND(ISERR(FIND(".",'Raw Data'!N519)),LEN('Raw Data'!N519)=5), IF(YEAR('Raw Data'!N519)=2026,CONCATENATE(DAY('Raw Data'!N519),".",IF(LEN(MONTH('Raw Data'!N519))=2,MONTH('Raw Data'!N519),CONCATENATE("0",MONTH('Raw Data'!N519)))),CONCATENATE(MONTH('Raw Data'!N519),".",RIGHT(YEAR('Raw Data'!N519),2))),'Raw Data'!N519))</f>
        <v>196.95</v>
      </c>
      <c r="O519" s="6">
        <f t="shared" si="25"/>
        <v>4.7619047619047734</v>
      </c>
      <c r="P519" s="6">
        <f t="shared" si="26"/>
        <v>9.847500000000025</v>
      </c>
      <c r="Q519">
        <f>VALUE(IF(AND(ISERR(FIND(".",'Raw Data'!Q519)),LEN('Raw Data'!Q519)=5), IF(YEAR('Raw Data'!Q519)=2026,CONCATENATE(DAY('Raw Data'!Q519),".",IF(LEN(MONTH('Raw Data'!Q519))=2,MONTH('Raw Data'!Q519),CONCATENATE(MONTH('Raw Data'!Q519)))),CONCATENATE(MONTH('Raw Data'!Q519),".",RIGHT(YEAR('Raw Data'!Q519),2))),'Raw Data'!Q519))</f>
        <v>8.6999999999999993</v>
      </c>
    </row>
    <row r="520" spans="1:17">
      <c r="A520" t="s">
        <v>607</v>
      </c>
      <c r="B520" t="s">
        <v>18</v>
      </c>
      <c r="C520" t="s">
        <v>19</v>
      </c>
      <c r="D520" t="s">
        <v>27</v>
      </c>
      <c r="E520" t="s">
        <v>30</v>
      </c>
      <c r="F520" t="s">
        <v>32</v>
      </c>
      <c r="G520">
        <f>VALUE(IF(AND(ISERR(FIND(".",'Raw Data'!G520)),LEN('Raw Data'!G520)=5), IF(YEAR('Raw Data'!G520)=2026,CONCATENATE(DAY('Raw Data'!G520),".",IF(LEN(MONTH('Raw Data'!G520))=2,MONTH('Raw Data'!G520),CONCATENATE("0",MONTH('Raw Data'!G520)))),CONCATENATE(MONTH('Raw Data'!G520),".",RIGHT(YEAR('Raw Data'!G520),2))),'Raw Data'!G520))</f>
        <v>34.729999999999997</v>
      </c>
      <c r="H520">
        <f>'Raw Data'!H520</f>
        <v>2</v>
      </c>
      <c r="I520" s="6">
        <f t="shared" si="24"/>
        <v>3.4730000000000132</v>
      </c>
      <c r="J520" s="6">
        <f>'Raw Data'!J520</f>
        <v>72.933000000000007</v>
      </c>
      <c r="K520" s="1">
        <f>VALUE(IFERROR(VALUE('Raw Data'!K520),CONCATENATE(MID('Raw Data'!K520,3,2),".","0",LEFT('Raw Data'!K520,1),".", RIGHT('Raw Data'!K520,4))))</f>
        <v>43468</v>
      </c>
      <c r="L520" s="2">
        <f>'Raw Data'!L520</f>
        <v>0.7597222222222223</v>
      </c>
      <c r="M520" t="s">
        <v>23</v>
      </c>
      <c r="N520">
        <f>VALUE(IF(AND(ISERR(FIND(".",'Raw Data'!N520)),LEN('Raw Data'!N520)=5), IF(YEAR('Raw Data'!N520)=2026,CONCATENATE(DAY('Raw Data'!N520),".",IF(LEN(MONTH('Raw Data'!N520))=2,MONTH('Raw Data'!N520),CONCATENATE("0",MONTH('Raw Data'!N520)))),CONCATENATE(MONTH('Raw Data'!N520),".",RIGHT(YEAR('Raw Data'!N520),2))),'Raw Data'!N520))</f>
        <v>69.459999999999994</v>
      </c>
      <c r="O520" s="6">
        <f t="shared" si="25"/>
        <v>4.7619047619047796</v>
      </c>
      <c r="P520" s="6">
        <f t="shared" si="26"/>
        <v>3.4730000000000132</v>
      </c>
      <c r="Q520">
        <f>VALUE(IF(AND(ISERR(FIND(".",'Raw Data'!Q520)),LEN('Raw Data'!Q520)=5), IF(YEAR('Raw Data'!Q520)=2026,CONCATENATE(DAY('Raw Data'!Q520),".",IF(LEN(MONTH('Raw Data'!Q520))=2,MONTH('Raw Data'!Q520),CONCATENATE(MONTH('Raw Data'!Q520)))),CONCATENATE(MONTH('Raw Data'!Q520),".",RIGHT(YEAR('Raw Data'!Q520),2))),'Raw Data'!Q520))</f>
        <v>9.6999999999999993</v>
      </c>
    </row>
    <row r="521" spans="1:17">
      <c r="A521" t="s">
        <v>608</v>
      </c>
      <c r="B521" t="s">
        <v>25</v>
      </c>
      <c r="C521" t="s">
        <v>26</v>
      </c>
      <c r="D521" t="s">
        <v>20</v>
      </c>
      <c r="E521" t="s">
        <v>30</v>
      </c>
      <c r="F521" t="s">
        <v>38</v>
      </c>
      <c r="G521">
        <f>VALUE(IF(AND(ISERR(FIND(".",'Raw Data'!G521)),LEN('Raw Data'!G521)=5), IF(YEAR('Raw Data'!G521)=2026,CONCATENATE(DAY('Raw Data'!G521),".",IF(LEN(MONTH('Raw Data'!G521))=2,MONTH('Raw Data'!G521),CONCATENATE("0",MONTH('Raw Data'!G521)))),CONCATENATE(MONTH('Raw Data'!G521),".",RIGHT(YEAR('Raw Data'!G521),2))),'Raw Data'!G521))</f>
        <v>71.92</v>
      </c>
      <c r="H521">
        <f>'Raw Data'!H521</f>
        <v>5</v>
      </c>
      <c r="I521" s="6">
        <f t="shared" si="24"/>
        <v>17.979999999999961</v>
      </c>
      <c r="J521" s="6">
        <f>'Raw Data'!J521</f>
        <v>377.58</v>
      </c>
      <c r="K521" s="1">
        <f>VALUE(IFERROR(VALUE('Raw Data'!K521),CONCATENATE(MID('Raw Data'!K521,3,2),".","0",LEFT('Raw Data'!K521,1),".", RIGHT('Raw Data'!K521,4))))</f>
        <v>43482</v>
      </c>
      <c r="L521" s="2">
        <f>'Raw Data'!L521</f>
        <v>0.62847222222222221</v>
      </c>
      <c r="M521" t="s">
        <v>33</v>
      </c>
      <c r="N521">
        <f>VALUE(IF(AND(ISERR(FIND(".",'Raw Data'!N521)),LEN('Raw Data'!N521)=5), IF(YEAR('Raw Data'!N521)=2026,CONCATENATE(DAY('Raw Data'!N521),".",IF(LEN(MONTH('Raw Data'!N521))=2,MONTH('Raw Data'!N521),CONCATENATE("0",MONTH('Raw Data'!N521)))),CONCATENATE(MONTH('Raw Data'!N521),".",RIGHT(YEAR('Raw Data'!N521),2))),'Raw Data'!N521))</f>
        <v>359.6</v>
      </c>
      <c r="O521" s="6">
        <f t="shared" si="25"/>
        <v>4.7619047619047521</v>
      </c>
      <c r="P521" s="6">
        <f t="shared" si="26"/>
        <v>17.979999999999961</v>
      </c>
      <c r="Q521">
        <f>VALUE(IF(AND(ISERR(FIND(".",'Raw Data'!Q521)),LEN('Raw Data'!Q521)=5), IF(YEAR('Raw Data'!Q521)=2026,CONCATENATE(DAY('Raw Data'!Q521),".",IF(LEN(MONTH('Raw Data'!Q521))=2,MONTH('Raw Data'!Q521),CONCATENATE(MONTH('Raw Data'!Q521)))),CONCATENATE(MONTH('Raw Data'!Q521),".",RIGHT(YEAR('Raw Data'!Q521),2))),'Raw Data'!Q521))</f>
        <v>4.3</v>
      </c>
    </row>
    <row r="522" spans="1:17">
      <c r="A522" t="s">
        <v>609</v>
      </c>
      <c r="B522" t="s">
        <v>34</v>
      </c>
      <c r="C522" t="s">
        <v>35</v>
      </c>
      <c r="D522" t="s">
        <v>27</v>
      </c>
      <c r="E522" t="s">
        <v>21</v>
      </c>
      <c r="F522" t="s">
        <v>28</v>
      </c>
      <c r="G522">
        <f>VALUE(IF(AND(ISERR(FIND(".",'Raw Data'!G522)),LEN('Raw Data'!G522)=5), IF(YEAR('Raw Data'!G522)=2026,CONCATENATE(DAY('Raw Data'!G522),".",IF(LEN(MONTH('Raw Data'!G522))=2,MONTH('Raw Data'!G522),CONCATENATE("0",MONTH('Raw Data'!G522)))),CONCATENATE(MONTH('Raw Data'!G522),".",RIGHT(YEAR('Raw Data'!G522),2))),'Raw Data'!G522))</f>
        <v>45.71</v>
      </c>
      <c r="H522">
        <f>'Raw Data'!H522</f>
        <v>3</v>
      </c>
      <c r="I522" s="6">
        <f t="shared" si="24"/>
        <v>6.8565000000000111</v>
      </c>
      <c r="J522" s="6">
        <f>'Raw Data'!J522</f>
        <v>143.98650000000001</v>
      </c>
      <c r="K522" s="1">
        <f>VALUE(IFERROR(VALUE('Raw Data'!K522),CONCATENATE(MID('Raw Data'!K522,3,2),".","0",LEFT('Raw Data'!K522,1),".", RIGHT('Raw Data'!K522,4))))</f>
        <v>43550</v>
      </c>
      <c r="L522" s="2">
        <f>'Raw Data'!L522</f>
        <v>0.44027777777777777</v>
      </c>
      <c r="M522" t="s">
        <v>33</v>
      </c>
      <c r="N522">
        <f>VALUE(IF(AND(ISERR(FIND(".",'Raw Data'!N522)),LEN('Raw Data'!N522)=5), IF(YEAR('Raw Data'!N522)=2026,CONCATENATE(DAY('Raw Data'!N522),".",IF(LEN(MONTH('Raw Data'!N522))=2,MONTH('Raw Data'!N522),CONCATENATE("0",MONTH('Raw Data'!N522)))),CONCATENATE(MONTH('Raw Data'!N522),".",RIGHT(YEAR('Raw Data'!N522),2))),'Raw Data'!N522))</f>
        <v>137.13</v>
      </c>
      <c r="O522" s="6">
        <f t="shared" si="25"/>
        <v>4.761904761904769</v>
      </c>
      <c r="P522" s="6">
        <f t="shared" si="26"/>
        <v>6.8565000000000111</v>
      </c>
      <c r="Q522">
        <f>VALUE(IF(AND(ISERR(FIND(".",'Raw Data'!Q522)),LEN('Raw Data'!Q522)=5), IF(YEAR('Raw Data'!Q522)=2026,CONCATENATE(DAY('Raw Data'!Q522),".",IF(LEN(MONTH('Raw Data'!Q522))=2,MONTH('Raw Data'!Q522),CONCATENATE(MONTH('Raw Data'!Q522)))),CONCATENATE(MONTH('Raw Data'!Q522),".",RIGHT(YEAR('Raw Data'!Q522),2))),'Raw Data'!Q522))</f>
        <v>7.7</v>
      </c>
    </row>
    <row r="523" spans="1:17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f>VALUE(IF(AND(ISERR(FIND(".",'Raw Data'!G523)),LEN('Raw Data'!G523)=5), IF(YEAR('Raw Data'!G523)=2026,CONCATENATE(DAY('Raw Data'!G523),".",IF(LEN(MONTH('Raw Data'!G523))=2,MONTH('Raw Data'!G523),CONCATENATE("0",MONTH('Raw Data'!G523)))),CONCATENATE(MONTH('Raw Data'!G523),".",RIGHT(YEAR('Raw Data'!G523),2))),'Raw Data'!G523))</f>
        <v>83.17</v>
      </c>
      <c r="H523">
        <f>'Raw Data'!H523</f>
        <v>6</v>
      </c>
      <c r="I523" s="6">
        <f t="shared" si="24"/>
        <v>24.951000000000022</v>
      </c>
      <c r="J523" s="6">
        <f>'Raw Data'!J523</f>
        <v>523.971</v>
      </c>
      <c r="K523" s="1">
        <f>VALUE(IFERROR(VALUE('Raw Data'!K523),CONCATENATE(MID('Raw Data'!K523,3,2),".","0",LEFT('Raw Data'!K523,1),".", RIGHT('Raw Data'!K523,4))))</f>
        <v>43544</v>
      </c>
      <c r="L523" s="2">
        <f>'Raw Data'!L523</f>
        <v>0.47430555555555554</v>
      </c>
      <c r="M523" t="s">
        <v>29</v>
      </c>
      <c r="N523">
        <f>VALUE(IF(AND(ISERR(FIND(".",'Raw Data'!N523)),LEN('Raw Data'!N523)=5), IF(YEAR('Raw Data'!N523)=2026,CONCATENATE(DAY('Raw Data'!N523),".",IF(LEN(MONTH('Raw Data'!N523))=2,MONTH('Raw Data'!N523),CONCATENATE("0",MONTH('Raw Data'!N523)))),CONCATENATE(MONTH('Raw Data'!N523),".",RIGHT(YEAR('Raw Data'!N523),2))),'Raw Data'!N523))</f>
        <v>499.02</v>
      </c>
      <c r="O523" s="6">
        <f t="shared" si="25"/>
        <v>4.7619047619047654</v>
      </c>
      <c r="P523" s="6">
        <f t="shared" si="26"/>
        <v>24.951000000000022</v>
      </c>
      <c r="Q523">
        <f>VALUE(IF(AND(ISERR(FIND(".",'Raw Data'!Q523)),LEN('Raw Data'!Q523)=5), IF(YEAR('Raw Data'!Q523)=2026,CONCATENATE(DAY('Raw Data'!Q523),".",IF(LEN(MONTH('Raw Data'!Q523))=2,MONTH('Raw Data'!Q523),CONCATENATE(MONTH('Raw Data'!Q523)))),CONCATENATE(MONTH('Raw Data'!Q523),".",RIGHT(YEAR('Raw Data'!Q523),2))),'Raw Data'!Q523))</f>
        <v>7.3</v>
      </c>
    </row>
    <row r="524" spans="1:17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f>VALUE(IF(AND(ISERR(FIND(".",'Raw Data'!G524)),LEN('Raw Data'!G524)=5), IF(YEAR('Raw Data'!G524)=2026,CONCATENATE(DAY('Raw Data'!G524),".",IF(LEN(MONTH('Raw Data'!G524))=2,MONTH('Raw Data'!G524),CONCATENATE("0",MONTH('Raw Data'!G524)))),CONCATENATE(MONTH('Raw Data'!G524),".",RIGHT(YEAR('Raw Data'!G524),2))),'Raw Data'!G524))</f>
        <v>37.44</v>
      </c>
      <c r="H524">
        <f>'Raw Data'!H524</f>
        <v>6</v>
      </c>
      <c r="I524" s="6">
        <f t="shared" si="24"/>
        <v>11.232000000000028</v>
      </c>
      <c r="J524" s="6">
        <f>'Raw Data'!J524</f>
        <v>235.87200000000001</v>
      </c>
      <c r="K524" s="1">
        <f>VALUE(IFERROR(VALUE('Raw Data'!K524),CONCATENATE(MID('Raw Data'!K524,3,2),".","0",LEFT('Raw Data'!K524,1),".", RIGHT('Raw Data'!K524,4))))</f>
        <v>43618</v>
      </c>
      <c r="L524" s="2">
        <f>'Raw Data'!L524</f>
        <v>0.57986111111111105</v>
      </c>
      <c r="M524" t="s">
        <v>33</v>
      </c>
      <c r="N524">
        <f>VALUE(IF(AND(ISERR(FIND(".",'Raw Data'!N524)),LEN('Raw Data'!N524)=5), IF(YEAR('Raw Data'!N524)=2026,CONCATENATE(DAY('Raw Data'!N524),".",IF(LEN(MONTH('Raw Data'!N524))=2,MONTH('Raw Data'!N524),CONCATENATE("0",MONTH('Raw Data'!N524)))),CONCATENATE(MONTH('Raw Data'!N524),".",RIGHT(YEAR('Raw Data'!N524),2))),'Raw Data'!N524))</f>
        <v>224.64</v>
      </c>
      <c r="O524" s="6">
        <f t="shared" si="25"/>
        <v>4.7619047619047734</v>
      </c>
      <c r="P524" s="6">
        <f t="shared" si="26"/>
        <v>11.232000000000028</v>
      </c>
      <c r="Q524">
        <f>VALUE(IF(AND(ISERR(FIND(".",'Raw Data'!Q524)),LEN('Raw Data'!Q524)=5), IF(YEAR('Raw Data'!Q524)=2026,CONCATENATE(DAY('Raw Data'!Q524),".",IF(LEN(MONTH('Raw Data'!Q524))=2,MONTH('Raw Data'!Q524),CONCATENATE(MONTH('Raw Data'!Q524)))),CONCATENATE(MONTH('Raw Data'!Q524),".",RIGHT(YEAR('Raw Data'!Q524),2))),'Raw Data'!Q524))</f>
        <v>5.9</v>
      </c>
    </row>
    <row r="525" spans="1:17">
      <c r="A525" t="s">
        <v>612</v>
      </c>
      <c r="B525" t="s">
        <v>25</v>
      </c>
      <c r="C525" t="s">
        <v>26</v>
      </c>
      <c r="D525" t="s">
        <v>27</v>
      </c>
      <c r="E525" t="s">
        <v>30</v>
      </c>
      <c r="F525" t="s">
        <v>22</v>
      </c>
      <c r="G525">
        <f>VALUE(IF(AND(ISERR(FIND(".",'Raw Data'!G525)),LEN('Raw Data'!G525)=5), IF(YEAR('Raw Data'!G525)=2026,CONCATENATE(DAY('Raw Data'!G525),".",IF(LEN(MONTH('Raw Data'!G525))=2,MONTH('Raw Data'!G525),CONCATENATE("0",MONTH('Raw Data'!G525)))),CONCATENATE(MONTH('Raw Data'!G525),".",RIGHT(YEAR('Raw Data'!G525),2))),'Raw Data'!G525))</f>
        <v>62.87</v>
      </c>
      <c r="H525">
        <f>'Raw Data'!H525</f>
        <v>2</v>
      </c>
      <c r="I525" s="6">
        <f t="shared" si="24"/>
        <v>6.2869999999999919</v>
      </c>
      <c r="J525" s="6">
        <f>'Raw Data'!J525</f>
        <v>132.02699999999999</v>
      </c>
      <c r="K525" s="1">
        <f>VALUE(IFERROR(VALUE('Raw Data'!K525),CONCATENATE(MID('Raw Data'!K525,3,2),".","0",LEFT('Raw Data'!K525,1),".", RIGHT('Raw Data'!K525,4))))</f>
        <v>43466</v>
      </c>
      <c r="L525" s="2">
        <f>'Raw Data'!L525</f>
        <v>0.48819444444444443</v>
      </c>
      <c r="M525" t="s">
        <v>29</v>
      </c>
      <c r="N525">
        <f>VALUE(IF(AND(ISERR(FIND(".",'Raw Data'!N525)),LEN('Raw Data'!N525)=5), IF(YEAR('Raw Data'!N525)=2026,CONCATENATE(DAY('Raw Data'!N525),".",IF(LEN(MONTH('Raw Data'!N525))=2,MONTH('Raw Data'!N525),CONCATENATE("0",MONTH('Raw Data'!N525)))),CONCATENATE(MONTH('Raw Data'!N525),".",RIGHT(YEAR('Raw Data'!N525),2))),'Raw Data'!N525))</f>
        <v>125.74</v>
      </c>
      <c r="O525" s="6">
        <f t="shared" si="25"/>
        <v>4.7619047619047556</v>
      </c>
      <c r="P525" s="6">
        <f t="shared" si="26"/>
        <v>6.2869999999999919</v>
      </c>
      <c r="Q525">
        <f>VALUE(IF(AND(ISERR(FIND(".",'Raw Data'!Q525)),LEN('Raw Data'!Q525)=5), IF(YEAR('Raw Data'!Q525)=2026,CONCATENATE(DAY('Raw Data'!Q525),".",IF(LEN(MONTH('Raw Data'!Q525))=2,MONTH('Raw Data'!Q525),CONCATENATE(MONTH('Raw Data'!Q525)))),CONCATENATE(MONTH('Raw Data'!Q525),".",RIGHT(YEAR('Raw Data'!Q525),2))),'Raw Data'!Q525))</f>
        <v>5</v>
      </c>
    </row>
    <row r="526" spans="1:17">
      <c r="A526" t="s">
        <v>613</v>
      </c>
      <c r="B526" t="s">
        <v>18</v>
      </c>
      <c r="C526" t="s">
        <v>19</v>
      </c>
      <c r="D526" t="s">
        <v>27</v>
      </c>
      <c r="E526" t="s">
        <v>30</v>
      </c>
      <c r="F526" t="s">
        <v>40</v>
      </c>
      <c r="G526">
        <f>VALUE(IF(AND(ISERR(FIND(".",'Raw Data'!G526)),LEN('Raw Data'!G526)=5), IF(YEAR('Raw Data'!G526)=2026,CONCATENATE(DAY('Raw Data'!G526),".",IF(LEN(MONTH('Raw Data'!G526))=2,MONTH('Raw Data'!G526),CONCATENATE("0",MONTH('Raw Data'!G526)))),CONCATENATE(MONTH('Raw Data'!G526),".",RIGHT(YEAR('Raw Data'!G526),2))),'Raw Data'!G526))</f>
        <v>81.709999999999994</v>
      </c>
      <c r="H526">
        <f>'Raw Data'!H526</f>
        <v>6</v>
      </c>
      <c r="I526" s="6">
        <f t="shared" si="24"/>
        <v>24.513000000000034</v>
      </c>
      <c r="J526" s="6">
        <f>'Raw Data'!J526</f>
        <v>514.77300000000002</v>
      </c>
      <c r="K526" s="1">
        <f>VALUE(IFERROR(VALUE('Raw Data'!K526),CONCATENATE(MID('Raw Data'!K526,3,2),".","0",LEFT('Raw Data'!K526,1),".", RIGHT('Raw Data'!K526,4))))</f>
        <v>43492</v>
      </c>
      <c r="L526" s="2">
        <f>'Raw Data'!L526</f>
        <v>0.60833333333333328</v>
      </c>
      <c r="M526" t="s">
        <v>33</v>
      </c>
      <c r="N526">
        <f>VALUE(IF(AND(ISERR(FIND(".",'Raw Data'!N526)),LEN('Raw Data'!N526)=5), IF(YEAR('Raw Data'!N526)=2026,CONCATENATE(DAY('Raw Data'!N526),".",IF(LEN(MONTH('Raw Data'!N526))=2,MONTH('Raw Data'!N526),CONCATENATE("0",MONTH('Raw Data'!N526)))),CONCATENATE(MONTH('Raw Data'!N526),".",RIGHT(YEAR('Raw Data'!N526),2))),'Raw Data'!N526))</f>
        <v>490.26</v>
      </c>
      <c r="O526" s="6">
        <f t="shared" si="25"/>
        <v>4.7619047619047681</v>
      </c>
      <c r="P526" s="6">
        <f t="shared" si="26"/>
        <v>24.513000000000034</v>
      </c>
      <c r="Q526">
        <f>VALUE(IF(AND(ISERR(FIND(".",'Raw Data'!Q526)),LEN('Raw Data'!Q526)=5), IF(YEAR('Raw Data'!Q526)=2026,CONCATENATE(DAY('Raw Data'!Q526),".",IF(LEN(MONTH('Raw Data'!Q526))=2,MONTH('Raw Data'!Q526),CONCATENATE(MONTH('Raw Data'!Q526)))),CONCATENATE(MONTH('Raw Data'!Q526),".",RIGHT(YEAR('Raw Data'!Q526),2))),'Raw Data'!Q526))</f>
        <v>8</v>
      </c>
    </row>
    <row r="527" spans="1:17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38</v>
      </c>
      <c r="G527">
        <f>VALUE(IF(AND(ISERR(FIND(".",'Raw Data'!G527)),LEN('Raw Data'!G527)=5), IF(YEAR('Raw Data'!G527)=2026,CONCATENATE(DAY('Raw Data'!G527),".",IF(LEN(MONTH('Raw Data'!G527))=2,MONTH('Raw Data'!G527),CONCATENATE("0",MONTH('Raw Data'!G527)))),CONCATENATE(MONTH('Raw Data'!G527),".",RIGHT(YEAR('Raw Data'!G527),2))),'Raw Data'!G527))</f>
        <v>91.41</v>
      </c>
      <c r="H527">
        <f>'Raw Data'!H527</f>
        <v>5</v>
      </c>
      <c r="I527" s="6">
        <f t="shared" si="24"/>
        <v>22.85250000000002</v>
      </c>
      <c r="J527" s="6">
        <f>'Raw Data'!J527</f>
        <v>479.90249999999997</v>
      </c>
      <c r="K527" s="1">
        <f>VALUE(IFERROR(VALUE('Raw Data'!K527),CONCATENATE(MID('Raw Data'!K527,3,2),".","0",LEFT('Raw Data'!K527,1),".", RIGHT('Raw Data'!K527,4))))</f>
        <v>43521</v>
      </c>
      <c r="L527" s="2">
        <f>'Raw Data'!L527</f>
        <v>0.66875000000000007</v>
      </c>
      <c r="M527" t="s">
        <v>23</v>
      </c>
      <c r="N527">
        <f>VALUE(IF(AND(ISERR(FIND(".",'Raw Data'!N527)),LEN('Raw Data'!N527)=5), IF(YEAR('Raw Data'!N527)=2026,CONCATENATE(DAY('Raw Data'!N527),".",IF(LEN(MONTH('Raw Data'!N527))=2,MONTH('Raw Data'!N527),CONCATENATE("0",MONTH('Raw Data'!N527)))),CONCATENATE(MONTH('Raw Data'!N527),".",RIGHT(YEAR('Raw Data'!N527),2))),'Raw Data'!N527))</f>
        <v>457.05</v>
      </c>
      <c r="O527" s="6">
        <f t="shared" si="25"/>
        <v>4.7619047619047548</v>
      </c>
      <c r="P527" s="6">
        <f t="shared" si="26"/>
        <v>22.852499999999964</v>
      </c>
      <c r="Q527">
        <f>VALUE(IF(AND(ISERR(FIND(".",'Raw Data'!Q527)),LEN('Raw Data'!Q527)=5), IF(YEAR('Raw Data'!Q527)=2026,CONCATENATE(DAY('Raw Data'!Q527),".",IF(LEN(MONTH('Raw Data'!Q527))=2,MONTH('Raw Data'!Q527),CONCATENATE(MONTH('Raw Data'!Q527)))),CONCATENATE(MONTH('Raw Data'!Q527),".",RIGHT(YEAR('Raw Data'!Q527),2))),'Raw Data'!Q527))</f>
        <v>7.1</v>
      </c>
    </row>
    <row r="528" spans="1:17">
      <c r="A528" t="s">
        <v>615</v>
      </c>
      <c r="B528" t="s">
        <v>34</v>
      </c>
      <c r="C528" t="s">
        <v>35</v>
      </c>
      <c r="D528" t="s">
        <v>27</v>
      </c>
      <c r="E528" t="s">
        <v>30</v>
      </c>
      <c r="F528" t="s">
        <v>43</v>
      </c>
      <c r="G528">
        <f>VALUE(IF(AND(ISERR(FIND(".",'Raw Data'!G528)),LEN('Raw Data'!G528)=5), IF(YEAR('Raw Data'!G528)=2026,CONCATENATE(DAY('Raw Data'!G528),".",IF(LEN(MONTH('Raw Data'!G528))=2,MONTH('Raw Data'!G528),CONCATENATE("0",MONTH('Raw Data'!G528)))),CONCATENATE(MONTH('Raw Data'!G528),".",RIGHT(YEAR('Raw Data'!G528),2))),'Raw Data'!G528))</f>
        <v>39.21</v>
      </c>
      <c r="H528">
        <f>'Raw Data'!H528</f>
        <v>4</v>
      </c>
      <c r="I528" s="6">
        <f t="shared" si="24"/>
        <v>7.8419999999999845</v>
      </c>
      <c r="J528" s="6">
        <f>'Raw Data'!J528</f>
        <v>164.68199999999999</v>
      </c>
      <c r="K528" s="1">
        <f>VALUE(IFERROR(VALUE('Raw Data'!K528),CONCATENATE(MID('Raw Data'!K528,3,2),".","0",LEFT('Raw Data'!K528,1),".", RIGHT('Raw Data'!K528,4))))</f>
        <v>43481</v>
      </c>
      <c r="L528" s="2">
        <f>'Raw Data'!L528</f>
        <v>0.8354166666666667</v>
      </c>
      <c r="M528" t="s">
        <v>33</v>
      </c>
      <c r="N528">
        <f>VALUE(IF(AND(ISERR(FIND(".",'Raw Data'!N528)),LEN('Raw Data'!N528)=5), IF(YEAR('Raw Data'!N528)=2026,CONCATENATE(DAY('Raw Data'!N528),".",IF(LEN(MONTH('Raw Data'!N528))=2,MONTH('Raw Data'!N528),CONCATENATE("0",MONTH('Raw Data'!N528)))),CONCATENATE(MONTH('Raw Data'!N528),".",RIGHT(YEAR('Raw Data'!N528),2))),'Raw Data'!N528))</f>
        <v>156.84</v>
      </c>
      <c r="O528" s="6">
        <f t="shared" si="25"/>
        <v>4.761904761904753</v>
      </c>
      <c r="P528" s="6">
        <f t="shared" si="26"/>
        <v>7.8419999999999845</v>
      </c>
      <c r="Q528">
        <f>VALUE(IF(AND(ISERR(FIND(".",'Raw Data'!Q528)),LEN('Raw Data'!Q528)=5), IF(YEAR('Raw Data'!Q528)=2026,CONCATENATE(DAY('Raw Data'!Q528),".",IF(LEN(MONTH('Raw Data'!Q528))=2,MONTH('Raw Data'!Q528),CONCATENATE(MONTH('Raw Data'!Q528)))),CONCATENATE(MONTH('Raw Data'!Q528),".",RIGHT(YEAR('Raw Data'!Q528),2))),'Raw Data'!Q528))</f>
        <v>9</v>
      </c>
    </row>
    <row r="529" spans="1:17">
      <c r="A529" t="s">
        <v>616</v>
      </c>
      <c r="B529" t="s">
        <v>34</v>
      </c>
      <c r="C529" t="s">
        <v>35</v>
      </c>
      <c r="D529" t="s">
        <v>20</v>
      </c>
      <c r="E529" t="s">
        <v>30</v>
      </c>
      <c r="F529" t="s">
        <v>43</v>
      </c>
      <c r="G529">
        <f>VALUE(IF(AND(ISERR(FIND(".",'Raw Data'!G529)),LEN('Raw Data'!G529)=5), IF(YEAR('Raw Data'!G529)=2026,CONCATENATE(DAY('Raw Data'!G529),".",IF(LEN(MONTH('Raw Data'!G529))=2,MONTH('Raw Data'!G529),CONCATENATE("0",MONTH('Raw Data'!G529)))),CONCATENATE(MONTH('Raw Data'!G529),".",RIGHT(YEAR('Raw Data'!G529),2))),'Raw Data'!G529))</f>
        <v>59.86</v>
      </c>
      <c r="H529">
        <f>'Raw Data'!H529</f>
        <v>2</v>
      </c>
      <c r="I529" s="6">
        <f t="shared" si="24"/>
        <v>5.9860000000000042</v>
      </c>
      <c r="J529" s="6">
        <f>'Raw Data'!J529</f>
        <v>125.706</v>
      </c>
      <c r="K529" s="1">
        <f>VALUE(IFERROR(VALUE('Raw Data'!K529),CONCATENATE(MID('Raw Data'!K529,3,2),".","0",LEFT('Raw Data'!K529,1),".", RIGHT('Raw Data'!K529,4))))</f>
        <v>43478</v>
      </c>
      <c r="L529" s="2">
        <f>'Raw Data'!L529</f>
        <v>0.62152777777777779</v>
      </c>
      <c r="M529" t="s">
        <v>23</v>
      </c>
      <c r="N529">
        <f>VALUE(IF(AND(ISERR(FIND(".",'Raw Data'!N529)),LEN('Raw Data'!N529)=5), IF(YEAR('Raw Data'!N529)=2026,CONCATENATE(DAY('Raw Data'!N529),".",IF(LEN(MONTH('Raw Data'!N529))=2,MONTH('Raw Data'!N529),CONCATENATE("0",MONTH('Raw Data'!N529)))),CONCATENATE(MONTH('Raw Data'!N529),".",RIGHT(YEAR('Raw Data'!N529),2))),'Raw Data'!N529))</f>
        <v>119.72</v>
      </c>
      <c r="O529" s="6">
        <f t="shared" si="25"/>
        <v>4.7619047619047654</v>
      </c>
      <c r="P529" s="6">
        <f t="shared" si="26"/>
        <v>5.9860000000000042</v>
      </c>
      <c r="Q529">
        <f>VALUE(IF(AND(ISERR(FIND(".",'Raw Data'!Q529)),LEN('Raw Data'!Q529)=5), IF(YEAR('Raw Data'!Q529)=2026,CONCATENATE(DAY('Raw Data'!Q529),".",IF(LEN(MONTH('Raw Data'!Q529))=2,MONTH('Raw Data'!Q529),CONCATENATE(MONTH('Raw Data'!Q529)))),CONCATENATE(MONTH('Raw Data'!Q529),".",RIGHT(YEAR('Raw Data'!Q529),2))),'Raw Data'!Q529))</f>
        <v>6.7</v>
      </c>
    </row>
    <row r="530" spans="1:17">
      <c r="A530" t="s">
        <v>617</v>
      </c>
      <c r="B530" t="s">
        <v>34</v>
      </c>
      <c r="C530" t="s">
        <v>35</v>
      </c>
      <c r="D530" t="s">
        <v>20</v>
      </c>
      <c r="E530" t="s">
        <v>21</v>
      </c>
      <c r="F530" t="s">
        <v>40</v>
      </c>
      <c r="G530">
        <f>VALUE(IF(AND(ISERR(FIND(".",'Raw Data'!G530)),LEN('Raw Data'!G530)=5), IF(YEAR('Raw Data'!G530)=2026,CONCATENATE(DAY('Raw Data'!G530),".",IF(LEN(MONTH('Raw Data'!G530))=2,MONTH('Raw Data'!G530),CONCATENATE("0",MONTH('Raw Data'!G530)))),CONCATENATE(MONTH('Raw Data'!G530),".",RIGHT(YEAR('Raw Data'!G530),2))),'Raw Data'!G530))</f>
        <v>54.36</v>
      </c>
      <c r="H530">
        <f>'Raw Data'!H530</f>
        <v>10</v>
      </c>
      <c r="I530" s="6">
        <f t="shared" si="24"/>
        <v>27.17999999999995</v>
      </c>
      <c r="J530" s="6">
        <f>'Raw Data'!J530</f>
        <v>570.78</v>
      </c>
      <c r="K530" s="1">
        <f>VALUE(IFERROR(VALUE('Raw Data'!K530),CONCATENATE(MID('Raw Data'!K530,3,2),".","0",LEFT('Raw Data'!K530,1),".", RIGHT('Raw Data'!K530,4))))</f>
        <v>43648</v>
      </c>
      <c r="L530" s="2">
        <f>'Raw Data'!L530</f>
        <v>0.4777777777777778</v>
      </c>
      <c r="M530" t="s">
        <v>33</v>
      </c>
      <c r="N530">
        <f>VALUE(IF(AND(ISERR(FIND(".",'Raw Data'!N530)),LEN('Raw Data'!N530)=5), IF(YEAR('Raw Data'!N530)=2026,CONCATENATE(DAY('Raw Data'!N530),".",IF(LEN(MONTH('Raw Data'!N530))=2,MONTH('Raw Data'!N530),CONCATENATE("0",MONTH('Raw Data'!N530)))),CONCATENATE(MONTH('Raw Data'!N530),".",RIGHT(YEAR('Raw Data'!N530),2))),'Raw Data'!N530))</f>
        <v>543.6</v>
      </c>
      <c r="O530" s="6">
        <f t="shared" si="25"/>
        <v>4.761904761904753</v>
      </c>
      <c r="P530" s="6">
        <f t="shared" si="26"/>
        <v>27.17999999999995</v>
      </c>
      <c r="Q530">
        <f>VALUE(IF(AND(ISERR(FIND(".",'Raw Data'!Q530)),LEN('Raw Data'!Q530)=5), IF(YEAR('Raw Data'!Q530)=2026,CONCATENATE(DAY('Raw Data'!Q530),".",IF(LEN(MONTH('Raw Data'!Q530))=2,MONTH('Raw Data'!Q530),CONCATENATE(MONTH('Raw Data'!Q530)))),CONCATENATE(MONTH('Raw Data'!Q530),".",RIGHT(YEAR('Raw Data'!Q530),2))),'Raw Data'!Q530))</f>
        <v>6.1</v>
      </c>
    </row>
    <row r="531" spans="1:17">
      <c r="A531" t="s">
        <v>618</v>
      </c>
      <c r="B531" t="s">
        <v>18</v>
      </c>
      <c r="C531" t="s">
        <v>19</v>
      </c>
      <c r="D531" t="s">
        <v>27</v>
      </c>
      <c r="E531" t="s">
        <v>30</v>
      </c>
      <c r="F531" t="s">
        <v>38</v>
      </c>
      <c r="G531">
        <f>VALUE(IF(AND(ISERR(FIND(".",'Raw Data'!G531)),LEN('Raw Data'!G531)=5), IF(YEAR('Raw Data'!G531)=2026,CONCATENATE(DAY('Raw Data'!G531),".",IF(LEN(MONTH('Raw Data'!G531))=2,MONTH('Raw Data'!G531),CONCATENATE("0",MONTH('Raw Data'!G531)))),CONCATENATE(MONTH('Raw Data'!G531),".",RIGHT(YEAR('Raw Data'!G531),2))),'Raw Data'!G531))</f>
        <v>98.09</v>
      </c>
      <c r="H531">
        <f>'Raw Data'!H531</f>
        <v>9</v>
      </c>
      <c r="I531" s="6">
        <f t="shared" si="24"/>
        <v>44.140499999999975</v>
      </c>
      <c r="J531" s="6">
        <f>'Raw Data'!J531</f>
        <v>926.95050000000003</v>
      </c>
      <c r="K531" s="1">
        <f>VALUE(IFERROR(VALUE('Raw Data'!K531),CONCATENATE(MID('Raw Data'!K531,3,2),".","0",LEFT('Raw Data'!K531,1),".", RIGHT('Raw Data'!K531,4))))</f>
        <v>43513</v>
      </c>
      <c r="L531" s="2">
        <f>'Raw Data'!L531</f>
        <v>0.82013888888888886</v>
      </c>
      <c r="M531" t="s">
        <v>29</v>
      </c>
      <c r="N531">
        <f>VALUE(IF(AND(ISERR(FIND(".",'Raw Data'!N531)),LEN('Raw Data'!N531)=5), IF(YEAR('Raw Data'!N531)=2026,CONCATENATE(DAY('Raw Data'!N531),".",IF(LEN(MONTH('Raw Data'!N531))=2,MONTH('Raw Data'!N531),CONCATENATE("0",MONTH('Raw Data'!N531)))),CONCATENATE(MONTH('Raw Data'!N531),".",RIGHT(YEAR('Raw Data'!N531),2))),'Raw Data'!N531))</f>
        <v>882.81</v>
      </c>
      <c r="O531" s="6">
        <f t="shared" si="25"/>
        <v>4.7619047619047716</v>
      </c>
      <c r="P531" s="6">
        <f t="shared" si="26"/>
        <v>44.140500000000088</v>
      </c>
      <c r="Q531">
        <f>VALUE(IF(AND(ISERR(FIND(".",'Raw Data'!Q531)),LEN('Raw Data'!Q531)=5), IF(YEAR('Raw Data'!Q531)=2026,CONCATENATE(DAY('Raw Data'!Q531),".",IF(LEN(MONTH('Raw Data'!Q531))=2,MONTH('Raw Data'!Q531),CONCATENATE(MONTH('Raw Data'!Q531)))),CONCATENATE(MONTH('Raw Data'!Q531),".",RIGHT(YEAR('Raw Data'!Q531),2))),'Raw Data'!Q531))</f>
        <v>9.3000000000000007</v>
      </c>
    </row>
    <row r="532" spans="1:17">
      <c r="A532" t="s">
        <v>619</v>
      </c>
      <c r="B532" t="s">
        <v>18</v>
      </c>
      <c r="C532" t="s">
        <v>19</v>
      </c>
      <c r="D532" t="s">
        <v>27</v>
      </c>
      <c r="E532" t="s">
        <v>30</v>
      </c>
      <c r="F532" t="s">
        <v>22</v>
      </c>
      <c r="G532">
        <f>VALUE(IF(AND(ISERR(FIND(".",'Raw Data'!G532)),LEN('Raw Data'!G532)=5), IF(YEAR('Raw Data'!G532)=2026,CONCATENATE(DAY('Raw Data'!G532),".",IF(LEN(MONTH('Raw Data'!G532))=2,MONTH('Raw Data'!G532),CONCATENATE("0",MONTH('Raw Data'!G532)))),CONCATENATE(MONTH('Raw Data'!G532),".",RIGHT(YEAR('Raw Data'!G532),2))),'Raw Data'!G532))</f>
        <v>25.43</v>
      </c>
      <c r="H532">
        <f>'Raw Data'!H532</f>
        <v>6</v>
      </c>
      <c r="I532" s="6">
        <f t="shared" si="24"/>
        <v>7.6290000000000191</v>
      </c>
      <c r="J532" s="6">
        <f>'Raw Data'!J532</f>
        <v>160.209</v>
      </c>
      <c r="K532" s="1">
        <f>VALUE(IFERROR(VALUE('Raw Data'!K532),CONCATENATE(MID('Raw Data'!K532,3,2),".","0",LEFT('Raw Data'!K532,1),".", RIGHT('Raw Data'!K532,4))))</f>
        <v>43801</v>
      </c>
      <c r="L532" s="2">
        <f>'Raw Data'!L532</f>
        <v>0.79236111111111107</v>
      </c>
      <c r="M532" t="s">
        <v>23</v>
      </c>
      <c r="N532">
        <f>VALUE(IF(AND(ISERR(FIND(".",'Raw Data'!N532)),LEN('Raw Data'!N532)=5), IF(YEAR('Raw Data'!N532)=2026,CONCATENATE(DAY('Raw Data'!N532),".",IF(LEN(MONTH('Raw Data'!N532))=2,MONTH('Raw Data'!N532),CONCATENATE("0",MONTH('Raw Data'!N532)))),CONCATENATE(MONTH('Raw Data'!N532),".",RIGHT(YEAR('Raw Data'!N532),2))),'Raw Data'!N532))</f>
        <v>152.58000000000001</v>
      </c>
      <c r="O532" s="6">
        <f t="shared" si="25"/>
        <v>4.7619047619047556</v>
      </c>
      <c r="P532" s="6">
        <f t="shared" si="26"/>
        <v>7.6289999999999907</v>
      </c>
      <c r="Q532">
        <f>VALUE(IF(AND(ISERR(FIND(".",'Raw Data'!Q532)),LEN('Raw Data'!Q532)=5), IF(YEAR('Raw Data'!Q532)=2026,CONCATENATE(DAY('Raw Data'!Q532),".",IF(LEN(MONTH('Raw Data'!Q532))=2,MONTH('Raw Data'!Q532),CONCATENATE(MONTH('Raw Data'!Q532)))),CONCATENATE(MONTH('Raw Data'!Q532),".",RIGHT(YEAR('Raw Data'!Q532),2))),'Raw Data'!Q532))</f>
        <v>7</v>
      </c>
    </row>
    <row r="533" spans="1:17">
      <c r="A533" t="s">
        <v>620</v>
      </c>
      <c r="B533" t="s">
        <v>18</v>
      </c>
      <c r="C533" t="s">
        <v>19</v>
      </c>
      <c r="D533" t="s">
        <v>20</v>
      </c>
      <c r="E533" t="s">
        <v>30</v>
      </c>
      <c r="F533" t="s">
        <v>43</v>
      </c>
      <c r="G533">
        <f>VALUE(IF(AND(ISERR(FIND(".",'Raw Data'!G533)),LEN('Raw Data'!G533)=5), IF(YEAR('Raw Data'!G533)=2026,CONCATENATE(DAY('Raw Data'!G533),".",IF(LEN(MONTH('Raw Data'!G533))=2,MONTH('Raw Data'!G533),CONCATENATE("0",MONTH('Raw Data'!G533)))),CONCATENATE(MONTH('Raw Data'!G533),".",RIGHT(YEAR('Raw Data'!G533),2))),'Raw Data'!G533))</f>
        <v>86.68</v>
      </c>
      <c r="H533">
        <f>'Raw Data'!H533</f>
        <v>8</v>
      </c>
      <c r="I533" s="6">
        <f t="shared" si="24"/>
        <v>34.671999999999912</v>
      </c>
      <c r="J533" s="6">
        <f>'Raw Data'!J533</f>
        <v>728.11199999999997</v>
      </c>
      <c r="K533" s="1">
        <f>VALUE(IFERROR(VALUE('Raw Data'!K533),CONCATENATE(MID('Raw Data'!K533,3,2),".","0",LEFT('Raw Data'!K533,1),".", RIGHT('Raw Data'!K533,4))))</f>
        <v>43489</v>
      </c>
      <c r="L533" s="2">
        <f>'Raw Data'!L533</f>
        <v>0.75277777777777777</v>
      </c>
      <c r="M533" t="s">
        <v>33</v>
      </c>
      <c r="N533">
        <f>VALUE(IF(AND(ISERR(FIND(".",'Raw Data'!N533)),LEN('Raw Data'!N533)=5), IF(YEAR('Raw Data'!N533)=2026,CONCATENATE(DAY('Raw Data'!N533),".",IF(LEN(MONTH('Raw Data'!N533))=2,MONTH('Raw Data'!N533),CONCATENATE("0",MONTH('Raw Data'!N533)))),CONCATENATE(MONTH('Raw Data'!N533),".",RIGHT(YEAR('Raw Data'!N533),2))),'Raw Data'!N533))</f>
        <v>693.44</v>
      </c>
      <c r="O533" s="6">
        <f t="shared" si="25"/>
        <v>4.7619047619047494</v>
      </c>
      <c r="P533" s="6">
        <f t="shared" si="26"/>
        <v>34.671999999999912</v>
      </c>
      <c r="Q533">
        <f>VALUE(IF(AND(ISERR(FIND(".",'Raw Data'!Q533)),LEN('Raw Data'!Q533)=5), IF(YEAR('Raw Data'!Q533)=2026,CONCATENATE(DAY('Raw Data'!Q533),".",IF(LEN(MONTH('Raw Data'!Q533))=2,MONTH('Raw Data'!Q533),CONCATENATE(MONTH('Raw Data'!Q533)))),CONCATENATE(MONTH('Raw Data'!Q533),".",RIGHT(YEAR('Raw Data'!Q533),2))),'Raw Data'!Q533))</f>
        <v>7.2</v>
      </c>
    </row>
    <row r="534" spans="1:17">
      <c r="A534" t="s">
        <v>621</v>
      </c>
      <c r="B534" t="s">
        <v>34</v>
      </c>
      <c r="C534" t="s">
        <v>35</v>
      </c>
      <c r="D534" t="s">
        <v>27</v>
      </c>
      <c r="E534" t="s">
        <v>30</v>
      </c>
      <c r="F534" t="s">
        <v>28</v>
      </c>
      <c r="G534">
        <f>VALUE(IF(AND(ISERR(FIND(".",'Raw Data'!G534)),LEN('Raw Data'!G534)=5), IF(YEAR('Raw Data'!G534)=2026,CONCATENATE(DAY('Raw Data'!G534),".",IF(LEN(MONTH('Raw Data'!G534))=2,MONTH('Raw Data'!G534),CONCATENATE("0",MONTH('Raw Data'!G534)))),CONCATENATE(MONTH('Raw Data'!G534),".",RIGHT(YEAR('Raw Data'!G534),2))),'Raw Data'!G534))</f>
        <v>22.95</v>
      </c>
      <c r="H534">
        <f>'Raw Data'!H534</f>
        <v>10</v>
      </c>
      <c r="I534" s="6">
        <f t="shared" si="24"/>
        <v>11.474999999999994</v>
      </c>
      <c r="J534" s="6">
        <f>'Raw Data'!J534</f>
        <v>240.97499999999999</v>
      </c>
      <c r="K534" s="1">
        <f>VALUE(IFERROR(VALUE('Raw Data'!K534),CONCATENATE(MID('Raw Data'!K534,3,2),".","0",LEFT('Raw Data'!K534,1),".", RIGHT('Raw Data'!K534,4))))</f>
        <v>43618</v>
      </c>
      <c r="L534" s="2">
        <f>'Raw Data'!L534</f>
        <v>0.80555555555555547</v>
      </c>
      <c r="M534" t="s">
        <v>23</v>
      </c>
      <c r="N534">
        <f>VALUE(IF(AND(ISERR(FIND(".",'Raw Data'!N534)),LEN('Raw Data'!N534)=5), IF(YEAR('Raw Data'!N534)=2026,CONCATENATE(DAY('Raw Data'!N534),".",IF(LEN(MONTH('Raw Data'!N534))=2,MONTH('Raw Data'!N534),CONCATENATE("0",MONTH('Raw Data'!N534)))),CONCATENATE(MONTH('Raw Data'!N534),".",RIGHT(YEAR('Raw Data'!N534),2))),'Raw Data'!N534))</f>
        <v>229.5</v>
      </c>
      <c r="O534" s="6">
        <f t="shared" si="25"/>
        <v>4.7619047619047592</v>
      </c>
      <c r="P534" s="6">
        <f t="shared" si="26"/>
        <v>11.474999999999994</v>
      </c>
      <c r="Q534">
        <f>VALUE(IF(AND(ISERR(FIND(".",'Raw Data'!Q534)),LEN('Raw Data'!Q534)=5), IF(YEAR('Raw Data'!Q534)=2026,CONCATENATE(DAY('Raw Data'!Q534),".",IF(LEN(MONTH('Raw Data'!Q534))=2,MONTH('Raw Data'!Q534),CONCATENATE(MONTH('Raw Data'!Q534)))),CONCATENATE(MONTH('Raw Data'!Q534),".",RIGHT(YEAR('Raw Data'!Q534),2))),'Raw Data'!Q534))</f>
        <v>8.1999999999999993</v>
      </c>
    </row>
    <row r="535" spans="1:17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40</v>
      </c>
      <c r="G535">
        <f>VALUE(IF(AND(ISERR(FIND(".",'Raw Data'!G535)),LEN('Raw Data'!G535)=5), IF(YEAR('Raw Data'!G535)=2026,CONCATENATE(DAY('Raw Data'!G535),".",IF(LEN(MONTH('Raw Data'!G535))=2,MONTH('Raw Data'!G535),CONCATENATE("0",MONTH('Raw Data'!G535)))),CONCATENATE(MONTH('Raw Data'!G535),".",RIGHT(YEAR('Raw Data'!G535),2))),'Raw Data'!G535))</f>
        <v>16.309999999999999</v>
      </c>
      <c r="H535">
        <f>'Raw Data'!H535</f>
        <v>9</v>
      </c>
      <c r="I535" s="6">
        <f t="shared" si="24"/>
        <v>7.3395000000000152</v>
      </c>
      <c r="J535" s="6">
        <f>'Raw Data'!J535</f>
        <v>154.12950000000001</v>
      </c>
      <c r="K535" s="1">
        <f>VALUE(IFERROR(VALUE('Raw Data'!K535),CONCATENATE(MID('Raw Data'!K535,3,2),".","0",LEFT('Raw Data'!K535,1),".", RIGHT('Raw Data'!K535,4))))</f>
        <v>43550</v>
      </c>
      <c r="L535" s="2">
        <f>'Raw Data'!L535</f>
        <v>0.4381944444444445</v>
      </c>
      <c r="M535" t="s">
        <v>23</v>
      </c>
      <c r="N535">
        <f>VALUE(IF(AND(ISERR(FIND(".",'Raw Data'!N535)),LEN('Raw Data'!N535)=5), IF(YEAR('Raw Data'!N535)=2026,CONCATENATE(DAY('Raw Data'!N535),".",IF(LEN(MONTH('Raw Data'!N535))=2,MONTH('Raw Data'!N535),CONCATENATE("0",MONTH('Raw Data'!N535)))),CONCATENATE(MONTH('Raw Data'!N535),".",RIGHT(YEAR('Raw Data'!N535),2))),'Raw Data'!N535))</f>
        <v>146.79</v>
      </c>
      <c r="O535" s="6">
        <f t="shared" si="25"/>
        <v>4.7619047619047716</v>
      </c>
      <c r="P535" s="6">
        <f t="shared" si="26"/>
        <v>7.3395000000000152</v>
      </c>
      <c r="Q535">
        <f>VALUE(IF(AND(ISERR(FIND(".",'Raw Data'!Q535)),LEN('Raw Data'!Q535)=5), IF(YEAR('Raw Data'!Q535)=2026,CONCATENATE(DAY('Raw Data'!Q535),".",IF(LEN(MONTH('Raw Data'!Q535))=2,MONTH('Raw Data'!Q535),CONCATENATE(MONTH('Raw Data'!Q535)))),CONCATENATE(MONTH('Raw Data'!Q535),".",RIGHT(YEAR('Raw Data'!Q535),2))),'Raw Data'!Q535))</f>
        <v>8.4</v>
      </c>
    </row>
    <row r="536" spans="1:17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f>VALUE(IF(AND(ISERR(FIND(".",'Raw Data'!G536)),LEN('Raw Data'!G536)=5), IF(YEAR('Raw Data'!G536)=2026,CONCATENATE(DAY('Raw Data'!G536),".",IF(LEN(MONTH('Raw Data'!G536))=2,MONTH('Raw Data'!G536),CONCATENATE("0",MONTH('Raw Data'!G536)))),CONCATENATE(MONTH('Raw Data'!G536),".",RIGHT(YEAR('Raw Data'!G536),2))),'Raw Data'!G536))</f>
        <v>28.32</v>
      </c>
      <c r="H536">
        <f>'Raw Data'!H536</f>
        <v>5</v>
      </c>
      <c r="I536" s="6">
        <f t="shared" si="24"/>
        <v>7.0800000000000125</v>
      </c>
      <c r="J536" s="6">
        <f>'Raw Data'!J536</f>
        <v>148.68</v>
      </c>
      <c r="K536" s="1">
        <f>VALUE(IFERROR(VALUE('Raw Data'!K536),CONCATENATE(MID('Raw Data'!K536,3,2),".","0",LEFT('Raw Data'!K536,1),".", RIGHT('Raw Data'!K536,4))))</f>
        <v>43772</v>
      </c>
      <c r="L536" s="2">
        <f>'Raw Data'!L536</f>
        <v>0.56111111111111112</v>
      </c>
      <c r="M536" t="s">
        <v>23</v>
      </c>
      <c r="N536">
        <f>VALUE(IF(AND(ISERR(FIND(".",'Raw Data'!N536)),LEN('Raw Data'!N536)=5), IF(YEAR('Raw Data'!N536)=2026,CONCATENATE(DAY('Raw Data'!N536),".",IF(LEN(MONTH('Raw Data'!N536))=2,MONTH('Raw Data'!N536),CONCATENATE("0",MONTH('Raw Data'!N536)))),CONCATENATE(MONTH('Raw Data'!N536),".",RIGHT(YEAR('Raw Data'!N536),2))),'Raw Data'!N536))</f>
        <v>141.6</v>
      </c>
      <c r="O536" s="6">
        <f t="shared" si="25"/>
        <v>4.7619047619047699</v>
      </c>
      <c r="P536" s="6">
        <f t="shared" si="26"/>
        <v>7.0800000000000125</v>
      </c>
      <c r="Q536">
        <f>VALUE(IF(AND(ISERR(FIND(".",'Raw Data'!Q536)),LEN('Raw Data'!Q536)=5), IF(YEAR('Raw Data'!Q536)=2026,CONCATENATE(DAY('Raw Data'!Q536),".",IF(LEN(MONTH('Raw Data'!Q536))=2,MONTH('Raw Data'!Q536),CONCATENATE(MONTH('Raw Data'!Q536)))),CONCATENATE(MONTH('Raw Data'!Q536),".",RIGHT(YEAR('Raw Data'!Q536),2))),'Raw Data'!Q536))</f>
        <v>6.2</v>
      </c>
    </row>
    <row r="537" spans="1:17">
      <c r="A537" t="s">
        <v>624</v>
      </c>
      <c r="B537" t="s">
        <v>25</v>
      </c>
      <c r="C537" t="s">
        <v>26</v>
      </c>
      <c r="D537" t="s">
        <v>27</v>
      </c>
      <c r="E537" t="s">
        <v>30</v>
      </c>
      <c r="F537" t="s">
        <v>32</v>
      </c>
      <c r="G537">
        <f>VALUE(IF(AND(ISERR(FIND(".",'Raw Data'!G537)),LEN('Raw Data'!G537)=5), IF(YEAR('Raw Data'!G537)=2026,CONCATENATE(DAY('Raw Data'!G537),".",IF(LEN(MONTH('Raw Data'!G537))=2,MONTH('Raw Data'!G537),CONCATENATE("0",MONTH('Raw Data'!G537)))),CONCATENATE(MONTH('Raw Data'!G537),".",RIGHT(YEAR('Raw Data'!G537),2))),'Raw Data'!G537))</f>
        <v>16.670000000000002</v>
      </c>
      <c r="H537">
        <f>'Raw Data'!H537</f>
        <v>7</v>
      </c>
      <c r="I537" s="6">
        <f t="shared" si="24"/>
        <v>5.8344999999999914</v>
      </c>
      <c r="J537" s="6">
        <f>'Raw Data'!J537</f>
        <v>122.5245</v>
      </c>
      <c r="K537" s="1">
        <f>VALUE(IFERROR(VALUE('Raw Data'!K537),CONCATENATE(MID('Raw Data'!K537,3,2),".","0",LEFT('Raw Data'!K537,1),".", RIGHT('Raw Data'!K537,4))))</f>
        <v>43648</v>
      </c>
      <c r="L537" s="2">
        <f>'Raw Data'!L537</f>
        <v>0.48333333333333334</v>
      </c>
      <c r="M537" t="s">
        <v>23</v>
      </c>
      <c r="N537">
        <f>VALUE(IF(AND(ISERR(FIND(".",'Raw Data'!N537)),LEN('Raw Data'!N537)=5), IF(YEAR('Raw Data'!N537)=2026,CONCATENATE(DAY('Raw Data'!N537),".",IF(LEN(MONTH('Raw Data'!N537))=2,MONTH('Raw Data'!N537),CONCATENATE("0",MONTH('Raw Data'!N537)))),CONCATENATE(MONTH('Raw Data'!N537),".",RIGHT(YEAR('Raw Data'!N537),2))),'Raw Data'!N537))</f>
        <v>116.69</v>
      </c>
      <c r="O537" s="6">
        <f t="shared" si="25"/>
        <v>4.7619047619047663</v>
      </c>
      <c r="P537" s="6">
        <f t="shared" si="26"/>
        <v>5.8345000000000056</v>
      </c>
      <c r="Q537">
        <f>VALUE(IF(AND(ISERR(FIND(".",'Raw Data'!Q537)),LEN('Raw Data'!Q537)=5), IF(YEAR('Raw Data'!Q537)=2026,CONCATENATE(DAY('Raw Data'!Q537),".",IF(LEN(MONTH('Raw Data'!Q537))=2,MONTH('Raw Data'!Q537),CONCATENATE(MONTH('Raw Data'!Q537)))),CONCATENATE(MONTH('Raw Data'!Q537),".",RIGHT(YEAR('Raw Data'!Q537),2))),'Raw Data'!Q537))</f>
        <v>7.4</v>
      </c>
    </row>
    <row r="538" spans="1:17">
      <c r="A538" t="s">
        <v>625</v>
      </c>
      <c r="B538" t="s">
        <v>34</v>
      </c>
      <c r="C538" t="s">
        <v>35</v>
      </c>
      <c r="D538" t="s">
        <v>20</v>
      </c>
      <c r="E538" t="s">
        <v>21</v>
      </c>
      <c r="F538" t="s">
        <v>43</v>
      </c>
      <c r="G538">
        <f>VALUE(IF(AND(ISERR(FIND(".",'Raw Data'!G538)),LEN('Raw Data'!G538)=5), IF(YEAR('Raw Data'!G538)=2026,CONCATENATE(DAY('Raw Data'!G538),".",IF(LEN(MONTH('Raw Data'!G538))=2,MONTH('Raw Data'!G538),CONCATENATE("0",MONTH('Raw Data'!G538)))),CONCATENATE(MONTH('Raw Data'!G538),".",RIGHT(YEAR('Raw Data'!G538),2))),'Raw Data'!G538))</f>
        <v>73.959999999999994</v>
      </c>
      <c r="H538">
        <f>'Raw Data'!H538</f>
        <v>1</v>
      </c>
      <c r="I538" s="6">
        <f t="shared" si="24"/>
        <v>3.6980000000000075</v>
      </c>
      <c r="J538" s="6">
        <f>'Raw Data'!J538</f>
        <v>77.658000000000001</v>
      </c>
      <c r="K538" s="1">
        <f>VALUE(IFERROR(VALUE('Raw Data'!K538),CONCATENATE(MID('Raw Data'!K538,3,2),".","0",LEFT('Raw Data'!K538,1),".", RIGHT('Raw Data'!K538,4))))</f>
        <v>43586</v>
      </c>
      <c r="L538" s="2">
        <f>'Raw Data'!L538</f>
        <v>0.48055555555555557</v>
      </c>
      <c r="M538" t="s">
        <v>33</v>
      </c>
      <c r="N538">
        <f>VALUE(IF(AND(ISERR(FIND(".",'Raw Data'!N538)),LEN('Raw Data'!N538)=5), IF(YEAR('Raw Data'!N538)=2026,CONCATENATE(DAY('Raw Data'!N538),".",IF(LEN(MONTH('Raw Data'!N538))=2,MONTH('Raw Data'!N538),CONCATENATE("0",MONTH('Raw Data'!N538)))),CONCATENATE(MONTH('Raw Data'!N538),".",RIGHT(YEAR('Raw Data'!N538),2))),'Raw Data'!N538))</f>
        <v>73.959999999999994</v>
      </c>
      <c r="O538" s="6">
        <f t="shared" si="25"/>
        <v>4.7619047619047716</v>
      </c>
      <c r="P538" s="6">
        <f t="shared" si="26"/>
        <v>3.6980000000000075</v>
      </c>
      <c r="Q538">
        <f>VALUE(IF(AND(ISERR(FIND(".",'Raw Data'!Q538)),LEN('Raw Data'!Q538)=5), IF(YEAR('Raw Data'!Q538)=2026,CONCATENATE(DAY('Raw Data'!Q538),".",IF(LEN(MONTH('Raw Data'!Q538))=2,MONTH('Raw Data'!Q538),CONCATENATE(MONTH('Raw Data'!Q538)))),CONCATENATE(MONTH('Raw Data'!Q538),".",RIGHT(YEAR('Raw Data'!Q538),2))),'Raw Data'!Q538))</f>
        <v>5</v>
      </c>
    </row>
    <row r="539" spans="1:17">
      <c r="A539" t="s">
        <v>626</v>
      </c>
      <c r="B539" t="s">
        <v>18</v>
      </c>
      <c r="C539" t="s">
        <v>19</v>
      </c>
      <c r="D539" t="s">
        <v>27</v>
      </c>
      <c r="E539" t="s">
        <v>30</v>
      </c>
      <c r="F539" t="s">
        <v>32</v>
      </c>
      <c r="G539">
        <f>VALUE(IF(AND(ISERR(FIND(".",'Raw Data'!G539)),LEN('Raw Data'!G539)=5), IF(YEAR('Raw Data'!G539)=2026,CONCATENATE(DAY('Raw Data'!G539),".",IF(LEN(MONTH('Raw Data'!G539))=2,MONTH('Raw Data'!G539),CONCATENATE("0",MONTH('Raw Data'!G539)))),CONCATENATE(MONTH('Raw Data'!G539),".",RIGHT(YEAR('Raw Data'!G539),2))),'Raw Data'!G539))</f>
        <v>97.94</v>
      </c>
      <c r="H539">
        <f>'Raw Data'!H539</f>
        <v>1</v>
      </c>
      <c r="I539" s="6">
        <f t="shared" si="24"/>
        <v>4.8970000000000056</v>
      </c>
      <c r="J539" s="6">
        <f>'Raw Data'!J539</f>
        <v>102.837</v>
      </c>
      <c r="K539" s="1">
        <f>VALUE(IFERROR(VALUE('Raw Data'!K539),CONCATENATE(MID('Raw Data'!K539,3,2),".","0",LEFT('Raw Data'!K539,1),".", RIGHT('Raw Data'!K539,4))))</f>
        <v>43649</v>
      </c>
      <c r="L539" s="2">
        <f>'Raw Data'!L539</f>
        <v>0.48888888888888887</v>
      </c>
      <c r="M539" t="s">
        <v>23</v>
      </c>
      <c r="N539">
        <f>VALUE(IF(AND(ISERR(FIND(".",'Raw Data'!N539)),LEN('Raw Data'!N539)=5), IF(YEAR('Raw Data'!N539)=2026,CONCATENATE(DAY('Raw Data'!N539),".",IF(LEN(MONTH('Raw Data'!N539))=2,MONTH('Raw Data'!N539),CONCATENATE("0",MONTH('Raw Data'!N539)))),CONCATENATE(MONTH('Raw Data'!N539),".",RIGHT(YEAR('Raw Data'!N539),2))),'Raw Data'!N539))</f>
        <v>97.94</v>
      </c>
      <c r="O539" s="6">
        <f t="shared" si="25"/>
        <v>4.7619047619047672</v>
      </c>
      <c r="P539" s="6">
        <f t="shared" si="26"/>
        <v>4.8970000000000056</v>
      </c>
      <c r="Q539">
        <f>VALUE(IF(AND(ISERR(FIND(".",'Raw Data'!Q539)),LEN('Raw Data'!Q539)=5), IF(YEAR('Raw Data'!Q539)=2026,CONCATENATE(DAY('Raw Data'!Q539),".",IF(LEN(MONTH('Raw Data'!Q539))=2,MONTH('Raw Data'!Q539),CONCATENATE(MONTH('Raw Data'!Q539)))),CONCATENATE(MONTH('Raw Data'!Q539),".",RIGHT(YEAR('Raw Data'!Q539),2))),'Raw Data'!Q539))</f>
        <v>6.9</v>
      </c>
    </row>
    <row r="540" spans="1:17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43</v>
      </c>
      <c r="G540">
        <f>VALUE(IF(AND(ISERR(FIND(".",'Raw Data'!G540)),LEN('Raw Data'!G540)=5), IF(YEAR('Raw Data'!G540)=2026,CONCATENATE(DAY('Raw Data'!G540),".",IF(LEN(MONTH('Raw Data'!G540))=2,MONTH('Raw Data'!G540),CONCATENATE("0",MONTH('Raw Data'!G540)))),CONCATENATE(MONTH('Raw Data'!G540),".",RIGHT(YEAR('Raw Data'!G540),2))),'Raw Data'!G540))</f>
        <v>73.05</v>
      </c>
      <c r="H540">
        <f>'Raw Data'!H540</f>
        <v>4</v>
      </c>
      <c r="I540" s="6">
        <f t="shared" si="24"/>
        <v>14.610000000000014</v>
      </c>
      <c r="J540" s="6">
        <f>'Raw Data'!J540</f>
        <v>306.81</v>
      </c>
      <c r="K540" s="1">
        <f>VALUE(IFERROR(VALUE('Raw Data'!K540),CONCATENATE(MID('Raw Data'!K540,3,2),".","0",LEFT('Raw Data'!K540,1),".", RIGHT('Raw Data'!K540,4))))</f>
        <v>43521</v>
      </c>
      <c r="L540" s="2">
        <f>'Raw Data'!L540</f>
        <v>0.71944444444444444</v>
      </c>
      <c r="M540" t="s">
        <v>33</v>
      </c>
      <c r="N540">
        <f>VALUE(IF(AND(ISERR(FIND(".",'Raw Data'!N540)),LEN('Raw Data'!N540)=5), IF(YEAR('Raw Data'!N540)=2026,CONCATENATE(DAY('Raw Data'!N540),".",IF(LEN(MONTH('Raw Data'!N540))=2,MONTH('Raw Data'!N540),CONCATENATE("0",MONTH('Raw Data'!N540)))),CONCATENATE(MONTH('Raw Data'!N540),".",RIGHT(YEAR('Raw Data'!N540),2))),'Raw Data'!N540))</f>
        <v>292.2</v>
      </c>
      <c r="O540" s="6">
        <f t="shared" si="25"/>
        <v>4.7619047619047663</v>
      </c>
      <c r="P540" s="6">
        <f t="shared" si="26"/>
        <v>14.610000000000014</v>
      </c>
      <c r="Q540">
        <f>VALUE(IF(AND(ISERR(FIND(".",'Raw Data'!Q540)),LEN('Raw Data'!Q540)=5), IF(YEAR('Raw Data'!Q540)=2026,CONCATENATE(DAY('Raw Data'!Q540),".",IF(LEN(MONTH('Raw Data'!Q540))=2,MONTH('Raw Data'!Q540),CONCATENATE(MONTH('Raw Data'!Q540)))),CONCATENATE(MONTH('Raw Data'!Q540),".",RIGHT(YEAR('Raw Data'!Q540),2))),'Raw Data'!Q540))</f>
        <v>4.9000000000000004</v>
      </c>
    </row>
    <row r="541" spans="1:17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40</v>
      </c>
      <c r="G541">
        <f>VALUE(IF(AND(ISERR(FIND(".",'Raw Data'!G541)),LEN('Raw Data'!G541)=5), IF(YEAR('Raw Data'!G541)=2026,CONCATENATE(DAY('Raw Data'!G541),".",IF(LEN(MONTH('Raw Data'!G541))=2,MONTH('Raw Data'!G541),CONCATENATE("0",MONTH('Raw Data'!G541)))),CONCATENATE(MONTH('Raw Data'!G541),".",RIGHT(YEAR('Raw Data'!G541),2))),'Raw Data'!G541))</f>
        <v>87.48</v>
      </c>
      <c r="H541">
        <f>'Raw Data'!H541</f>
        <v>6</v>
      </c>
      <c r="I541" s="6">
        <f t="shared" si="24"/>
        <v>26.244000000000028</v>
      </c>
      <c r="J541" s="6">
        <f>'Raw Data'!J541</f>
        <v>551.12400000000002</v>
      </c>
      <c r="K541" s="1">
        <f>VALUE(IFERROR(VALUE('Raw Data'!K541),CONCATENATE(MID('Raw Data'!K541,3,2),".","0",LEFT('Raw Data'!K541,1),".", RIGHT('Raw Data'!K541,4))))</f>
        <v>43467</v>
      </c>
      <c r="L541" s="2">
        <f>'Raw Data'!L541</f>
        <v>0.77986111111111101</v>
      </c>
      <c r="M541" t="s">
        <v>23</v>
      </c>
      <c r="N541">
        <f>VALUE(IF(AND(ISERR(FIND(".",'Raw Data'!N541)),LEN('Raw Data'!N541)=5), IF(YEAR('Raw Data'!N541)=2026,CONCATENATE(DAY('Raw Data'!N541),".",IF(LEN(MONTH('Raw Data'!N541))=2,MONTH('Raw Data'!N541),CONCATENATE("0",MONTH('Raw Data'!N541)))),CONCATENATE(MONTH('Raw Data'!N541),".",RIGHT(YEAR('Raw Data'!N541),2))),'Raw Data'!N541))</f>
        <v>524.88</v>
      </c>
      <c r="O541" s="6">
        <f t="shared" si="25"/>
        <v>4.7619047619047663</v>
      </c>
      <c r="P541" s="6">
        <f t="shared" si="26"/>
        <v>26.244000000000028</v>
      </c>
      <c r="Q541">
        <f>VALUE(IF(AND(ISERR(FIND(".",'Raw Data'!Q541)),LEN('Raw Data'!Q541)=5), IF(YEAR('Raw Data'!Q541)=2026,CONCATENATE(DAY('Raw Data'!Q541),".",IF(LEN(MONTH('Raw Data'!Q541))=2,MONTH('Raw Data'!Q541),CONCATENATE(MONTH('Raw Data'!Q541)))),CONCATENATE(MONTH('Raw Data'!Q541),".",RIGHT(YEAR('Raw Data'!Q541),2))),'Raw Data'!Q541))</f>
        <v>5.0999999999999996</v>
      </c>
    </row>
    <row r="542" spans="1:17">
      <c r="A542" t="s">
        <v>629</v>
      </c>
      <c r="B542" t="s">
        <v>18</v>
      </c>
      <c r="C542" t="s">
        <v>19</v>
      </c>
      <c r="D542" t="s">
        <v>27</v>
      </c>
      <c r="E542" t="s">
        <v>30</v>
      </c>
      <c r="F542" t="s">
        <v>32</v>
      </c>
      <c r="G542">
        <f>VALUE(IF(AND(ISERR(FIND(".",'Raw Data'!G542)),LEN('Raw Data'!G542)=5), IF(YEAR('Raw Data'!G542)=2026,CONCATENATE(DAY('Raw Data'!G542),".",IF(LEN(MONTH('Raw Data'!G542))=2,MONTH('Raw Data'!G542),CONCATENATE("0",MONTH('Raw Data'!G542)))),CONCATENATE(MONTH('Raw Data'!G542),".",RIGHT(YEAR('Raw Data'!G542),2))),'Raw Data'!G542))</f>
        <v>30.68</v>
      </c>
      <c r="H542">
        <f>'Raw Data'!H542</f>
        <v>3</v>
      </c>
      <c r="I542" s="6">
        <f t="shared" si="24"/>
        <v>4.6020000000000039</v>
      </c>
      <c r="J542" s="6">
        <f>'Raw Data'!J542</f>
        <v>96.641999999999996</v>
      </c>
      <c r="K542" s="1">
        <f>VALUE(IFERROR(VALUE('Raw Data'!K542),CONCATENATE(MID('Raw Data'!K542,3,2),".","0",LEFT('Raw Data'!K542,1),".", RIGHT('Raw Data'!K542,4))))</f>
        <v>43487</v>
      </c>
      <c r="L542" s="2">
        <f>'Raw Data'!L542</f>
        <v>0.45833333333333331</v>
      </c>
      <c r="M542" t="s">
        <v>23</v>
      </c>
      <c r="N542">
        <f>VALUE(IF(AND(ISERR(FIND(".",'Raw Data'!N542)),LEN('Raw Data'!N542)=5), IF(YEAR('Raw Data'!N542)=2026,CONCATENATE(DAY('Raw Data'!N542),".",IF(LEN(MONTH('Raw Data'!N542))=2,MONTH('Raw Data'!N542),CONCATENATE("0",MONTH('Raw Data'!N542)))),CONCATENATE(MONTH('Raw Data'!N542),".",RIGHT(YEAR('Raw Data'!N542),2))),'Raw Data'!N542))</f>
        <v>92.04</v>
      </c>
      <c r="O542" s="6">
        <f t="shared" si="25"/>
        <v>4.7619047619047512</v>
      </c>
      <c r="P542" s="6">
        <f t="shared" si="26"/>
        <v>4.6019999999999897</v>
      </c>
      <c r="Q542">
        <f>VALUE(IF(AND(ISERR(FIND(".",'Raw Data'!Q542)),LEN('Raw Data'!Q542)=5), IF(YEAR('Raw Data'!Q542)=2026,CONCATENATE(DAY('Raw Data'!Q542),".",IF(LEN(MONTH('Raw Data'!Q542))=2,MONTH('Raw Data'!Q542),CONCATENATE(MONTH('Raw Data'!Q542)))),CONCATENATE(MONTH('Raw Data'!Q542),".",RIGHT(YEAR('Raw Data'!Q542),2))),'Raw Data'!Q542))</f>
        <v>9.1</v>
      </c>
    </row>
    <row r="543" spans="1:17">
      <c r="A543" t="s">
        <v>630</v>
      </c>
      <c r="B543" t="s">
        <v>25</v>
      </c>
      <c r="C543" t="s">
        <v>26</v>
      </c>
      <c r="D543" t="s">
        <v>20</v>
      </c>
      <c r="E543" t="s">
        <v>30</v>
      </c>
      <c r="F543" t="s">
        <v>22</v>
      </c>
      <c r="G543">
        <f>VALUE(IF(AND(ISERR(FIND(".",'Raw Data'!G543)),LEN('Raw Data'!G543)=5), IF(YEAR('Raw Data'!G543)=2026,CONCATENATE(DAY('Raw Data'!G543),".",IF(LEN(MONTH('Raw Data'!G543))=2,MONTH('Raw Data'!G543),CONCATENATE("0",MONTH('Raw Data'!G543)))),CONCATENATE(MONTH('Raw Data'!G543),".",RIGHT(YEAR('Raw Data'!G543),2))),'Raw Data'!G543))</f>
        <v>75.88</v>
      </c>
      <c r="H543">
        <f>'Raw Data'!H543</f>
        <v>1</v>
      </c>
      <c r="I543" s="6">
        <f t="shared" si="24"/>
        <v>3.7940000000000111</v>
      </c>
      <c r="J543" s="6">
        <f>'Raw Data'!J543</f>
        <v>79.674000000000007</v>
      </c>
      <c r="K543" s="1">
        <f>VALUE(IFERROR(VALUE('Raw Data'!K543),CONCATENATE(MID('Raw Data'!K543,3,2),".","0",LEFT('Raw Data'!K543,1),".", RIGHT('Raw Data'!K543,4))))</f>
        <v>43525</v>
      </c>
      <c r="L543" s="2">
        <f>'Raw Data'!L543</f>
        <v>0.4375</v>
      </c>
      <c r="M543" t="s">
        <v>33</v>
      </c>
      <c r="N543">
        <f>VALUE(IF(AND(ISERR(FIND(".",'Raw Data'!N543)),LEN('Raw Data'!N543)=5), IF(YEAR('Raw Data'!N543)=2026,CONCATENATE(DAY('Raw Data'!N543),".",IF(LEN(MONTH('Raw Data'!N543))=2,MONTH('Raw Data'!N543),CONCATENATE("0",MONTH('Raw Data'!N543)))),CONCATENATE(MONTH('Raw Data'!N543),".",RIGHT(YEAR('Raw Data'!N543),2))),'Raw Data'!N543))</f>
        <v>75.88</v>
      </c>
      <c r="O543" s="6">
        <f t="shared" si="25"/>
        <v>4.7619047619047752</v>
      </c>
      <c r="P543" s="6">
        <f t="shared" si="26"/>
        <v>3.7940000000000111</v>
      </c>
      <c r="Q543">
        <f>VALUE(IF(AND(ISERR(FIND(".",'Raw Data'!Q543)),LEN('Raw Data'!Q543)=5), IF(YEAR('Raw Data'!Q543)=2026,CONCATENATE(DAY('Raw Data'!Q543),".",IF(LEN(MONTH('Raw Data'!Q543))=2,MONTH('Raw Data'!Q543),CONCATENATE(MONTH('Raw Data'!Q543)))),CONCATENATE(MONTH('Raw Data'!Q543),".",RIGHT(YEAR('Raw Data'!Q543),2))),'Raw Data'!Q543))</f>
        <v>7.1</v>
      </c>
    </row>
    <row r="544" spans="1:17">
      <c r="A544" t="s">
        <v>631</v>
      </c>
      <c r="B544" t="s">
        <v>34</v>
      </c>
      <c r="C544" t="s">
        <v>35</v>
      </c>
      <c r="D544" t="s">
        <v>20</v>
      </c>
      <c r="E544" t="s">
        <v>21</v>
      </c>
      <c r="F544" t="s">
        <v>38</v>
      </c>
      <c r="G544">
        <f>VALUE(IF(AND(ISERR(FIND(".",'Raw Data'!G544)),LEN('Raw Data'!G544)=5), IF(YEAR('Raw Data'!G544)=2026,CONCATENATE(DAY('Raw Data'!G544),".",IF(LEN(MONTH('Raw Data'!G544))=2,MONTH('Raw Data'!G544),CONCATENATE("0",MONTH('Raw Data'!G544)))),CONCATENATE(MONTH('Raw Data'!G544),".",RIGHT(YEAR('Raw Data'!G544),2))),'Raw Data'!G544))</f>
        <v>20.18</v>
      </c>
      <c r="H544">
        <f>'Raw Data'!H544</f>
        <v>4</v>
      </c>
      <c r="I544" s="6">
        <f t="shared" si="24"/>
        <v>4.0360000000000014</v>
      </c>
      <c r="J544" s="6">
        <f>'Raw Data'!J544</f>
        <v>84.756</v>
      </c>
      <c r="K544" s="1">
        <f>VALUE(IFERROR(VALUE('Raw Data'!K544),CONCATENATE(MID('Raw Data'!K544,3,2),".","0",LEFT('Raw Data'!K544,1),".", RIGHT('Raw Data'!K544,4))))</f>
        <v>43509</v>
      </c>
      <c r="L544" s="2">
        <f>'Raw Data'!L544</f>
        <v>0.50972222222222219</v>
      </c>
      <c r="M544" t="s">
        <v>33</v>
      </c>
      <c r="N544">
        <f>VALUE(IF(AND(ISERR(FIND(".",'Raw Data'!N544)),LEN('Raw Data'!N544)=5), IF(YEAR('Raw Data'!N544)=2026,CONCATENATE(DAY('Raw Data'!N544),".",IF(LEN(MONTH('Raw Data'!N544))=2,MONTH('Raw Data'!N544),CONCATENATE("0",MONTH('Raw Data'!N544)))),CONCATENATE(MONTH('Raw Data'!N544),".",RIGHT(YEAR('Raw Data'!N544),2))),'Raw Data'!N544))</f>
        <v>80.72</v>
      </c>
      <c r="O544" s="6">
        <f t="shared" si="25"/>
        <v>4.7619047619047636</v>
      </c>
      <c r="P544" s="6">
        <f t="shared" si="26"/>
        <v>4.0360000000000014</v>
      </c>
      <c r="Q544">
        <f>VALUE(IF(AND(ISERR(FIND(".",'Raw Data'!Q544)),LEN('Raw Data'!Q544)=5), IF(YEAR('Raw Data'!Q544)=2026,CONCATENATE(DAY('Raw Data'!Q544),".",IF(LEN(MONTH('Raw Data'!Q544))=2,MONTH('Raw Data'!Q544),CONCATENATE(MONTH('Raw Data'!Q544)))),CONCATENATE(MONTH('Raw Data'!Q544),".",RIGHT(YEAR('Raw Data'!Q544),2))),'Raw Data'!Q544))</f>
        <v>5</v>
      </c>
    </row>
    <row r="545" spans="1:17">
      <c r="A545" t="s">
        <v>632</v>
      </c>
      <c r="B545" t="s">
        <v>25</v>
      </c>
      <c r="C545" t="s">
        <v>26</v>
      </c>
      <c r="D545" t="s">
        <v>20</v>
      </c>
      <c r="E545" t="s">
        <v>30</v>
      </c>
      <c r="F545" t="s">
        <v>28</v>
      </c>
      <c r="G545">
        <f>VALUE(IF(AND(ISERR(FIND(".",'Raw Data'!G545)),LEN('Raw Data'!G545)=5), IF(YEAR('Raw Data'!G545)=2026,CONCATENATE(DAY('Raw Data'!G545),".",IF(LEN(MONTH('Raw Data'!G545))=2,MONTH('Raw Data'!G545),CONCATENATE("0",MONTH('Raw Data'!G545)))),CONCATENATE(MONTH('Raw Data'!G545),".",RIGHT(YEAR('Raw Data'!G545),2))),'Raw Data'!G545))</f>
        <v>18.77</v>
      </c>
      <c r="H545">
        <f>'Raw Data'!H545</f>
        <v>6</v>
      </c>
      <c r="I545" s="6">
        <f t="shared" si="24"/>
        <v>5.6310000000000002</v>
      </c>
      <c r="J545" s="6">
        <f>'Raw Data'!J545</f>
        <v>118.251</v>
      </c>
      <c r="K545" s="1">
        <f>VALUE(IFERROR(VALUE('Raw Data'!K545),CONCATENATE(MID('Raw Data'!K545,3,2),".","0",LEFT('Raw Data'!K545,1),".", RIGHT('Raw Data'!K545,4))))</f>
        <v>43493</v>
      </c>
      <c r="L545" s="2">
        <f>'Raw Data'!L545</f>
        <v>0.69652777777777775</v>
      </c>
      <c r="M545" t="s">
        <v>33</v>
      </c>
      <c r="N545">
        <f>VALUE(IF(AND(ISERR(FIND(".",'Raw Data'!N545)),LEN('Raw Data'!N545)=5), IF(YEAR('Raw Data'!N545)=2026,CONCATENATE(DAY('Raw Data'!N545),".",IF(LEN(MONTH('Raw Data'!N545))=2,MONTH('Raw Data'!N545),CONCATENATE("0",MONTH('Raw Data'!N545)))),CONCATENATE(MONTH('Raw Data'!N545),".",RIGHT(YEAR('Raw Data'!N545),2))),'Raw Data'!N545))</f>
        <v>112.62</v>
      </c>
      <c r="O545" s="6">
        <f t="shared" si="25"/>
        <v>4.7619047619047619</v>
      </c>
      <c r="P545" s="6">
        <f t="shared" si="26"/>
        <v>5.6310000000000002</v>
      </c>
      <c r="Q545">
        <f>VALUE(IF(AND(ISERR(FIND(".",'Raw Data'!Q545)),LEN('Raw Data'!Q545)=5), IF(YEAR('Raw Data'!Q545)=2026,CONCATENATE(DAY('Raw Data'!Q545),".",IF(LEN(MONTH('Raw Data'!Q545))=2,MONTH('Raw Data'!Q545),CONCATENATE(MONTH('Raw Data'!Q545)))),CONCATENATE(MONTH('Raw Data'!Q545),".",RIGHT(YEAR('Raw Data'!Q545),2))),'Raw Data'!Q545))</f>
        <v>5.5</v>
      </c>
    </row>
    <row r="546" spans="1:17">
      <c r="A546" t="s">
        <v>633</v>
      </c>
      <c r="B546" t="s">
        <v>34</v>
      </c>
      <c r="C546" t="s">
        <v>35</v>
      </c>
      <c r="D546" t="s">
        <v>27</v>
      </c>
      <c r="E546" t="s">
        <v>21</v>
      </c>
      <c r="F546" t="s">
        <v>40</v>
      </c>
      <c r="G546">
        <f>VALUE(IF(AND(ISERR(FIND(".",'Raw Data'!G546)),LEN('Raw Data'!G546)=5), IF(YEAR('Raw Data'!G546)=2026,CONCATENATE(DAY('Raw Data'!G546),".",IF(LEN(MONTH('Raw Data'!G546))=2,MONTH('Raw Data'!G546),CONCATENATE("0",MONTH('Raw Data'!G546)))),CONCATENATE(MONTH('Raw Data'!G546),".",RIGHT(YEAR('Raw Data'!G546),2))),'Raw Data'!G546))</f>
        <v>71.2</v>
      </c>
      <c r="H546">
        <f>'Raw Data'!H546</f>
        <v>1</v>
      </c>
      <c r="I546" s="6">
        <f t="shared" si="24"/>
        <v>3.5600000000000023</v>
      </c>
      <c r="J546" s="6">
        <f>'Raw Data'!J546</f>
        <v>74.760000000000005</v>
      </c>
      <c r="K546" s="1">
        <f>VALUE(IFERROR(VALUE('Raw Data'!K546),CONCATENATE(MID('Raw Data'!K546,3,2),".","0",LEFT('Raw Data'!K546,1),".", RIGHT('Raw Data'!K546,4))))</f>
        <v>43586</v>
      </c>
      <c r="L546" s="2">
        <f>'Raw Data'!L546</f>
        <v>0.86111111111111116</v>
      </c>
      <c r="M546" t="s">
        <v>33</v>
      </c>
      <c r="N546">
        <f>VALUE(IF(AND(ISERR(FIND(".",'Raw Data'!N546)),LEN('Raw Data'!N546)=5), IF(YEAR('Raw Data'!N546)=2026,CONCATENATE(DAY('Raw Data'!N546),".",IF(LEN(MONTH('Raw Data'!N546))=2,MONTH('Raw Data'!N546),CONCATENATE("0",MONTH('Raw Data'!N546)))),CONCATENATE(MONTH('Raw Data'!N546),".",RIGHT(YEAR('Raw Data'!N546),2))),'Raw Data'!N546))</f>
        <v>71.2</v>
      </c>
      <c r="O546" s="6">
        <f t="shared" si="25"/>
        <v>4.7619047619047645</v>
      </c>
      <c r="P546" s="6">
        <f t="shared" si="26"/>
        <v>3.5600000000000023</v>
      </c>
      <c r="Q546">
        <f>VALUE(IF(AND(ISERR(FIND(".",'Raw Data'!Q546)),LEN('Raw Data'!Q546)=5), IF(YEAR('Raw Data'!Q546)=2026,CONCATENATE(DAY('Raw Data'!Q546),".",IF(LEN(MONTH('Raw Data'!Q546))=2,MONTH('Raw Data'!Q546),CONCATENATE(MONTH('Raw Data'!Q546)))),CONCATENATE(MONTH('Raw Data'!Q546),".",RIGHT(YEAR('Raw Data'!Q546),2))),'Raw Data'!Q546))</f>
        <v>9.1999999999999993</v>
      </c>
    </row>
    <row r="547" spans="1:17">
      <c r="A547" t="s">
        <v>634</v>
      </c>
      <c r="B547" t="s">
        <v>34</v>
      </c>
      <c r="C547" t="s">
        <v>35</v>
      </c>
      <c r="D547" t="s">
        <v>20</v>
      </c>
      <c r="E547" t="s">
        <v>30</v>
      </c>
      <c r="F547" t="s">
        <v>32</v>
      </c>
      <c r="G547">
        <f>VALUE(IF(AND(ISERR(FIND(".",'Raw Data'!G547)),LEN('Raw Data'!G547)=5), IF(YEAR('Raw Data'!G547)=2026,CONCATENATE(DAY('Raw Data'!G547),".",IF(LEN(MONTH('Raw Data'!G547))=2,MONTH('Raw Data'!G547),CONCATENATE("0",MONTH('Raw Data'!G547)))),CONCATENATE(MONTH('Raw Data'!G547),".",RIGHT(YEAR('Raw Data'!G547),2))),'Raw Data'!G547))</f>
        <v>38.81</v>
      </c>
      <c r="H547">
        <f>'Raw Data'!H547</f>
        <v>4</v>
      </c>
      <c r="I547" s="6">
        <f t="shared" si="24"/>
        <v>7.7620000000000005</v>
      </c>
      <c r="J547" s="6">
        <f>'Raw Data'!J547</f>
        <v>163.00200000000001</v>
      </c>
      <c r="K547" s="1">
        <f>VALUE(IFERROR(VALUE('Raw Data'!K547),CONCATENATE(MID('Raw Data'!K547,3,2),".","0",LEFT('Raw Data'!K547,1),".", RIGHT('Raw Data'!K547,4))))</f>
        <v>43543</v>
      </c>
      <c r="L547" s="2">
        <f>'Raw Data'!L547</f>
        <v>0.56944444444444442</v>
      </c>
      <c r="M547" t="s">
        <v>23</v>
      </c>
      <c r="N547">
        <f>VALUE(IF(AND(ISERR(FIND(".",'Raw Data'!N547)),LEN('Raw Data'!N547)=5), IF(YEAR('Raw Data'!N547)=2026,CONCATENATE(DAY('Raw Data'!N547),".",IF(LEN(MONTH('Raw Data'!N547))=2,MONTH('Raw Data'!N547),CONCATENATE("0",MONTH('Raw Data'!N547)))),CONCATENATE(MONTH('Raw Data'!N547),".",RIGHT(YEAR('Raw Data'!N547),2))),'Raw Data'!N547))</f>
        <v>155.24</v>
      </c>
      <c r="O547" s="6">
        <f t="shared" si="25"/>
        <v>4.7619047619047619</v>
      </c>
      <c r="P547" s="6">
        <f t="shared" si="26"/>
        <v>7.7620000000000005</v>
      </c>
      <c r="Q547">
        <f>VALUE(IF(AND(ISERR(FIND(".",'Raw Data'!Q547)),LEN('Raw Data'!Q547)=5), IF(YEAR('Raw Data'!Q547)=2026,CONCATENATE(DAY('Raw Data'!Q547),".",IF(LEN(MONTH('Raw Data'!Q547))=2,MONTH('Raw Data'!Q547),CONCATENATE(MONTH('Raw Data'!Q547)))),CONCATENATE(MONTH('Raw Data'!Q547),".",RIGHT(YEAR('Raw Data'!Q547),2))),'Raw Data'!Q547))</f>
        <v>4.9000000000000004</v>
      </c>
    </row>
    <row r="548" spans="1:17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43</v>
      </c>
      <c r="G548">
        <f>VALUE(IF(AND(ISERR(FIND(".",'Raw Data'!G548)),LEN('Raw Data'!G548)=5), IF(YEAR('Raw Data'!G548)=2026,CONCATENATE(DAY('Raw Data'!G548),".",IF(LEN(MONTH('Raw Data'!G548))=2,MONTH('Raw Data'!G548),CONCATENATE("0",MONTH('Raw Data'!G548)))),CONCATENATE(MONTH('Raw Data'!G548),".",RIGHT(YEAR('Raw Data'!G548),2))),'Raw Data'!G548))</f>
        <v>29.42</v>
      </c>
      <c r="H548">
        <f>'Raw Data'!H548</f>
        <v>10</v>
      </c>
      <c r="I548" s="6">
        <f t="shared" si="24"/>
        <v>14.70999999999998</v>
      </c>
      <c r="J548" s="6">
        <f>'Raw Data'!J548</f>
        <v>308.91000000000003</v>
      </c>
      <c r="K548" s="1">
        <f>VALUE(IFERROR(VALUE('Raw Data'!K548),CONCATENATE(MID('Raw Data'!K548,3,2),".","0",LEFT('Raw Data'!K548,1),".", RIGHT('Raw Data'!K548,4))))</f>
        <v>43800</v>
      </c>
      <c r="L548" s="2">
        <f>'Raw Data'!L548</f>
        <v>0.68263888888888891</v>
      </c>
      <c r="M548" t="s">
        <v>23</v>
      </c>
      <c r="N548">
        <f>VALUE(IF(AND(ISERR(FIND(".",'Raw Data'!N548)),LEN('Raw Data'!N548)=5), IF(YEAR('Raw Data'!N548)=2026,CONCATENATE(DAY('Raw Data'!N548),".",IF(LEN(MONTH('Raw Data'!N548))=2,MONTH('Raw Data'!N548),CONCATENATE("0",MONTH('Raw Data'!N548)))),CONCATENATE(MONTH('Raw Data'!N548),".",RIGHT(YEAR('Raw Data'!N548),2))),'Raw Data'!N548))</f>
        <v>294.2</v>
      </c>
      <c r="O548" s="6">
        <f t="shared" si="25"/>
        <v>4.7619047619047734</v>
      </c>
      <c r="P548" s="6">
        <f t="shared" si="26"/>
        <v>14.710000000000036</v>
      </c>
      <c r="Q548">
        <f>VALUE(IF(AND(ISERR(FIND(".",'Raw Data'!Q548)),LEN('Raw Data'!Q548)=5), IF(YEAR('Raw Data'!Q548)=2026,CONCATENATE(DAY('Raw Data'!Q548),".",IF(LEN(MONTH('Raw Data'!Q548))=2,MONTH('Raw Data'!Q548),CONCATENATE(MONTH('Raw Data'!Q548)))),CONCATENATE(MONTH('Raw Data'!Q548),".",RIGHT(YEAR('Raw Data'!Q548),2))),'Raw Data'!Q548))</f>
        <v>8.9</v>
      </c>
    </row>
    <row r="549" spans="1:17">
      <c r="A549" t="s">
        <v>636</v>
      </c>
      <c r="B549" t="s">
        <v>18</v>
      </c>
      <c r="C549" t="s">
        <v>19</v>
      </c>
      <c r="D549" t="s">
        <v>27</v>
      </c>
      <c r="E549" t="s">
        <v>30</v>
      </c>
      <c r="F549" t="s">
        <v>38</v>
      </c>
      <c r="G549">
        <f>VALUE(IF(AND(ISERR(FIND(".",'Raw Data'!G549)),LEN('Raw Data'!G549)=5), IF(YEAR('Raw Data'!G549)=2026,CONCATENATE(DAY('Raw Data'!G549),".",IF(LEN(MONTH('Raw Data'!G549))=2,MONTH('Raw Data'!G549),CONCATENATE("0",MONTH('Raw Data'!G549)))),CONCATENATE(MONTH('Raw Data'!G549),".",RIGHT(YEAR('Raw Data'!G549),2))),'Raw Data'!G549))</f>
        <v>60.95</v>
      </c>
      <c r="H549">
        <f>'Raw Data'!H549</f>
        <v>9</v>
      </c>
      <c r="I549" s="6">
        <f t="shared" si="24"/>
        <v>27.427499999999895</v>
      </c>
      <c r="J549" s="6">
        <f>'Raw Data'!J549</f>
        <v>575.97749999999996</v>
      </c>
      <c r="K549" s="1">
        <f>VALUE(IFERROR(VALUE('Raw Data'!K549),CONCATENATE(MID('Raw Data'!K549,3,2),".","0",LEFT('Raw Data'!K549,1),".", RIGHT('Raw Data'!K549,4))))</f>
        <v>43647</v>
      </c>
      <c r="L549" s="2">
        <f>'Raw Data'!L549</f>
        <v>0.50555555555555554</v>
      </c>
      <c r="M549" t="s">
        <v>33</v>
      </c>
      <c r="N549">
        <f>VALUE(IF(AND(ISERR(FIND(".",'Raw Data'!N549)),LEN('Raw Data'!N549)=5), IF(YEAR('Raw Data'!N549)=2026,CONCATENATE(DAY('Raw Data'!N549),".",IF(LEN(MONTH('Raw Data'!N549))=2,MONTH('Raw Data'!N549),CONCATENATE("0",MONTH('Raw Data'!N549)))),CONCATENATE(MONTH('Raw Data'!N549),".",RIGHT(YEAR('Raw Data'!N549),2))),'Raw Data'!N549))</f>
        <v>548.54999999999995</v>
      </c>
      <c r="O549" s="6">
        <f t="shared" si="25"/>
        <v>4.7619047619047636</v>
      </c>
      <c r="P549" s="6">
        <f t="shared" si="26"/>
        <v>27.427500000000009</v>
      </c>
      <c r="Q549">
        <f>VALUE(IF(AND(ISERR(FIND(".",'Raw Data'!Q549)),LEN('Raw Data'!Q549)=5), IF(YEAR('Raw Data'!Q549)=2026,CONCATENATE(DAY('Raw Data'!Q549),".",IF(LEN(MONTH('Raw Data'!Q549))=2,MONTH('Raw Data'!Q549),CONCATENATE(MONTH('Raw Data'!Q549)))),CONCATENATE(MONTH('Raw Data'!Q549),".",RIGHT(YEAR('Raw Data'!Q549),2))),'Raw Data'!Q549))</f>
        <v>6</v>
      </c>
    </row>
    <row r="550" spans="1:17">
      <c r="A550" t="s">
        <v>637</v>
      </c>
      <c r="B550" t="s">
        <v>34</v>
      </c>
      <c r="C550" t="s">
        <v>35</v>
      </c>
      <c r="D550" t="s">
        <v>27</v>
      </c>
      <c r="E550" t="s">
        <v>21</v>
      </c>
      <c r="F550" t="s">
        <v>38</v>
      </c>
      <c r="G550">
        <f>VALUE(IF(AND(ISERR(FIND(".",'Raw Data'!G550)),LEN('Raw Data'!G550)=5), IF(YEAR('Raw Data'!G550)=2026,CONCATENATE(DAY('Raw Data'!G550),".",IF(LEN(MONTH('Raw Data'!G550))=2,MONTH('Raw Data'!G550),CONCATENATE("0",MONTH('Raw Data'!G550)))),CONCATENATE(MONTH('Raw Data'!G550),".",RIGHT(YEAR('Raw Data'!G550),2))),'Raw Data'!G550))</f>
        <v>51.54</v>
      </c>
      <c r="H550">
        <f>'Raw Data'!H550</f>
        <v>5</v>
      </c>
      <c r="I550" s="6">
        <f t="shared" si="24"/>
        <v>12.884999999999991</v>
      </c>
      <c r="J550" s="6">
        <f>'Raw Data'!J550</f>
        <v>270.58499999999998</v>
      </c>
      <c r="K550" s="1">
        <f>VALUE(IFERROR(VALUE('Raw Data'!K550),CONCATENATE(MID('Raw Data'!K550,3,2),".","0",LEFT('Raw Data'!K550,1),".", RIGHT('Raw Data'!K550,4))))</f>
        <v>43491</v>
      </c>
      <c r="L550" s="2">
        <f>'Raw Data'!L550</f>
        <v>0.73958333333333337</v>
      </c>
      <c r="M550" t="s">
        <v>29</v>
      </c>
      <c r="N550">
        <f>VALUE(IF(AND(ISERR(FIND(".",'Raw Data'!N550)),LEN('Raw Data'!N550)=5), IF(YEAR('Raw Data'!N550)=2026,CONCATENATE(DAY('Raw Data'!N550),".",IF(LEN(MONTH('Raw Data'!N550))=2,MONTH('Raw Data'!N550),CONCATENATE("0",MONTH('Raw Data'!N550)))),CONCATENATE(MONTH('Raw Data'!N550),".",RIGHT(YEAR('Raw Data'!N550),2))),'Raw Data'!N550))</f>
        <v>257.7</v>
      </c>
      <c r="O550" s="6">
        <f t="shared" si="25"/>
        <v>4.7619047619047592</v>
      </c>
      <c r="P550" s="6">
        <f t="shared" si="26"/>
        <v>12.884999999999991</v>
      </c>
      <c r="Q550">
        <f>VALUE(IF(AND(ISERR(FIND(".",'Raw Data'!Q550)),LEN('Raw Data'!Q550)=5), IF(YEAR('Raw Data'!Q550)=2026,CONCATENATE(DAY('Raw Data'!Q550),".",IF(LEN(MONTH('Raw Data'!Q550))=2,MONTH('Raw Data'!Q550),CONCATENATE(MONTH('Raw Data'!Q550)))),CONCATENATE(MONTH('Raw Data'!Q550),".",RIGHT(YEAR('Raw Data'!Q550),2))),'Raw Data'!Q550))</f>
        <v>4.2</v>
      </c>
    </row>
    <row r="551" spans="1:17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f>VALUE(IF(AND(ISERR(FIND(".",'Raw Data'!G551)),LEN('Raw Data'!G551)=5), IF(YEAR('Raw Data'!G551)=2026,CONCATENATE(DAY('Raw Data'!G551),".",IF(LEN(MONTH('Raw Data'!G551))=2,MONTH('Raw Data'!G551),CONCATENATE("0",MONTH('Raw Data'!G551)))),CONCATENATE(MONTH('Raw Data'!G551),".",RIGHT(YEAR('Raw Data'!G551),2))),'Raw Data'!G551))</f>
        <v>66.06</v>
      </c>
      <c r="H551">
        <f>'Raw Data'!H551</f>
        <v>6</v>
      </c>
      <c r="I551" s="6">
        <f t="shared" si="24"/>
        <v>19.817999999999984</v>
      </c>
      <c r="J551" s="6">
        <f>'Raw Data'!J551</f>
        <v>416.178</v>
      </c>
      <c r="K551" s="1">
        <f>VALUE(IFERROR(VALUE('Raw Data'!K551),CONCATENATE(MID('Raw Data'!K551,3,2),".","0",LEFT('Raw Data'!K551,1),".", RIGHT('Raw Data'!K551,4))))</f>
        <v>43488</v>
      </c>
      <c r="L551" s="2">
        <f>'Raw Data'!L551</f>
        <v>0.43611111111111112</v>
      </c>
      <c r="M551" t="s">
        <v>29</v>
      </c>
      <c r="N551">
        <f>VALUE(IF(AND(ISERR(FIND(".",'Raw Data'!N551)),LEN('Raw Data'!N551)=5), IF(YEAR('Raw Data'!N551)=2026,CONCATENATE(DAY('Raw Data'!N551),".",IF(LEN(MONTH('Raw Data'!N551))=2,MONTH('Raw Data'!N551),CONCATENATE("0",MONTH('Raw Data'!N551)))),CONCATENATE(MONTH('Raw Data'!N551),".",RIGHT(YEAR('Raw Data'!N551),2))),'Raw Data'!N551))</f>
        <v>396.36</v>
      </c>
      <c r="O551" s="6">
        <f t="shared" si="25"/>
        <v>4.7619047619047583</v>
      </c>
      <c r="P551" s="6">
        <f t="shared" si="26"/>
        <v>19.817999999999984</v>
      </c>
      <c r="Q551">
        <f>VALUE(IF(AND(ISERR(FIND(".",'Raw Data'!Q551)),LEN('Raw Data'!Q551)=5), IF(YEAR('Raw Data'!Q551)=2026,CONCATENATE(DAY('Raw Data'!Q551),".",IF(LEN(MONTH('Raw Data'!Q551))=2,MONTH('Raw Data'!Q551),CONCATENATE(MONTH('Raw Data'!Q551)))),CONCATENATE(MONTH('Raw Data'!Q551),".",RIGHT(YEAR('Raw Data'!Q551),2))),'Raw Data'!Q551))</f>
        <v>7.3</v>
      </c>
    </row>
    <row r="552" spans="1:17">
      <c r="A552" t="s">
        <v>639</v>
      </c>
      <c r="B552" t="s">
        <v>34</v>
      </c>
      <c r="C552" t="s">
        <v>35</v>
      </c>
      <c r="D552" t="s">
        <v>27</v>
      </c>
      <c r="E552" t="s">
        <v>30</v>
      </c>
      <c r="F552" t="s">
        <v>43</v>
      </c>
      <c r="G552">
        <f>VALUE(IF(AND(ISERR(FIND(".",'Raw Data'!G552)),LEN('Raw Data'!G552)=5), IF(YEAR('Raw Data'!G552)=2026,CONCATENATE(DAY('Raw Data'!G552),".",IF(LEN(MONTH('Raw Data'!G552))=2,MONTH('Raw Data'!G552),CONCATENATE("0",MONTH('Raw Data'!G552)))),CONCATENATE(MONTH('Raw Data'!G552),".",RIGHT(YEAR('Raw Data'!G552),2))),'Raw Data'!G552))</f>
        <v>57.27</v>
      </c>
      <c r="H552">
        <f>'Raw Data'!H552</f>
        <v>3</v>
      </c>
      <c r="I552" s="6">
        <f t="shared" si="24"/>
        <v>8.5904999999999916</v>
      </c>
      <c r="J552" s="6">
        <f>'Raw Data'!J552</f>
        <v>180.40049999999999</v>
      </c>
      <c r="K552" s="1">
        <f>VALUE(IFERROR(VALUE('Raw Data'!K552),CONCATENATE(MID('Raw Data'!K552,3,2),".","0",LEFT('Raw Data'!K552,1),".", RIGHT('Raw Data'!K552,4))))</f>
        <v>43710</v>
      </c>
      <c r="L552" s="2">
        <f>'Raw Data'!L552</f>
        <v>0.85486111111111107</v>
      </c>
      <c r="M552" t="s">
        <v>23</v>
      </c>
      <c r="N552">
        <f>VALUE(IF(AND(ISERR(FIND(".",'Raw Data'!N552)),LEN('Raw Data'!N552)=5), IF(YEAR('Raw Data'!N552)=2026,CONCATENATE(DAY('Raw Data'!N552),".",IF(LEN(MONTH('Raw Data'!N552))=2,MONTH('Raw Data'!N552),CONCATENATE("0",MONTH('Raw Data'!N552)))),CONCATENATE(MONTH('Raw Data'!N552),".",RIGHT(YEAR('Raw Data'!N552),2))),'Raw Data'!N552))</f>
        <v>171.81</v>
      </c>
      <c r="O552" s="6">
        <f t="shared" si="25"/>
        <v>4.7619047619047574</v>
      </c>
      <c r="P552" s="6">
        <f t="shared" si="26"/>
        <v>8.5904999999999916</v>
      </c>
      <c r="Q552">
        <f>VALUE(IF(AND(ISERR(FIND(".",'Raw Data'!Q552)),LEN('Raw Data'!Q552)=5), IF(YEAR('Raw Data'!Q552)=2026,CONCATENATE(DAY('Raw Data'!Q552),".",IF(LEN(MONTH('Raw Data'!Q552))=2,MONTH('Raw Data'!Q552),CONCATENATE(MONTH('Raw Data'!Q552)))),CONCATENATE(MONTH('Raw Data'!Q552),".",RIGHT(YEAR('Raw Data'!Q552),2))),'Raw Data'!Q552))</f>
        <v>6.5</v>
      </c>
    </row>
    <row r="553" spans="1:17">
      <c r="A553" t="s">
        <v>640</v>
      </c>
      <c r="B553" t="s">
        <v>34</v>
      </c>
      <c r="C553" t="s">
        <v>35</v>
      </c>
      <c r="D553" t="s">
        <v>27</v>
      </c>
      <c r="E553" t="s">
        <v>21</v>
      </c>
      <c r="F553" t="s">
        <v>43</v>
      </c>
      <c r="G553">
        <f>VALUE(IF(AND(ISERR(FIND(".",'Raw Data'!G553)),LEN('Raw Data'!G553)=5), IF(YEAR('Raw Data'!G553)=2026,CONCATENATE(DAY('Raw Data'!G553),".",IF(LEN(MONTH('Raw Data'!G553))=2,MONTH('Raw Data'!G553),CONCATENATE("0",MONTH('Raw Data'!G553)))),CONCATENATE(MONTH('Raw Data'!G553),".",RIGHT(YEAR('Raw Data'!G553),2))),'Raw Data'!G553))</f>
        <v>54.31</v>
      </c>
      <c r="H553">
        <f>'Raw Data'!H553</f>
        <v>9</v>
      </c>
      <c r="I553" s="6">
        <f t="shared" si="24"/>
        <v>24.43950000000001</v>
      </c>
      <c r="J553" s="6">
        <f>'Raw Data'!J553</f>
        <v>513.22950000000003</v>
      </c>
      <c r="K553" s="1">
        <f>VALUE(IFERROR(VALUE('Raw Data'!K553),CONCATENATE(MID('Raw Data'!K553,3,2),".","0",LEFT('Raw Data'!K553,1),".", RIGHT('Raw Data'!K553,4))))</f>
        <v>43518</v>
      </c>
      <c r="L553" s="2">
        <f>'Raw Data'!L553</f>
        <v>0.45069444444444445</v>
      </c>
      <c r="M553" t="s">
        <v>29</v>
      </c>
      <c r="N553">
        <f>VALUE(IF(AND(ISERR(FIND(".",'Raw Data'!N553)),LEN('Raw Data'!N553)=5), IF(YEAR('Raw Data'!N553)=2026,CONCATENATE(DAY('Raw Data'!N553),".",IF(LEN(MONTH('Raw Data'!N553))=2,MONTH('Raw Data'!N553),CONCATENATE("0",MONTH('Raw Data'!N553)))),CONCATENATE(MONTH('Raw Data'!N553),".",RIGHT(YEAR('Raw Data'!N553),2))),'Raw Data'!N553))</f>
        <v>488.79</v>
      </c>
      <c r="O553" s="6">
        <f t="shared" si="25"/>
        <v>4.7619047619047636</v>
      </c>
      <c r="P553" s="6">
        <f t="shared" si="26"/>
        <v>24.43950000000001</v>
      </c>
      <c r="Q553">
        <f>VALUE(IF(AND(ISERR(FIND(".",'Raw Data'!Q553)),LEN('Raw Data'!Q553)=5), IF(YEAR('Raw Data'!Q553)=2026,CONCATENATE(DAY('Raw Data'!Q553),".",IF(LEN(MONTH('Raw Data'!Q553))=2,MONTH('Raw Data'!Q553),CONCATENATE(MONTH('Raw Data'!Q553)))),CONCATENATE(MONTH('Raw Data'!Q553),".",RIGHT(YEAR('Raw Data'!Q553),2))),'Raw Data'!Q553))</f>
        <v>8.9</v>
      </c>
    </row>
    <row r="554" spans="1:17">
      <c r="A554" t="s">
        <v>641</v>
      </c>
      <c r="B554" t="s">
        <v>34</v>
      </c>
      <c r="C554" t="s">
        <v>35</v>
      </c>
      <c r="D554" t="s">
        <v>27</v>
      </c>
      <c r="E554" t="s">
        <v>21</v>
      </c>
      <c r="F554" t="s">
        <v>22</v>
      </c>
      <c r="G554">
        <f>VALUE(IF(AND(ISERR(FIND(".",'Raw Data'!G554)),LEN('Raw Data'!G554)=5), IF(YEAR('Raw Data'!G554)=2026,CONCATENATE(DAY('Raw Data'!G554),".",IF(LEN(MONTH('Raw Data'!G554))=2,MONTH('Raw Data'!G554),CONCATENATE("0",MONTH('Raw Data'!G554)))),CONCATENATE(MONTH('Raw Data'!G554),".",RIGHT(YEAR('Raw Data'!G554),2))),'Raw Data'!G554))</f>
        <v>58.24</v>
      </c>
      <c r="H554">
        <f>'Raw Data'!H554</f>
        <v>9</v>
      </c>
      <c r="I554" s="6">
        <f t="shared" si="24"/>
        <v>26.208000000000084</v>
      </c>
      <c r="J554" s="6">
        <f>'Raw Data'!J554</f>
        <v>550.36800000000005</v>
      </c>
      <c r="K554" s="1">
        <f>VALUE(IFERROR(VALUE('Raw Data'!K554),CONCATENATE(MID('Raw Data'!K554,3,2),".","0",LEFT('Raw Data'!K554,1),".", RIGHT('Raw Data'!K554,4))))</f>
        <v>43587</v>
      </c>
      <c r="L554" s="2">
        <f>'Raw Data'!L554</f>
        <v>0.52361111111111114</v>
      </c>
      <c r="M554" t="s">
        <v>29</v>
      </c>
      <c r="N554">
        <f>VALUE(IF(AND(ISERR(FIND(".",'Raw Data'!N554)),LEN('Raw Data'!N554)=5), IF(YEAR('Raw Data'!N554)=2026,CONCATENATE(DAY('Raw Data'!N554),".",IF(LEN(MONTH('Raw Data'!N554))=2,MONTH('Raw Data'!N554),CONCATENATE("0",MONTH('Raw Data'!N554)))),CONCATENATE(MONTH('Raw Data'!N554),".",RIGHT(YEAR('Raw Data'!N554),2))),'Raw Data'!N554))</f>
        <v>524.16</v>
      </c>
      <c r="O554" s="6">
        <f t="shared" si="25"/>
        <v>4.761904761904777</v>
      </c>
      <c r="P554" s="6">
        <f t="shared" si="26"/>
        <v>26.208000000000084</v>
      </c>
      <c r="Q554">
        <f>VALUE(IF(AND(ISERR(FIND(".",'Raw Data'!Q554)),LEN('Raw Data'!Q554)=5), IF(YEAR('Raw Data'!Q554)=2026,CONCATENATE(DAY('Raw Data'!Q554),".",IF(LEN(MONTH('Raw Data'!Q554))=2,MONTH('Raw Data'!Q554),CONCATENATE(MONTH('Raw Data'!Q554)))),CONCATENATE(MONTH('Raw Data'!Q554),".",RIGHT(YEAR('Raw Data'!Q554),2))),'Raw Data'!Q554))</f>
        <v>9.6999999999999993</v>
      </c>
    </row>
    <row r="555" spans="1:17">
      <c r="A555" t="s">
        <v>642</v>
      </c>
      <c r="B555" t="s">
        <v>25</v>
      </c>
      <c r="C555" t="s">
        <v>26</v>
      </c>
      <c r="D555" t="s">
        <v>27</v>
      </c>
      <c r="E555" t="s">
        <v>30</v>
      </c>
      <c r="F555" t="s">
        <v>28</v>
      </c>
      <c r="G555">
        <f>VALUE(IF(AND(ISERR(FIND(".",'Raw Data'!G555)),LEN('Raw Data'!G555)=5), IF(YEAR('Raw Data'!G555)=2026,CONCATENATE(DAY('Raw Data'!G555),".",IF(LEN(MONTH('Raw Data'!G555))=2,MONTH('Raw Data'!G555),CONCATENATE("0",MONTH('Raw Data'!G555)))),CONCATENATE(MONTH('Raw Data'!G555),".",RIGHT(YEAR('Raw Data'!G555),2))),'Raw Data'!G555))</f>
        <v>22.21</v>
      </c>
      <c r="H555">
        <f>'Raw Data'!H555</f>
        <v>6</v>
      </c>
      <c r="I555" s="6">
        <f t="shared" si="24"/>
        <v>6.6630000000000109</v>
      </c>
      <c r="J555" s="6">
        <f>'Raw Data'!J555</f>
        <v>139.923</v>
      </c>
      <c r="K555" s="1">
        <f>VALUE(IFERROR(VALUE('Raw Data'!K555),CONCATENATE(MID('Raw Data'!K555,3,2),".","0",LEFT('Raw Data'!K555,1),".", RIGHT('Raw Data'!K555,4))))</f>
        <v>43649</v>
      </c>
      <c r="L555" s="2">
        <f>'Raw Data'!L555</f>
        <v>0.43263888888888885</v>
      </c>
      <c r="M555" t="s">
        <v>33</v>
      </c>
      <c r="N555">
        <f>VALUE(IF(AND(ISERR(FIND(".",'Raw Data'!N555)),LEN('Raw Data'!N555)=5), IF(YEAR('Raw Data'!N555)=2026,CONCATENATE(DAY('Raw Data'!N555),".",IF(LEN(MONTH('Raw Data'!N555))=2,MONTH('Raw Data'!N555),CONCATENATE("0",MONTH('Raw Data'!N555)))),CONCATENATE(MONTH('Raw Data'!N555),".",RIGHT(YEAR('Raw Data'!N555),2))),'Raw Data'!N555))</f>
        <v>133.26</v>
      </c>
      <c r="O555" s="6">
        <f t="shared" si="25"/>
        <v>4.7619047619047699</v>
      </c>
      <c r="P555" s="6">
        <f t="shared" si="26"/>
        <v>6.6630000000000109</v>
      </c>
      <c r="Q555">
        <f>VALUE(IF(AND(ISERR(FIND(".",'Raw Data'!Q555)),LEN('Raw Data'!Q555)=5), IF(YEAR('Raw Data'!Q555)=2026,CONCATENATE(DAY('Raw Data'!Q555),".",IF(LEN(MONTH('Raw Data'!Q555))=2,MONTH('Raw Data'!Q555),CONCATENATE(MONTH('Raw Data'!Q555)))),CONCATENATE(MONTH('Raw Data'!Q555),".",RIGHT(YEAR('Raw Data'!Q555),2))),'Raw Data'!Q555))</f>
        <v>8.6</v>
      </c>
    </row>
    <row r="556" spans="1:17">
      <c r="A556" t="s">
        <v>643</v>
      </c>
      <c r="B556" t="s">
        <v>18</v>
      </c>
      <c r="C556" t="s">
        <v>19</v>
      </c>
      <c r="D556" t="s">
        <v>20</v>
      </c>
      <c r="E556" t="s">
        <v>30</v>
      </c>
      <c r="F556" t="s">
        <v>28</v>
      </c>
      <c r="G556">
        <f>VALUE(IF(AND(ISERR(FIND(".",'Raw Data'!G556)),LEN('Raw Data'!G556)=5), IF(YEAR('Raw Data'!G556)=2026,CONCATENATE(DAY('Raw Data'!G556),".",IF(LEN(MONTH('Raw Data'!G556))=2,MONTH('Raw Data'!G556),CONCATENATE("0",MONTH('Raw Data'!G556)))),CONCATENATE(MONTH('Raw Data'!G556),".",RIGHT(YEAR('Raw Data'!G556),2))),'Raw Data'!G556))</f>
        <v>19.32</v>
      </c>
      <c r="H556">
        <f>'Raw Data'!H556</f>
        <v>7</v>
      </c>
      <c r="I556" s="6">
        <f t="shared" si="24"/>
        <v>6.7620000000000005</v>
      </c>
      <c r="J556" s="6">
        <f>'Raw Data'!J556</f>
        <v>142.00200000000001</v>
      </c>
      <c r="K556" s="1">
        <f>VALUE(IFERROR(VALUE('Raw Data'!K556),CONCATENATE(MID('Raw Data'!K556,3,2),".","0",LEFT('Raw Data'!K556,1),".", RIGHT('Raw Data'!K556,4))))</f>
        <v>43549</v>
      </c>
      <c r="L556" s="2">
        <f>'Raw Data'!L556</f>
        <v>0.78541666666666676</v>
      </c>
      <c r="M556" t="s">
        <v>29</v>
      </c>
      <c r="N556">
        <f>VALUE(IF(AND(ISERR(FIND(".",'Raw Data'!N556)),LEN('Raw Data'!N556)=5), IF(YEAR('Raw Data'!N556)=2026,CONCATENATE(DAY('Raw Data'!N556),".",IF(LEN(MONTH('Raw Data'!N556))=2,MONTH('Raw Data'!N556),CONCATENATE("0",MONTH('Raw Data'!N556)))),CONCATENATE(MONTH('Raw Data'!N556),".",RIGHT(YEAR('Raw Data'!N556),2))),'Raw Data'!N556))</f>
        <v>135.24</v>
      </c>
      <c r="O556" s="6">
        <f t="shared" si="25"/>
        <v>4.7619047619047619</v>
      </c>
      <c r="P556" s="6">
        <f t="shared" si="26"/>
        <v>6.7620000000000005</v>
      </c>
      <c r="Q556">
        <f>VALUE(IF(AND(ISERR(FIND(".",'Raw Data'!Q556)),LEN('Raw Data'!Q556)=5), IF(YEAR('Raw Data'!Q556)=2026,CONCATENATE(DAY('Raw Data'!Q556),".",IF(LEN(MONTH('Raw Data'!Q556))=2,MONTH('Raw Data'!Q556),CONCATENATE(MONTH('Raw Data'!Q556)))),CONCATENATE(MONTH('Raw Data'!Q556),".",RIGHT(YEAR('Raw Data'!Q556),2))),'Raw Data'!Q556))</f>
        <v>6.9</v>
      </c>
    </row>
    <row r="557" spans="1:17">
      <c r="A557" t="s">
        <v>644</v>
      </c>
      <c r="B557" t="s">
        <v>34</v>
      </c>
      <c r="C557" t="s">
        <v>35</v>
      </c>
      <c r="D557" t="s">
        <v>27</v>
      </c>
      <c r="E557" t="s">
        <v>30</v>
      </c>
      <c r="F557" t="s">
        <v>32</v>
      </c>
      <c r="G557">
        <f>VALUE(IF(AND(ISERR(FIND(".",'Raw Data'!G557)),LEN('Raw Data'!G557)=5), IF(YEAR('Raw Data'!G557)=2026,CONCATENATE(DAY('Raw Data'!G557),".",IF(LEN(MONTH('Raw Data'!G557))=2,MONTH('Raw Data'!G557),CONCATENATE("0",MONTH('Raw Data'!G557)))),CONCATENATE(MONTH('Raw Data'!G557),".",RIGHT(YEAR('Raw Data'!G557),2))),'Raw Data'!G557))</f>
        <v>37.479999999999997</v>
      </c>
      <c r="H557">
        <f>'Raw Data'!H557</f>
        <v>3</v>
      </c>
      <c r="I557" s="6">
        <f t="shared" si="24"/>
        <v>5.6219999999999999</v>
      </c>
      <c r="J557" s="6">
        <f>'Raw Data'!J557</f>
        <v>118.062</v>
      </c>
      <c r="K557" s="1">
        <f>VALUE(IFERROR(VALUE('Raw Data'!K557),CONCATENATE(MID('Raw Data'!K557,3,2),".","0",LEFT('Raw Data'!K557,1),".", RIGHT('Raw Data'!K557,4))))</f>
        <v>43485</v>
      </c>
      <c r="L557" s="2">
        <f>'Raw Data'!L557</f>
        <v>0.57291666666666663</v>
      </c>
      <c r="M557" t="s">
        <v>33</v>
      </c>
      <c r="N557">
        <f>VALUE(IF(AND(ISERR(FIND(".",'Raw Data'!N557)),LEN('Raw Data'!N557)=5), IF(YEAR('Raw Data'!N557)=2026,CONCATENATE(DAY('Raw Data'!N557),".",IF(LEN(MONTH('Raw Data'!N557))=2,MONTH('Raw Data'!N557),CONCATENATE("0",MONTH('Raw Data'!N557)))),CONCATENATE(MONTH('Raw Data'!N557),".",RIGHT(YEAR('Raw Data'!N557),2))),'Raw Data'!N557))</f>
        <v>112.44</v>
      </c>
      <c r="O557" s="6">
        <f t="shared" si="25"/>
        <v>4.7619047619047619</v>
      </c>
      <c r="P557" s="6">
        <f t="shared" si="26"/>
        <v>5.6219999999999999</v>
      </c>
      <c r="Q557">
        <f>VALUE(IF(AND(ISERR(FIND(".",'Raw Data'!Q557)),LEN('Raw Data'!Q557)=5), IF(YEAR('Raw Data'!Q557)=2026,CONCATENATE(DAY('Raw Data'!Q557),".",IF(LEN(MONTH('Raw Data'!Q557))=2,MONTH('Raw Data'!Q557),CONCATENATE(MONTH('Raw Data'!Q557)))),CONCATENATE(MONTH('Raw Data'!Q557),".",RIGHT(YEAR('Raw Data'!Q557),2))),'Raw Data'!Q557))</f>
        <v>7.7</v>
      </c>
    </row>
    <row r="558" spans="1:17">
      <c r="A558" t="s">
        <v>645</v>
      </c>
      <c r="B558" t="s">
        <v>34</v>
      </c>
      <c r="C558" t="s">
        <v>35</v>
      </c>
      <c r="D558" t="s">
        <v>20</v>
      </c>
      <c r="E558" t="s">
        <v>21</v>
      </c>
      <c r="F558" t="s">
        <v>43</v>
      </c>
      <c r="G558">
        <f>VALUE(IF(AND(ISERR(FIND(".",'Raw Data'!G558)),LEN('Raw Data'!G558)=5), IF(YEAR('Raw Data'!G558)=2026,CONCATENATE(DAY('Raw Data'!G558),".",IF(LEN(MONTH('Raw Data'!G558))=2,MONTH('Raw Data'!G558),CONCATENATE("0",MONTH('Raw Data'!G558)))),CONCATENATE(MONTH('Raw Data'!G558),".",RIGHT(YEAR('Raw Data'!G558),2))),'Raw Data'!G558))</f>
        <v>72.040000000000006</v>
      </c>
      <c r="H558">
        <f>'Raw Data'!H558</f>
        <v>2</v>
      </c>
      <c r="I558" s="6">
        <f t="shared" si="24"/>
        <v>7.2039999999999793</v>
      </c>
      <c r="J558" s="6">
        <f>'Raw Data'!J558</f>
        <v>151.28399999999999</v>
      </c>
      <c r="K558" s="1">
        <f>VALUE(IFERROR(VALUE('Raw Data'!K558),CONCATENATE(MID('Raw Data'!K558,3,2),".","0",LEFT('Raw Data'!K558,1),".", RIGHT('Raw Data'!K558,4))))</f>
        <v>43557</v>
      </c>
      <c r="L558" s="2">
        <f>'Raw Data'!L558</f>
        <v>0.81805555555555554</v>
      </c>
      <c r="M558" t="s">
        <v>29</v>
      </c>
      <c r="N558">
        <f>VALUE(IF(AND(ISERR(FIND(".",'Raw Data'!N558)),LEN('Raw Data'!N558)=5), IF(YEAR('Raw Data'!N558)=2026,CONCATENATE(DAY('Raw Data'!N558),".",IF(LEN(MONTH('Raw Data'!N558))=2,MONTH('Raw Data'!N558),CONCATENATE("0",MONTH('Raw Data'!N558)))),CONCATENATE(MONTH('Raw Data'!N558),".",RIGHT(YEAR('Raw Data'!N558),2))),'Raw Data'!N558))</f>
        <v>144.08000000000001</v>
      </c>
      <c r="O558" s="6">
        <f t="shared" si="25"/>
        <v>4.7619047619047485</v>
      </c>
      <c r="P558" s="6">
        <f t="shared" si="26"/>
        <v>7.2039999999999793</v>
      </c>
      <c r="Q558">
        <f>VALUE(IF(AND(ISERR(FIND(".",'Raw Data'!Q558)),LEN('Raw Data'!Q558)=5), IF(YEAR('Raw Data'!Q558)=2026,CONCATENATE(DAY('Raw Data'!Q558),".",IF(LEN(MONTH('Raw Data'!Q558))=2,MONTH('Raw Data'!Q558),CONCATENATE(MONTH('Raw Data'!Q558)))),CONCATENATE(MONTH('Raw Data'!Q558),".",RIGHT(YEAR('Raw Data'!Q558),2))),'Raw Data'!Q558))</f>
        <v>9.5</v>
      </c>
    </row>
    <row r="559" spans="1:17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40</v>
      </c>
      <c r="G559">
        <f>VALUE(IF(AND(ISERR(FIND(".",'Raw Data'!G559)),LEN('Raw Data'!G559)=5), IF(YEAR('Raw Data'!G559)=2026,CONCATENATE(DAY('Raw Data'!G559),".",IF(LEN(MONTH('Raw Data'!G559))=2,MONTH('Raw Data'!G559),CONCATENATE("0",MONTH('Raw Data'!G559)))),CONCATENATE(MONTH('Raw Data'!G559),".",RIGHT(YEAR('Raw Data'!G559),2))),'Raw Data'!G559))</f>
        <v>98.52</v>
      </c>
      <c r="H559">
        <f>'Raw Data'!H559</f>
        <v>10</v>
      </c>
      <c r="I559" s="6">
        <f t="shared" si="24"/>
        <v>49.260000000000105</v>
      </c>
      <c r="J559" s="6">
        <f>'Raw Data'!J559</f>
        <v>1034.46</v>
      </c>
      <c r="K559" s="1">
        <f>VALUE(IFERROR(VALUE('Raw Data'!K559),CONCATENATE(MID('Raw Data'!K559,3,2),".","0",LEFT('Raw Data'!K559,1),".", RIGHT('Raw Data'!K559,4))))</f>
        <v>43495</v>
      </c>
      <c r="L559" s="2">
        <f>'Raw Data'!L559</f>
        <v>0.84930555555555554</v>
      </c>
      <c r="M559" t="s">
        <v>23</v>
      </c>
      <c r="N559">
        <f>VALUE(IF(AND(ISERR(FIND(".",'Raw Data'!N559)),LEN('Raw Data'!N559)=5), IF(YEAR('Raw Data'!N559)=2026,CONCATENATE(DAY('Raw Data'!N559),".",IF(LEN(MONTH('Raw Data'!N559))=2,MONTH('Raw Data'!N559),CONCATENATE("0",MONTH('Raw Data'!N559)))),CONCATENATE(MONTH('Raw Data'!N559),".",RIGHT(YEAR('Raw Data'!N559),2))),'Raw Data'!N559))</f>
        <v>985.2</v>
      </c>
      <c r="O559" s="6">
        <f t="shared" si="25"/>
        <v>4.761904761904761</v>
      </c>
      <c r="P559" s="6">
        <f t="shared" si="26"/>
        <v>49.259999999999991</v>
      </c>
      <c r="Q559">
        <f>VALUE(IF(AND(ISERR(FIND(".",'Raw Data'!Q559)),LEN('Raw Data'!Q559)=5), IF(YEAR('Raw Data'!Q559)=2026,CONCATENATE(DAY('Raw Data'!Q559),".",IF(LEN(MONTH('Raw Data'!Q559))=2,MONTH('Raw Data'!Q559),CONCATENATE(MONTH('Raw Data'!Q559)))),CONCATENATE(MONTH('Raw Data'!Q559),".",RIGHT(YEAR('Raw Data'!Q559),2))),'Raw Data'!Q559))</f>
        <v>4.5</v>
      </c>
    </row>
    <row r="560" spans="1:17">
      <c r="A560" t="s">
        <v>647</v>
      </c>
      <c r="B560" t="s">
        <v>18</v>
      </c>
      <c r="C560" t="s">
        <v>19</v>
      </c>
      <c r="D560" t="s">
        <v>20</v>
      </c>
      <c r="E560" t="s">
        <v>30</v>
      </c>
      <c r="F560" t="s">
        <v>40</v>
      </c>
      <c r="G560">
        <f>VALUE(IF(AND(ISERR(FIND(".",'Raw Data'!G560)),LEN('Raw Data'!G560)=5), IF(YEAR('Raw Data'!G560)=2026,CONCATENATE(DAY('Raw Data'!G560),".",IF(LEN(MONTH('Raw Data'!G560))=2,MONTH('Raw Data'!G560),CONCATENATE("0",MONTH('Raw Data'!G560)))),CONCATENATE(MONTH('Raw Data'!G560),".",RIGHT(YEAR('Raw Data'!G560),2))),'Raw Data'!G560))</f>
        <v>41.66</v>
      </c>
      <c r="H560">
        <f>'Raw Data'!H560</f>
        <v>6</v>
      </c>
      <c r="I560" s="6">
        <f t="shared" si="24"/>
        <v>12.498000000000047</v>
      </c>
      <c r="J560" s="6">
        <f>'Raw Data'!J560</f>
        <v>262.45800000000003</v>
      </c>
      <c r="K560" s="1">
        <f>VALUE(IFERROR(VALUE('Raw Data'!K560),CONCATENATE(MID('Raw Data'!K560,3,2),".","0",LEFT('Raw Data'!K560,1),".", RIGHT('Raw Data'!K560,4))))</f>
        <v>43497</v>
      </c>
      <c r="L560" s="2">
        <f>'Raw Data'!L560</f>
        <v>0.64166666666666672</v>
      </c>
      <c r="M560" t="s">
        <v>23</v>
      </c>
      <c r="N560">
        <f>VALUE(IF(AND(ISERR(FIND(".",'Raw Data'!N560)),LEN('Raw Data'!N560)=5), IF(YEAR('Raw Data'!N560)=2026,CONCATENATE(DAY('Raw Data'!N560),".",IF(LEN(MONTH('Raw Data'!N560))=2,MONTH('Raw Data'!N560),CONCATENATE("0",MONTH('Raw Data'!N560)))),CONCATENATE(MONTH('Raw Data'!N560),".",RIGHT(YEAR('Raw Data'!N560),2))),'Raw Data'!N560))</f>
        <v>249.96</v>
      </c>
      <c r="O560" s="6">
        <f t="shared" si="25"/>
        <v>4.761904761904769</v>
      </c>
      <c r="P560" s="6">
        <f t="shared" si="26"/>
        <v>12.498000000000019</v>
      </c>
      <c r="Q560">
        <f>VALUE(IF(AND(ISERR(FIND(".",'Raw Data'!Q560)),LEN('Raw Data'!Q560)=5), IF(YEAR('Raw Data'!Q560)=2026,CONCATENATE(DAY('Raw Data'!Q560),".",IF(LEN(MONTH('Raw Data'!Q560))=2,MONTH('Raw Data'!Q560),CONCATENATE(MONTH('Raw Data'!Q560)))),CONCATENATE(MONTH('Raw Data'!Q560),".",RIGHT(YEAR('Raw Data'!Q560),2))),'Raw Data'!Q560))</f>
        <v>5.6</v>
      </c>
    </row>
    <row r="561" spans="1:17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f>VALUE(IF(AND(ISERR(FIND(".",'Raw Data'!G561)),LEN('Raw Data'!G561)=5), IF(YEAR('Raw Data'!G561)=2026,CONCATENATE(DAY('Raw Data'!G561),".",IF(LEN(MONTH('Raw Data'!G561))=2,MONTH('Raw Data'!G561),CONCATENATE("0",MONTH('Raw Data'!G561)))),CONCATENATE(MONTH('Raw Data'!G561),".",RIGHT(YEAR('Raw Data'!G561),2))),'Raw Data'!G561))</f>
        <v>72.42</v>
      </c>
      <c r="H561">
        <f>'Raw Data'!H561</f>
        <v>3</v>
      </c>
      <c r="I561" s="6">
        <f t="shared" si="24"/>
        <v>10.863</v>
      </c>
      <c r="J561" s="6">
        <f>'Raw Data'!J561</f>
        <v>228.12299999999999</v>
      </c>
      <c r="K561" s="1">
        <f>VALUE(IFERROR(VALUE('Raw Data'!K561),CONCATENATE(MID('Raw Data'!K561,3,2),".","0",LEFT('Raw Data'!K561,1),".", RIGHT('Raw Data'!K561,4))))</f>
        <v>43553</v>
      </c>
      <c r="L561" s="2">
        <f>'Raw Data'!L561</f>
        <v>0.70416666666666661</v>
      </c>
      <c r="M561" t="s">
        <v>23</v>
      </c>
      <c r="N561">
        <f>VALUE(IF(AND(ISERR(FIND(".",'Raw Data'!N561)),LEN('Raw Data'!N561)=5), IF(YEAR('Raw Data'!N561)=2026,CONCATENATE(DAY('Raw Data'!N561),".",IF(LEN(MONTH('Raw Data'!N561))=2,MONTH('Raw Data'!N561),CONCATENATE("0",MONTH('Raw Data'!N561)))),CONCATENATE(MONTH('Raw Data'!N561),".",RIGHT(YEAR('Raw Data'!N561),2))),'Raw Data'!N561))</f>
        <v>217.26</v>
      </c>
      <c r="O561" s="6">
        <f t="shared" si="25"/>
        <v>4.7619047619047619</v>
      </c>
      <c r="P561" s="6">
        <f t="shared" si="26"/>
        <v>10.863</v>
      </c>
      <c r="Q561">
        <f>VALUE(IF(AND(ISERR(FIND(".",'Raw Data'!Q561)),LEN('Raw Data'!Q561)=5), IF(YEAR('Raw Data'!Q561)=2026,CONCATENATE(DAY('Raw Data'!Q561),".",IF(LEN(MONTH('Raw Data'!Q561))=2,MONTH('Raw Data'!Q561),CONCATENATE(MONTH('Raw Data'!Q561)))),CONCATENATE(MONTH('Raw Data'!Q561),".",RIGHT(YEAR('Raw Data'!Q561),2))),'Raw Data'!Q561))</f>
        <v>8.1999999999999993</v>
      </c>
    </row>
    <row r="562" spans="1:17">
      <c r="A562" t="s">
        <v>649</v>
      </c>
      <c r="B562" t="s">
        <v>34</v>
      </c>
      <c r="C562" t="s">
        <v>35</v>
      </c>
      <c r="D562" t="s">
        <v>27</v>
      </c>
      <c r="E562" t="s">
        <v>30</v>
      </c>
      <c r="F562" t="s">
        <v>28</v>
      </c>
      <c r="G562">
        <f>VALUE(IF(AND(ISERR(FIND(".",'Raw Data'!G562)),LEN('Raw Data'!G562)=5), IF(YEAR('Raw Data'!G562)=2026,CONCATENATE(DAY('Raw Data'!G562),".",IF(LEN(MONTH('Raw Data'!G562))=2,MONTH('Raw Data'!G562),CONCATENATE("0",MONTH('Raw Data'!G562)))),CONCATENATE(MONTH('Raw Data'!G562),".",RIGHT(YEAR('Raw Data'!G562),2))),'Raw Data'!G562))</f>
        <v>21.58</v>
      </c>
      <c r="H562">
        <f>'Raw Data'!H562</f>
        <v>9</v>
      </c>
      <c r="I562" s="6">
        <f t="shared" si="24"/>
        <v>9.7110000000000412</v>
      </c>
      <c r="J562" s="6">
        <f>'Raw Data'!J562</f>
        <v>203.93100000000001</v>
      </c>
      <c r="K562" s="1">
        <f>VALUE(IFERROR(VALUE('Raw Data'!K562),CONCATENATE(MID('Raw Data'!K562,3,2),".","0",LEFT('Raw Data'!K562,1),".", RIGHT('Raw Data'!K562,4))))</f>
        <v>43538</v>
      </c>
      <c r="L562" s="2">
        <f>'Raw Data'!L562</f>
        <v>0.52222222222222225</v>
      </c>
      <c r="M562" t="s">
        <v>29</v>
      </c>
      <c r="N562">
        <f>VALUE(IF(AND(ISERR(FIND(".",'Raw Data'!N562)),LEN('Raw Data'!N562)=5), IF(YEAR('Raw Data'!N562)=2026,CONCATENATE(DAY('Raw Data'!N562),".",IF(LEN(MONTH('Raw Data'!N562))=2,MONTH('Raw Data'!N562),CONCATENATE("0",MONTH('Raw Data'!N562)))),CONCATENATE(MONTH('Raw Data'!N562),".",RIGHT(YEAR('Raw Data'!N562),2))),'Raw Data'!N562))</f>
        <v>194.22</v>
      </c>
      <c r="O562" s="6">
        <f t="shared" si="25"/>
        <v>4.7619047619047681</v>
      </c>
      <c r="P562" s="6">
        <f t="shared" si="26"/>
        <v>9.7110000000000127</v>
      </c>
      <c r="Q562">
        <f>VALUE(IF(AND(ISERR(FIND(".",'Raw Data'!Q562)),LEN('Raw Data'!Q562)=5), IF(YEAR('Raw Data'!Q562)=2026,CONCATENATE(DAY('Raw Data'!Q562),".",IF(LEN(MONTH('Raw Data'!Q562))=2,MONTH('Raw Data'!Q562),CONCATENATE(MONTH('Raw Data'!Q562)))),CONCATENATE(MONTH('Raw Data'!Q562),".",RIGHT(YEAR('Raw Data'!Q562),2))),'Raw Data'!Q562))</f>
        <v>7.3</v>
      </c>
    </row>
    <row r="563" spans="1:17">
      <c r="A563" t="s">
        <v>650</v>
      </c>
      <c r="B563" t="s">
        <v>25</v>
      </c>
      <c r="C563" t="s">
        <v>26</v>
      </c>
      <c r="D563" t="s">
        <v>27</v>
      </c>
      <c r="E563" t="s">
        <v>30</v>
      </c>
      <c r="F563" t="s">
        <v>40</v>
      </c>
      <c r="G563">
        <f>VALUE(IF(AND(ISERR(FIND(".",'Raw Data'!G563)),LEN('Raw Data'!G563)=5), IF(YEAR('Raw Data'!G563)=2026,CONCATENATE(DAY('Raw Data'!G563),".",IF(LEN(MONTH('Raw Data'!G563))=2,MONTH('Raw Data'!G563),CONCATENATE("0",MONTH('Raw Data'!G563)))),CONCATENATE(MONTH('Raw Data'!G563),".",RIGHT(YEAR('Raw Data'!G563),2))),'Raw Data'!G563))</f>
        <v>89.2</v>
      </c>
      <c r="H563">
        <f>'Raw Data'!H563</f>
        <v>10</v>
      </c>
      <c r="I563" s="6">
        <f t="shared" si="24"/>
        <v>44.600000000000023</v>
      </c>
      <c r="J563" s="6">
        <f>'Raw Data'!J563</f>
        <v>936.6</v>
      </c>
      <c r="K563" s="1">
        <f>VALUE(IFERROR(VALUE('Raw Data'!K563),CONCATENATE(MID('Raw Data'!K563,3,2),".","0",LEFT('Raw Data'!K563,1),".", RIGHT('Raw Data'!K563,4))))</f>
        <v>43771</v>
      </c>
      <c r="L563" s="2">
        <f>'Raw Data'!L563</f>
        <v>0.65416666666666667</v>
      </c>
      <c r="M563" t="s">
        <v>33</v>
      </c>
      <c r="N563">
        <f>VALUE(IF(AND(ISERR(FIND(".",'Raw Data'!N563)),LEN('Raw Data'!N563)=5), IF(YEAR('Raw Data'!N563)=2026,CONCATENATE(DAY('Raw Data'!N563),".",IF(LEN(MONTH('Raw Data'!N563))=2,MONTH('Raw Data'!N563),CONCATENATE("0",MONTH('Raw Data'!N563)))),CONCATENATE(MONTH('Raw Data'!N563),".",RIGHT(YEAR('Raw Data'!N563),2))),'Raw Data'!N563))</f>
        <v>892</v>
      </c>
      <c r="O563" s="6">
        <f t="shared" si="25"/>
        <v>4.7619047619047645</v>
      </c>
      <c r="P563" s="6">
        <f t="shared" si="26"/>
        <v>44.600000000000023</v>
      </c>
      <c r="Q563">
        <f>VALUE(IF(AND(ISERR(FIND(".",'Raw Data'!Q563)),LEN('Raw Data'!Q563)=5), IF(YEAR('Raw Data'!Q563)=2026,CONCATENATE(DAY('Raw Data'!Q563),".",IF(LEN(MONTH('Raw Data'!Q563))=2,MONTH('Raw Data'!Q563),CONCATENATE(MONTH('Raw Data'!Q563)))),CONCATENATE(MONTH('Raw Data'!Q563),".",RIGHT(YEAR('Raw Data'!Q563),2))),'Raw Data'!Q563))</f>
        <v>4.4000000000000004</v>
      </c>
    </row>
    <row r="564" spans="1:17">
      <c r="A564" t="s">
        <v>651</v>
      </c>
      <c r="B564" t="s">
        <v>34</v>
      </c>
      <c r="C564" t="s">
        <v>35</v>
      </c>
      <c r="D564" t="s">
        <v>27</v>
      </c>
      <c r="E564" t="s">
        <v>21</v>
      </c>
      <c r="F564" t="s">
        <v>28</v>
      </c>
      <c r="G564">
        <f>VALUE(IF(AND(ISERR(FIND(".",'Raw Data'!G564)),LEN('Raw Data'!G564)=5), IF(YEAR('Raw Data'!G564)=2026,CONCATENATE(DAY('Raw Data'!G564),".",IF(LEN(MONTH('Raw Data'!G564))=2,MONTH('Raw Data'!G564),CONCATENATE("0",MONTH('Raw Data'!G564)))),CONCATENATE(MONTH('Raw Data'!G564),".",RIGHT(YEAR('Raw Data'!G564),2))),'Raw Data'!G564))</f>
        <v>42.42</v>
      </c>
      <c r="H564">
        <f>'Raw Data'!H564</f>
        <v>8</v>
      </c>
      <c r="I564" s="6">
        <f t="shared" si="24"/>
        <v>16.967999999999961</v>
      </c>
      <c r="J564" s="6">
        <f>'Raw Data'!J564</f>
        <v>356.32799999999997</v>
      </c>
      <c r="K564" s="1">
        <f>VALUE(IFERROR(VALUE('Raw Data'!K564),CONCATENATE(MID('Raw Data'!K564,3,2),".","0",LEFT('Raw Data'!K564,1),".", RIGHT('Raw Data'!K564,4))))</f>
        <v>43495</v>
      </c>
      <c r="L564" s="2">
        <f>'Raw Data'!L564</f>
        <v>0.58194444444444449</v>
      </c>
      <c r="M564" t="s">
        <v>23</v>
      </c>
      <c r="N564">
        <f>VALUE(IF(AND(ISERR(FIND(".",'Raw Data'!N564)),LEN('Raw Data'!N564)=5), IF(YEAR('Raw Data'!N564)=2026,CONCATENATE(DAY('Raw Data'!N564),".",IF(LEN(MONTH('Raw Data'!N564))=2,MONTH('Raw Data'!N564),CONCATENATE("0",MONTH('Raw Data'!N564)))),CONCATENATE(MONTH('Raw Data'!N564),".",RIGHT(YEAR('Raw Data'!N564),2))),'Raw Data'!N564))</f>
        <v>339.36</v>
      </c>
      <c r="O564" s="6">
        <f t="shared" si="25"/>
        <v>4.7619047619047512</v>
      </c>
      <c r="P564" s="6">
        <f t="shared" si="26"/>
        <v>16.967999999999961</v>
      </c>
      <c r="Q564">
        <f>VALUE(IF(AND(ISERR(FIND(".",'Raw Data'!Q564)),LEN('Raw Data'!Q564)=5), IF(YEAR('Raw Data'!Q564)=2026,CONCATENATE(DAY('Raw Data'!Q564),".",IF(LEN(MONTH('Raw Data'!Q564))=2,MONTH('Raw Data'!Q564),CONCATENATE(MONTH('Raw Data'!Q564)))),CONCATENATE(MONTH('Raw Data'!Q564),".",RIGHT(YEAR('Raw Data'!Q564),2))),'Raw Data'!Q564))</f>
        <v>5.7</v>
      </c>
    </row>
    <row r="565" spans="1:17">
      <c r="A565" t="s">
        <v>652</v>
      </c>
      <c r="B565" t="s">
        <v>18</v>
      </c>
      <c r="C565" t="s">
        <v>19</v>
      </c>
      <c r="D565" t="s">
        <v>20</v>
      </c>
      <c r="E565" t="s">
        <v>30</v>
      </c>
      <c r="F565" t="s">
        <v>28</v>
      </c>
      <c r="G565">
        <f>VALUE(IF(AND(ISERR(FIND(".",'Raw Data'!G565)),LEN('Raw Data'!G565)=5), IF(YEAR('Raw Data'!G565)=2026,CONCATENATE(DAY('Raw Data'!G565),".",IF(LEN(MONTH('Raw Data'!G565))=2,MONTH('Raw Data'!G565),CONCATENATE("0",MONTH('Raw Data'!G565)))),CONCATENATE(MONTH('Raw Data'!G565),".",RIGHT(YEAR('Raw Data'!G565),2))),'Raw Data'!G565))</f>
        <v>74.510000000000005</v>
      </c>
      <c r="H565">
        <f>'Raw Data'!H565</f>
        <v>6</v>
      </c>
      <c r="I565" s="6">
        <f t="shared" si="24"/>
        <v>22.352999999999952</v>
      </c>
      <c r="J565" s="6">
        <f>'Raw Data'!J565</f>
        <v>469.41300000000001</v>
      </c>
      <c r="K565" s="1">
        <f>VALUE(IFERROR(VALUE('Raw Data'!K565),CONCATENATE(MID('Raw Data'!K565,3,2),".","0",LEFT('Raw Data'!K565,1),".", RIGHT('Raw Data'!K565,4))))</f>
        <v>43544</v>
      </c>
      <c r="L565" s="2">
        <f>'Raw Data'!L565</f>
        <v>0.63055555555555554</v>
      </c>
      <c r="M565" t="s">
        <v>23</v>
      </c>
      <c r="N565">
        <f>VALUE(IF(AND(ISERR(FIND(".",'Raw Data'!N565)),LEN('Raw Data'!N565)=5), IF(YEAR('Raw Data'!N565)=2026,CONCATENATE(DAY('Raw Data'!N565),".",IF(LEN(MONTH('Raw Data'!N565))=2,MONTH('Raw Data'!N565),CONCATENATE("0",MONTH('Raw Data'!N565)))),CONCATENATE(MONTH('Raw Data'!N565),".",RIGHT(YEAR('Raw Data'!N565),2))),'Raw Data'!N565))</f>
        <v>447.06</v>
      </c>
      <c r="O565" s="6">
        <f t="shared" si="25"/>
        <v>4.7619047619047636</v>
      </c>
      <c r="P565" s="6">
        <f t="shared" si="26"/>
        <v>22.353000000000009</v>
      </c>
      <c r="Q565">
        <f>VALUE(IF(AND(ISERR(FIND(".",'Raw Data'!Q565)),LEN('Raw Data'!Q565)=5), IF(YEAR('Raw Data'!Q565)=2026,CONCATENATE(DAY('Raw Data'!Q565),".",IF(LEN(MONTH('Raw Data'!Q565))=2,MONTH('Raw Data'!Q565),CONCATENATE(MONTH('Raw Data'!Q565)))),CONCATENATE(MONTH('Raw Data'!Q565),".",RIGHT(YEAR('Raw Data'!Q565),2))),'Raw Data'!Q565))</f>
        <v>5</v>
      </c>
    </row>
    <row r="566" spans="1:17">
      <c r="A566" t="s">
        <v>653</v>
      </c>
      <c r="B566" t="s">
        <v>34</v>
      </c>
      <c r="C566" t="s">
        <v>35</v>
      </c>
      <c r="D566" t="s">
        <v>27</v>
      </c>
      <c r="E566" t="s">
        <v>30</v>
      </c>
      <c r="F566" t="s">
        <v>43</v>
      </c>
      <c r="G566">
        <f>VALUE(IF(AND(ISERR(FIND(".",'Raw Data'!G566)),LEN('Raw Data'!G566)=5), IF(YEAR('Raw Data'!G566)=2026,CONCATENATE(DAY('Raw Data'!G566),".",IF(LEN(MONTH('Raw Data'!G566))=2,MONTH('Raw Data'!G566),CONCATENATE("0",MONTH('Raw Data'!G566)))),CONCATENATE(MONTH('Raw Data'!G566),".",RIGHT(YEAR('Raw Data'!G566),2))),'Raw Data'!G566))</f>
        <v>99.25</v>
      </c>
      <c r="H566">
        <f>'Raw Data'!H566</f>
        <v>2</v>
      </c>
      <c r="I566" s="6">
        <f t="shared" si="24"/>
        <v>9.9250000000000114</v>
      </c>
      <c r="J566" s="6">
        <f>'Raw Data'!J566</f>
        <v>208.42500000000001</v>
      </c>
      <c r="K566" s="1">
        <f>VALUE(IFERROR(VALUE('Raw Data'!K566),CONCATENATE(MID('Raw Data'!K566,3,2),".","0",LEFT('Raw Data'!K566,1),".", RIGHT('Raw Data'!K566,4))))</f>
        <v>43544</v>
      </c>
      <c r="L566" s="2">
        <f>'Raw Data'!L566</f>
        <v>0.54305555555555551</v>
      </c>
      <c r="M566" t="s">
        <v>29</v>
      </c>
      <c r="N566">
        <f>VALUE(IF(AND(ISERR(FIND(".",'Raw Data'!N566)),LEN('Raw Data'!N566)=5), IF(YEAR('Raw Data'!N566)=2026,CONCATENATE(DAY('Raw Data'!N566),".",IF(LEN(MONTH('Raw Data'!N566))=2,MONTH('Raw Data'!N566),CONCATENATE("0",MONTH('Raw Data'!N566)))),CONCATENATE(MONTH('Raw Data'!N566),".",RIGHT(YEAR('Raw Data'!N566),2))),'Raw Data'!N566))</f>
        <v>198.5</v>
      </c>
      <c r="O566" s="6">
        <f t="shared" si="25"/>
        <v>4.7619047619047672</v>
      </c>
      <c r="P566" s="6">
        <f t="shared" si="26"/>
        <v>9.9250000000000114</v>
      </c>
      <c r="Q566">
        <f>VALUE(IF(AND(ISERR(FIND(".",'Raw Data'!Q566)),LEN('Raw Data'!Q566)=5), IF(YEAR('Raw Data'!Q566)=2026,CONCATENATE(DAY('Raw Data'!Q566),".",IF(LEN(MONTH('Raw Data'!Q566))=2,MONTH('Raw Data'!Q566),CONCATENATE(MONTH('Raw Data'!Q566)))),CONCATENATE(MONTH('Raw Data'!Q566),".",RIGHT(YEAR('Raw Data'!Q566),2))),'Raw Data'!Q566))</f>
        <v>9</v>
      </c>
    </row>
    <row r="567" spans="1:17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40</v>
      </c>
      <c r="G567">
        <f>VALUE(IF(AND(ISERR(FIND(".",'Raw Data'!G567)),LEN('Raw Data'!G567)=5), IF(YEAR('Raw Data'!G567)=2026,CONCATENATE(DAY('Raw Data'!G567),".",IF(LEN(MONTH('Raw Data'!G567))=2,MONTH('Raw Data'!G567),CONCATENATE("0",MONTH('Raw Data'!G567)))),CONCATENATE(MONTH('Raw Data'!G567),".",RIGHT(YEAR('Raw Data'!G567),2))),'Raw Data'!G567))</f>
        <v>81.209999999999994</v>
      </c>
      <c r="H567">
        <f>'Raw Data'!H567</f>
        <v>10</v>
      </c>
      <c r="I567" s="6">
        <f t="shared" si="24"/>
        <v>40.605000000000132</v>
      </c>
      <c r="J567" s="6">
        <f>'Raw Data'!J567</f>
        <v>852.70500000000004</v>
      </c>
      <c r="K567" s="1">
        <f>VALUE(IFERROR(VALUE('Raw Data'!K567),CONCATENATE(MID('Raw Data'!K567,3,2),".","0",LEFT('Raw Data'!K567,1),".", RIGHT('Raw Data'!K567,4))))</f>
        <v>43482</v>
      </c>
      <c r="L567" s="2">
        <f>'Raw Data'!L567</f>
        <v>0.54236111111111118</v>
      </c>
      <c r="M567" t="s">
        <v>33</v>
      </c>
      <c r="N567">
        <f>VALUE(IF(AND(ISERR(FIND(".",'Raw Data'!N567)),LEN('Raw Data'!N567)=5), IF(YEAR('Raw Data'!N567)=2026,CONCATENATE(DAY('Raw Data'!N567),".",IF(LEN(MONTH('Raw Data'!N567))=2,MONTH('Raw Data'!N567),CONCATENATE("0",MONTH('Raw Data'!N567)))),CONCATENATE(MONTH('Raw Data'!N567),".",RIGHT(YEAR('Raw Data'!N567),2))),'Raw Data'!N567))</f>
        <v>812.1</v>
      </c>
      <c r="O567" s="6">
        <f t="shared" si="25"/>
        <v>4.7619047619047636</v>
      </c>
      <c r="P567" s="6">
        <f t="shared" si="26"/>
        <v>40.605000000000018</v>
      </c>
      <c r="Q567">
        <f>VALUE(IF(AND(ISERR(FIND(".",'Raw Data'!Q567)),LEN('Raw Data'!Q567)=5), IF(YEAR('Raw Data'!Q567)=2026,CONCATENATE(DAY('Raw Data'!Q567),".",IF(LEN(MONTH('Raw Data'!Q567))=2,MONTH('Raw Data'!Q567),CONCATENATE(MONTH('Raw Data'!Q567)))),CONCATENATE(MONTH('Raw Data'!Q567),".",RIGHT(YEAR('Raw Data'!Q567),2))),'Raw Data'!Q567))</f>
        <v>6.3</v>
      </c>
    </row>
    <row r="568" spans="1:17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38</v>
      </c>
      <c r="G568">
        <f>VALUE(IF(AND(ISERR(FIND(".",'Raw Data'!G568)),LEN('Raw Data'!G568)=5), IF(YEAR('Raw Data'!G568)=2026,CONCATENATE(DAY('Raw Data'!G568),".",IF(LEN(MONTH('Raw Data'!G568))=2,MONTH('Raw Data'!G568),CONCATENATE("0",MONTH('Raw Data'!G568)))),CONCATENATE(MONTH('Raw Data'!G568),".",RIGHT(YEAR('Raw Data'!G568),2))),'Raw Data'!G568))</f>
        <v>49.33</v>
      </c>
      <c r="H568">
        <f>'Raw Data'!H568</f>
        <v>10</v>
      </c>
      <c r="I568" s="6">
        <f t="shared" si="24"/>
        <v>24.665000000000077</v>
      </c>
      <c r="J568" s="6">
        <f>'Raw Data'!J568</f>
        <v>517.96500000000003</v>
      </c>
      <c r="K568" s="1">
        <f>VALUE(IFERROR(VALUE('Raw Data'!K568),CONCATENATE(MID('Raw Data'!K568,3,2),".","0",LEFT('Raw Data'!K568,1),".", RIGHT('Raw Data'!K568,4))))</f>
        <v>43526</v>
      </c>
      <c r="L568" s="2">
        <f>'Raw Data'!L568</f>
        <v>0.69444444444444453</v>
      </c>
      <c r="M568" t="s">
        <v>33</v>
      </c>
      <c r="N568">
        <f>VALUE(IF(AND(ISERR(FIND(".",'Raw Data'!N568)),LEN('Raw Data'!N568)=5), IF(YEAR('Raw Data'!N568)=2026,CONCATENATE(DAY('Raw Data'!N568),".",IF(LEN(MONTH('Raw Data'!N568))=2,MONTH('Raw Data'!N568),CONCATENATE("0",MONTH('Raw Data'!N568)))),CONCATENATE(MONTH('Raw Data'!N568),".",RIGHT(YEAR('Raw Data'!N568),2))),'Raw Data'!N568))</f>
        <v>493.3</v>
      </c>
      <c r="O568" s="6">
        <f t="shared" si="25"/>
        <v>4.7619047619047654</v>
      </c>
      <c r="P568" s="6">
        <f t="shared" si="26"/>
        <v>24.66500000000002</v>
      </c>
      <c r="Q568">
        <f>VALUE(IF(AND(ISERR(FIND(".",'Raw Data'!Q568)),LEN('Raw Data'!Q568)=5), IF(YEAR('Raw Data'!Q568)=2026,CONCATENATE(DAY('Raw Data'!Q568),".",IF(LEN(MONTH('Raw Data'!Q568))=2,MONTH('Raw Data'!Q568),CONCATENATE(MONTH('Raw Data'!Q568)))),CONCATENATE(MONTH('Raw Data'!Q568),".",RIGHT(YEAR('Raw Data'!Q568),2))),'Raw Data'!Q568))</f>
        <v>9.4</v>
      </c>
    </row>
    <row r="569" spans="1:17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43</v>
      </c>
      <c r="G569">
        <f>VALUE(IF(AND(ISERR(FIND(".",'Raw Data'!G569)),LEN('Raw Data'!G569)=5), IF(YEAR('Raw Data'!G569)=2026,CONCATENATE(DAY('Raw Data'!G569),".",IF(LEN(MONTH('Raw Data'!G569))=2,MONTH('Raw Data'!G569),CONCATENATE("0",MONTH('Raw Data'!G569)))),CONCATENATE(MONTH('Raw Data'!G569),".",RIGHT(YEAR('Raw Data'!G569),2))),'Raw Data'!G569))</f>
        <v>65.739999999999995</v>
      </c>
      <c r="H569">
        <f>'Raw Data'!H569</f>
        <v>9</v>
      </c>
      <c r="I569" s="6">
        <f t="shared" si="24"/>
        <v>29.583000000000084</v>
      </c>
      <c r="J569" s="6">
        <f>'Raw Data'!J569</f>
        <v>621.24300000000005</v>
      </c>
      <c r="K569" s="1">
        <f>VALUE(IFERROR(VALUE('Raw Data'!K569),CONCATENATE(MID('Raw Data'!K569,3,2),".","0",LEFT('Raw Data'!K569,1),".", RIGHT('Raw Data'!K569,4))))</f>
        <v>43466</v>
      </c>
      <c r="L569" s="2">
        <f>'Raw Data'!L569</f>
        <v>0.57986111111111105</v>
      </c>
      <c r="M569" t="s">
        <v>29</v>
      </c>
      <c r="N569">
        <f>VALUE(IF(AND(ISERR(FIND(".",'Raw Data'!N569)),LEN('Raw Data'!N569)=5), IF(YEAR('Raw Data'!N569)=2026,CONCATENATE(DAY('Raw Data'!N569),".",IF(LEN(MONTH('Raw Data'!N569))=2,MONTH('Raw Data'!N569),CONCATENATE("0",MONTH('Raw Data'!N569)))),CONCATENATE(MONTH('Raw Data'!N569),".",RIGHT(YEAR('Raw Data'!N569),2))),'Raw Data'!N569))</f>
        <v>591.66</v>
      </c>
      <c r="O569" s="6">
        <f t="shared" si="25"/>
        <v>4.7619047619047752</v>
      </c>
      <c r="P569" s="6">
        <f t="shared" si="26"/>
        <v>29.583000000000084</v>
      </c>
      <c r="Q569">
        <f>VALUE(IF(AND(ISERR(FIND(".",'Raw Data'!Q569)),LEN('Raw Data'!Q569)=5), IF(YEAR('Raw Data'!Q569)=2026,CONCATENATE(DAY('Raw Data'!Q569),".",IF(LEN(MONTH('Raw Data'!Q569))=2,MONTH('Raw Data'!Q569),CONCATENATE(MONTH('Raw Data'!Q569)))),CONCATENATE(MONTH('Raw Data'!Q569),".",RIGHT(YEAR('Raw Data'!Q569),2))),'Raw Data'!Q569))</f>
        <v>7.7</v>
      </c>
    </row>
    <row r="570" spans="1:17">
      <c r="A570" t="s">
        <v>657</v>
      </c>
      <c r="B570" t="s">
        <v>34</v>
      </c>
      <c r="C570" t="s">
        <v>35</v>
      </c>
      <c r="D570" t="s">
        <v>27</v>
      </c>
      <c r="E570" t="s">
        <v>21</v>
      </c>
      <c r="F570" t="s">
        <v>43</v>
      </c>
      <c r="G570">
        <f>VALUE(IF(AND(ISERR(FIND(".",'Raw Data'!G570)),LEN('Raw Data'!G570)=5), IF(YEAR('Raw Data'!G570)=2026,CONCATENATE(DAY('Raw Data'!G570),".",IF(LEN(MONTH('Raw Data'!G570))=2,MONTH('Raw Data'!G570),CONCATENATE("0",MONTH('Raw Data'!G570)))),CONCATENATE(MONTH('Raw Data'!G570),".",RIGHT(YEAR('Raw Data'!G570),2))),'Raw Data'!G570))</f>
        <v>79.86</v>
      </c>
      <c r="H570">
        <f>'Raw Data'!H570</f>
        <v>7</v>
      </c>
      <c r="I570" s="6">
        <f t="shared" si="24"/>
        <v>27.951000000000022</v>
      </c>
      <c r="J570" s="6">
        <f>'Raw Data'!J570</f>
        <v>586.971</v>
      </c>
      <c r="K570" s="1">
        <f>VALUE(IFERROR(VALUE('Raw Data'!K570),CONCATENATE(MID('Raw Data'!K570,3,2),".","0",LEFT('Raw Data'!K570,1),".", RIGHT('Raw Data'!K570,4))))</f>
        <v>43739</v>
      </c>
      <c r="L570" s="2">
        <f>'Raw Data'!L570</f>
        <v>0.43958333333333338</v>
      </c>
      <c r="M570" t="s">
        <v>33</v>
      </c>
      <c r="N570">
        <f>VALUE(IF(AND(ISERR(FIND(".",'Raw Data'!N570)),LEN('Raw Data'!N570)=5), IF(YEAR('Raw Data'!N570)=2026,CONCATENATE(DAY('Raw Data'!N570),".",IF(LEN(MONTH('Raw Data'!N570))=2,MONTH('Raw Data'!N570),CONCATENATE("0",MONTH('Raw Data'!N570)))),CONCATENATE(MONTH('Raw Data'!N570),".",RIGHT(YEAR('Raw Data'!N570),2))),'Raw Data'!N570))</f>
        <v>559.02</v>
      </c>
      <c r="O570" s="6">
        <f t="shared" si="25"/>
        <v>4.7619047619047654</v>
      </c>
      <c r="P570" s="6">
        <f t="shared" si="26"/>
        <v>27.951000000000022</v>
      </c>
      <c r="Q570">
        <f>VALUE(IF(AND(ISERR(FIND(".",'Raw Data'!Q570)),LEN('Raw Data'!Q570)=5), IF(YEAR('Raw Data'!Q570)=2026,CONCATENATE(DAY('Raw Data'!Q570),".",IF(LEN(MONTH('Raw Data'!Q570))=2,MONTH('Raw Data'!Q570),CONCATENATE(MONTH('Raw Data'!Q570)))),CONCATENATE(MONTH('Raw Data'!Q570),".",RIGHT(YEAR('Raw Data'!Q570),2))),'Raw Data'!Q570))</f>
        <v>5.5</v>
      </c>
    </row>
    <row r="571" spans="1:17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38</v>
      </c>
      <c r="G571">
        <f>VALUE(IF(AND(ISERR(FIND(".",'Raw Data'!G571)),LEN('Raw Data'!G571)=5), IF(YEAR('Raw Data'!G571)=2026,CONCATENATE(DAY('Raw Data'!G571),".",IF(LEN(MONTH('Raw Data'!G571))=2,MONTH('Raw Data'!G571),CONCATENATE("0",MONTH('Raw Data'!G571)))),CONCATENATE(MONTH('Raw Data'!G571),".",RIGHT(YEAR('Raw Data'!G571),2))),'Raw Data'!G571))</f>
        <v>73.98</v>
      </c>
      <c r="H571">
        <f>'Raw Data'!H571</f>
        <v>7</v>
      </c>
      <c r="I571" s="6">
        <f t="shared" si="24"/>
        <v>25.893000000000029</v>
      </c>
      <c r="J571" s="6">
        <f>'Raw Data'!J571</f>
        <v>543.75300000000004</v>
      </c>
      <c r="K571" s="1">
        <f>VALUE(IFERROR(VALUE('Raw Data'!K571),CONCATENATE(MID('Raw Data'!K571,3,2),".","0",LEFT('Raw Data'!K571,1),".", RIGHT('Raw Data'!K571,4))))</f>
        <v>43499</v>
      </c>
      <c r="L571" s="2">
        <f>'Raw Data'!L571</f>
        <v>0.6958333333333333</v>
      </c>
      <c r="M571" t="s">
        <v>23</v>
      </c>
      <c r="N571">
        <f>VALUE(IF(AND(ISERR(FIND(".",'Raw Data'!N571)),LEN('Raw Data'!N571)=5), IF(YEAR('Raw Data'!N571)=2026,CONCATENATE(DAY('Raw Data'!N571),".",IF(LEN(MONTH('Raw Data'!N571))=2,MONTH('Raw Data'!N571),CONCATENATE("0",MONTH('Raw Data'!N571)))),CONCATENATE(MONTH('Raw Data'!N571),".",RIGHT(YEAR('Raw Data'!N571),2))),'Raw Data'!N571))</f>
        <v>517.86</v>
      </c>
      <c r="O571" s="6">
        <f t="shared" si="25"/>
        <v>4.7619047619047672</v>
      </c>
      <c r="P571" s="6">
        <f t="shared" si="26"/>
        <v>25.893000000000029</v>
      </c>
      <c r="Q571">
        <f>VALUE(IF(AND(ISERR(FIND(".",'Raw Data'!Q571)),LEN('Raw Data'!Q571)=5), IF(YEAR('Raw Data'!Q571)=2026,CONCATENATE(DAY('Raw Data'!Q571),".",IF(LEN(MONTH('Raw Data'!Q571))=2,MONTH('Raw Data'!Q571),CONCATENATE(MONTH('Raw Data'!Q571)))),CONCATENATE(MONTH('Raw Data'!Q571),".",RIGHT(YEAR('Raw Data'!Q571),2))),'Raw Data'!Q571))</f>
        <v>4.0999999999999996</v>
      </c>
    </row>
    <row r="572" spans="1:17">
      <c r="A572" t="s">
        <v>659</v>
      </c>
      <c r="B572" t="s">
        <v>34</v>
      </c>
      <c r="C572" t="s">
        <v>35</v>
      </c>
      <c r="D572" t="s">
        <v>20</v>
      </c>
      <c r="E572" t="s">
        <v>21</v>
      </c>
      <c r="F572" t="s">
        <v>32</v>
      </c>
      <c r="G572">
        <f>VALUE(IF(AND(ISERR(FIND(".",'Raw Data'!G572)),LEN('Raw Data'!G572)=5), IF(YEAR('Raw Data'!G572)=2026,CONCATENATE(DAY('Raw Data'!G572),".",IF(LEN(MONTH('Raw Data'!G572))=2,MONTH('Raw Data'!G572),CONCATENATE("0",MONTH('Raw Data'!G572)))),CONCATENATE(MONTH('Raw Data'!G572),".",RIGHT(YEAR('Raw Data'!G572),2))),'Raw Data'!G572))</f>
        <v>82.04</v>
      </c>
      <c r="H572">
        <f>'Raw Data'!H572</f>
        <v>5</v>
      </c>
      <c r="I572" s="6">
        <f t="shared" si="24"/>
        <v>20.509999999999934</v>
      </c>
      <c r="J572" s="6">
        <f>'Raw Data'!J572</f>
        <v>430.71</v>
      </c>
      <c r="K572" s="1">
        <f>VALUE(IFERROR(VALUE('Raw Data'!K572),CONCATENATE(MID('Raw Data'!K572,3,2),".","0",LEFT('Raw Data'!K572,1),".", RIGHT('Raw Data'!K572,4))))</f>
        <v>43521</v>
      </c>
      <c r="L572" s="2">
        <f>'Raw Data'!L572</f>
        <v>0.71944444444444444</v>
      </c>
      <c r="M572" t="s">
        <v>33</v>
      </c>
      <c r="N572">
        <f>VALUE(IF(AND(ISERR(FIND(".",'Raw Data'!N572)),LEN('Raw Data'!N572)=5), IF(YEAR('Raw Data'!N572)=2026,CONCATENATE(DAY('Raw Data'!N572),".",IF(LEN(MONTH('Raw Data'!N572))=2,MONTH('Raw Data'!N572),CONCATENATE("0",MONTH('Raw Data'!N572)))),CONCATENATE(MONTH('Raw Data'!N572),".",RIGHT(YEAR('Raw Data'!N572),2))),'Raw Data'!N572))</f>
        <v>410.2</v>
      </c>
      <c r="O572" s="6">
        <f t="shared" si="25"/>
        <v>4.7619047619047601</v>
      </c>
      <c r="P572" s="6">
        <f t="shared" si="26"/>
        <v>20.509999999999991</v>
      </c>
      <c r="Q572">
        <f>VALUE(IF(AND(ISERR(FIND(".",'Raw Data'!Q572)),LEN('Raw Data'!Q572)=5), IF(YEAR('Raw Data'!Q572)=2026,CONCATENATE(DAY('Raw Data'!Q572),".",IF(LEN(MONTH('Raw Data'!Q572))=2,MONTH('Raw Data'!Q572),CONCATENATE(MONTH('Raw Data'!Q572)))),CONCATENATE(MONTH('Raw Data'!Q572),".",RIGHT(YEAR('Raw Data'!Q572),2))),'Raw Data'!Q572))</f>
        <v>7.6</v>
      </c>
    </row>
    <row r="573" spans="1:17">
      <c r="A573" t="s">
        <v>660</v>
      </c>
      <c r="B573" t="s">
        <v>34</v>
      </c>
      <c r="C573" t="s">
        <v>35</v>
      </c>
      <c r="D573" t="s">
        <v>20</v>
      </c>
      <c r="E573" t="s">
        <v>30</v>
      </c>
      <c r="F573" t="s">
        <v>38</v>
      </c>
      <c r="G573">
        <f>VALUE(IF(AND(ISERR(FIND(".",'Raw Data'!G573)),LEN('Raw Data'!G573)=5), IF(YEAR('Raw Data'!G573)=2026,CONCATENATE(DAY('Raw Data'!G573),".",IF(LEN(MONTH('Raw Data'!G573))=2,MONTH('Raw Data'!G573),CONCATENATE("0",MONTH('Raw Data'!G573)))),CONCATENATE(MONTH('Raw Data'!G573),".",RIGHT(YEAR('Raw Data'!G573),2))),'Raw Data'!G573))</f>
        <v>26.67</v>
      </c>
      <c r="H573">
        <f>'Raw Data'!H573</f>
        <v>10</v>
      </c>
      <c r="I573" s="6">
        <f t="shared" si="24"/>
        <v>13.33499999999998</v>
      </c>
      <c r="J573" s="6">
        <f>'Raw Data'!J573</f>
        <v>280.03500000000003</v>
      </c>
      <c r="K573" s="1">
        <f>VALUE(IFERROR(VALUE('Raw Data'!K573),CONCATENATE(MID('Raw Data'!K573,3,2),".","0",LEFT('Raw Data'!K573,1),".", RIGHT('Raw Data'!K573,4))))</f>
        <v>43494</v>
      </c>
      <c r="L573" s="2">
        <f>'Raw Data'!L573</f>
        <v>0.4916666666666667</v>
      </c>
      <c r="M573" t="s">
        <v>29</v>
      </c>
      <c r="N573">
        <f>VALUE(IF(AND(ISERR(FIND(".",'Raw Data'!N573)),LEN('Raw Data'!N573)=5), IF(YEAR('Raw Data'!N573)=2026,CONCATENATE(DAY('Raw Data'!N573),".",IF(LEN(MONTH('Raw Data'!N573))=2,MONTH('Raw Data'!N573),CONCATENATE("0",MONTH('Raw Data'!N573)))),CONCATENATE(MONTH('Raw Data'!N573),".",RIGHT(YEAR('Raw Data'!N573),2))),'Raw Data'!N573))</f>
        <v>266.7</v>
      </c>
      <c r="O573" s="6">
        <f t="shared" si="25"/>
        <v>4.7619047619047743</v>
      </c>
      <c r="P573" s="6">
        <f t="shared" si="26"/>
        <v>13.335000000000036</v>
      </c>
      <c r="Q573">
        <f>VALUE(IF(AND(ISERR(FIND(".",'Raw Data'!Q573)),LEN('Raw Data'!Q573)=5), IF(YEAR('Raw Data'!Q573)=2026,CONCATENATE(DAY('Raw Data'!Q573),".",IF(LEN(MONTH('Raw Data'!Q573))=2,MONTH('Raw Data'!Q573),CONCATENATE(MONTH('Raw Data'!Q573)))),CONCATENATE(MONTH('Raw Data'!Q573),".",RIGHT(YEAR('Raw Data'!Q573),2))),'Raw Data'!Q573))</f>
        <v>8.6</v>
      </c>
    </row>
    <row r="574" spans="1:17">
      <c r="A574" t="s">
        <v>661</v>
      </c>
      <c r="B574" t="s">
        <v>18</v>
      </c>
      <c r="C574" t="s">
        <v>19</v>
      </c>
      <c r="D574" t="s">
        <v>20</v>
      </c>
      <c r="E574" t="s">
        <v>30</v>
      </c>
      <c r="F574" t="s">
        <v>40</v>
      </c>
      <c r="G574">
        <f>VALUE(IF(AND(ISERR(FIND(".",'Raw Data'!G574)),LEN('Raw Data'!G574)=5), IF(YEAR('Raw Data'!G574)=2026,CONCATENATE(DAY('Raw Data'!G574),".",IF(LEN(MONTH('Raw Data'!G574))=2,MONTH('Raw Data'!G574),CONCATENATE("0",MONTH('Raw Data'!G574)))),CONCATENATE(MONTH('Raw Data'!G574),".",RIGHT(YEAR('Raw Data'!G574),2))),'Raw Data'!G574))</f>
        <v>10.130000000000001</v>
      </c>
      <c r="H574">
        <f>'Raw Data'!H574</f>
        <v>7</v>
      </c>
      <c r="I574" s="6">
        <f t="shared" si="24"/>
        <v>3.5454999999999899</v>
      </c>
      <c r="J574" s="6">
        <f>'Raw Data'!J574</f>
        <v>74.455500000000001</v>
      </c>
      <c r="K574" s="1">
        <f>VALUE(IFERROR(VALUE('Raw Data'!K574),CONCATENATE(MID('Raw Data'!K574,3,2),".","0",LEFT('Raw Data'!K574,1),".", RIGHT('Raw Data'!K574,4))))</f>
        <v>43741</v>
      </c>
      <c r="L574" s="2">
        <f>'Raw Data'!L574</f>
        <v>0.81597222222222221</v>
      </c>
      <c r="M574" t="s">
        <v>23</v>
      </c>
      <c r="N574">
        <f>VALUE(IF(AND(ISERR(FIND(".",'Raw Data'!N574)),LEN('Raw Data'!N574)=5), IF(YEAR('Raw Data'!N574)=2026,CONCATENATE(DAY('Raw Data'!N574),".",IF(LEN(MONTH('Raw Data'!N574))=2,MONTH('Raw Data'!N574),CONCATENATE("0",MONTH('Raw Data'!N574)))),CONCATENATE(MONTH('Raw Data'!N574),".",RIGHT(YEAR('Raw Data'!N574),2))),'Raw Data'!N574))</f>
        <v>70.91</v>
      </c>
      <c r="O574" s="6">
        <f t="shared" si="25"/>
        <v>4.7619047619047672</v>
      </c>
      <c r="P574" s="6">
        <f t="shared" si="26"/>
        <v>3.5455000000000041</v>
      </c>
      <c r="Q574">
        <f>VALUE(IF(AND(ISERR(FIND(".",'Raw Data'!Q574)),LEN('Raw Data'!Q574)=5), IF(YEAR('Raw Data'!Q574)=2026,CONCATENATE(DAY('Raw Data'!Q574),".",IF(LEN(MONTH('Raw Data'!Q574))=2,MONTH('Raw Data'!Q574),CONCATENATE(MONTH('Raw Data'!Q574)))),CONCATENATE(MONTH('Raw Data'!Q574),".",RIGHT(YEAR('Raw Data'!Q574),2))),'Raw Data'!Q574))</f>
        <v>8.3000000000000007</v>
      </c>
    </row>
    <row r="575" spans="1:17">
      <c r="A575" t="s">
        <v>662</v>
      </c>
      <c r="B575" t="s">
        <v>34</v>
      </c>
      <c r="C575" t="s">
        <v>35</v>
      </c>
      <c r="D575" t="s">
        <v>27</v>
      </c>
      <c r="E575" t="s">
        <v>30</v>
      </c>
      <c r="F575" t="s">
        <v>40</v>
      </c>
      <c r="G575">
        <f>VALUE(IF(AND(ISERR(FIND(".",'Raw Data'!G575)),LEN('Raw Data'!G575)=5), IF(YEAR('Raw Data'!G575)=2026,CONCATENATE(DAY('Raw Data'!G575),".",IF(LEN(MONTH('Raw Data'!G575))=2,MONTH('Raw Data'!G575),CONCATENATE("0",MONTH('Raw Data'!G575)))),CONCATENATE(MONTH('Raw Data'!G575),".",RIGHT(YEAR('Raw Data'!G575),2))),'Raw Data'!G575))</f>
        <v>72.39</v>
      </c>
      <c r="H575">
        <f>'Raw Data'!H575</f>
        <v>2</v>
      </c>
      <c r="I575" s="6">
        <f t="shared" si="24"/>
        <v>7.2390000000000043</v>
      </c>
      <c r="J575" s="6">
        <f>'Raw Data'!J575</f>
        <v>152.01900000000001</v>
      </c>
      <c r="K575" s="1">
        <f>VALUE(IFERROR(VALUE('Raw Data'!K575),CONCATENATE(MID('Raw Data'!K575,3,2),".","0",LEFT('Raw Data'!K575,1),".", RIGHT('Raw Data'!K575,4))))</f>
        <v>43478</v>
      </c>
      <c r="L575" s="2">
        <f>'Raw Data'!L575</f>
        <v>0.82986111111111116</v>
      </c>
      <c r="M575" t="s">
        <v>33</v>
      </c>
      <c r="N575">
        <f>VALUE(IF(AND(ISERR(FIND(".",'Raw Data'!N575)),LEN('Raw Data'!N575)=5), IF(YEAR('Raw Data'!N575)=2026,CONCATENATE(DAY('Raw Data'!N575),".",IF(LEN(MONTH('Raw Data'!N575))=2,MONTH('Raw Data'!N575),CONCATENATE("0",MONTH('Raw Data'!N575)))),CONCATENATE(MONTH('Raw Data'!N575),".",RIGHT(YEAR('Raw Data'!N575),2))),'Raw Data'!N575))</f>
        <v>144.78</v>
      </c>
      <c r="O575" s="6">
        <f t="shared" si="25"/>
        <v>4.7619047619047645</v>
      </c>
      <c r="P575" s="6">
        <f t="shared" si="26"/>
        <v>7.2390000000000043</v>
      </c>
      <c r="Q575">
        <f>VALUE(IF(AND(ISERR(FIND(".",'Raw Data'!Q575)),LEN('Raw Data'!Q575)=5), IF(YEAR('Raw Data'!Q575)=2026,CONCATENATE(DAY('Raw Data'!Q575),".",IF(LEN(MONTH('Raw Data'!Q575))=2,MONTH('Raw Data'!Q575),CONCATENATE(MONTH('Raw Data'!Q575)))),CONCATENATE(MONTH('Raw Data'!Q575),".",RIGHT(YEAR('Raw Data'!Q575),2))),'Raw Data'!Q575))</f>
        <v>8.1</v>
      </c>
    </row>
    <row r="576" spans="1:17">
      <c r="A576" t="s">
        <v>663</v>
      </c>
      <c r="B576" t="s">
        <v>18</v>
      </c>
      <c r="C576" t="s">
        <v>19</v>
      </c>
      <c r="D576" t="s">
        <v>27</v>
      </c>
      <c r="E576" t="s">
        <v>30</v>
      </c>
      <c r="F576" t="s">
        <v>38</v>
      </c>
      <c r="G576">
        <f>VALUE(IF(AND(ISERR(FIND(".",'Raw Data'!G576)),LEN('Raw Data'!G576)=5), IF(YEAR('Raw Data'!G576)=2026,CONCATENATE(DAY('Raw Data'!G576),".",IF(LEN(MONTH('Raw Data'!G576))=2,MONTH('Raw Data'!G576),CONCATENATE("0",MONTH('Raw Data'!G576)))),CONCATENATE(MONTH('Raw Data'!G576),".",RIGHT(YEAR('Raw Data'!G576),2))),'Raw Data'!G576))</f>
        <v>85.91</v>
      </c>
      <c r="H576">
        <f>'Raw Data'!H576</f>
        <v>5</v>
      </c>
      <c r="I576" s="6">
        <f t="shared" si="24"/>
        <v>21.47750000000002</v>
      </c>
      <c r="J576" s="6">
        <f>'Raw Data'!J576</f>
        <v>451.02749999999997</v>
      </c>
      <c r="K576" s="1">
        <f>VALUE(IFERROR(VALUE('Raw Data'!K576),CONCATENATE(MID('Raw Data'!K576,3,2),".","0",LEFT('Raw Data'!K576,1),".", RIGHT('Raw Data'!K576,4))))</f>
        <v>43546</v>
      </c>
      <c r="L576" s="2">
        <f>'Raw Data'!L576</f>
        <v>0.60625000000000007</v>
      </c>
      <c r="M576" t="s">
        <v>33</v>
      </c>
      <c r="N576">
        <f>VALUE(IF(AND(ISERR(FIND(".",'Raw Data'!N576)),LEN('Raw Data'!N576)=5), IF(YEAR('Raw Data'!N576)=2026,CONCATENATE(DAY('Raw Data'!N576),".",IF(LEN(MONTH('Raw Data'!N576))=2,MONTH('Raw Data'!N576),CONCATENATE("0",MONTH('Raw Data'!N576)))),CONCATENATE(MONTH('Raw Data'!N576),".",RIGHT(YEAR('Raw Data'!N576),2))),'Raw Data'!N576))</f>
        <v>429.55</v>
      </c>
      <c r="O576" s="6">
        <f t="shared" si="25"/>
        <v>4.7619047619047539</v>
      </c>
      <c r="P576" s="6">
        <f t="shared" si="26"/>
        <v>21.477499999999964</v>
      </c>
      <c r="Q576">
        <f>VALUE(IF(AND(ISERR(FIND(".",'Raw Data'!Q576)),LEN('Raw Data'!Q576)=5), IF(YEAR('Raw Data'!Q576)=2026,CONCATENATE(DAY('Raw Data'!Q576),".",IF(LEN(MONTH('Raw Data'!Q576))=2,MONTH('Raw Data'!Q576),CONCATENATE(MONTH('Raw Data'!Q576)))),CONCATENATE(MONTH('Raw Data'!Q576),".",RIGHT(YEAR('Raw Data'!Q576),2))),'Raw Data'!Q576))</f>
        <v>8.6</v>
      </c>
    </row>
    <row r="577" spans="1:17">
      <c r="A577" t="s">
        <v>664</v>
      </c>
      <c r="B577" t="s">
        <v>34</v>
      </c>
      <c r="C577" t="s">
        <v>35</v>
      </c>
      <c r="D577" t="s">
        <v>20</v>
      </c>
      <c r="E577" t="s">
        <v>30</v>
      </c>
      <c r="F577" t="s">
        <v>43</v>
      </c>
      <c r="G577">
        <f>VALUE(IF(AND(ISERR(FIND(".",'Raw Data'!G577)),LEN('Raw Data'!G577)=5), IF(YEAR('Raw Data'!G577)=2026,CONCATENATE(DAY('Raw Data'!G577),".",IF(LEN(MONTH('Raw Data'!G577))=2,MONTH('Raw Data'!G577),CONCATENATE("0",MONTH('Raw Data'!G577)))),CONCATENATE(MONTH('Raw Data'!G577),".",RIGHT(YEAR('Raw Data'!G577),2))),'Raw Data'!G577))</f>
        <v>81.31</v>
      </c>
      <c r="H577">
        <f>'Raw Data'!H577</f>
        <v>7</v>
      </c>
      <c r="I577" s="6">
        <f t="shared" si="24"/>
        <v>28.458499999999958</v>
      </c>
      <c r="J577" s="6">
        <f>'Raw Data'!J577</f>
        <v>597.62850000000003</v>
      </c>
      <c r="K577" s="1">
        <f>VALUE(IFERROR(VALUE('Raw Data'!K577),CONCATENATE(MID('Raw Data'!K577,3,2),".","0",LEFT('Raw Data'!K577,1),".", RIGHT('Raw Data'!K577,4))))</f>
        <v>43468</v>
      </c>
      <c r="L577" s="2">
        <f>'Raw Data'!L577</f>
        <v>0.8256944444444444</v>
      </c>
      <c r="M577" t="s">
        <v>23</v>
      </c>
      <c r="N577">
        <f>VALUE(IF(AND(ISERR(FIND(".",'Raw Data'!N577)),LEN('Raw Data'!N577)=5), IF(YEAR('Raw Data'!N577)=2026,CONCATENATE(DAY('Raw Data'!N577),".",IF(LEN(MONTH('Raw Data'!N577))=2,MONTH('Raw Data'!N577),CONCATENATE("0",MONTH('Raw Data'!N577)))),CONCATENATE(MONTH('Raw Data'!N577),".",RIGHT(YEAR('Raw Data'!N577),2))),'Raw Data'!N577))</f>
        <v>569.16999999999996</v>
      </c>
      <c r="O577" s="6">
        <f t="shared" si="25"/>
        <v>4.7619047619047734</v>
      </c>
      <c r="P577" s="6">
        <f t="shared" si="26"/>
        <v>28.458500000000072</v>
      </c>
      <c r="Q577">
        <f>VALUE(IF(AND(ISERR(FIND(".",'Raw Data'!Q577)),LEN('Raw Data'!Q577)=5), IF(YEAR('Raw Data'!Q577)=2026,CONCATENATE(DAY('Raw Data'!Q577),".",IF(LEN(MONTH('Raw Data'!Q577))=2,MONTH('Raw Data'!Q577),CONCATENATE(MONTH('Raw Data'!Q577)))),CONCATENATE(MONTH('Raw Data'!Q577),".",RIGHT(YEAR('Raw Data'!Q577),2))),'Raw Data'!Q577))</f>
        <v>6.3</v>
      </c>
    </row>
    <row r="578" spans="1:17">
      <c r="A578" t="s">
        <v>665</v>
      </c>
      <c r="B578" t="s">
        <v>34</v>
      </c>
      <c r="C578" t="s">
        <v>35</v>
      </c>
      <c r="D578" t="s">
        <v>27</v>
      </c>
      <c r="E578" t="s">
        <v>30</v>
      </c>
      <c r="F578" t="s">
        <v>40</v>
      </c>
      <c r="G578">
        <f>VALUE(IF(AND(ISERR(FIND(".",'Raw Data'!G578)),LEN('Raw Data'!G578)=5), IF(YEAR('Raw Data'!G578)=2026,CONCATENATE(DAY('Raw Data'!G578),".",IF(LEN(MONTH('Raw Data'!G578))=2,MONTH('Raw Data'!G578),CONCATENATE("0",MONTH('Raw Data'!G578)))),CONCATENATE(MONTH('Raw Data'!G578),".",RIGHT(YEAR('Raw Data'!G578),2))),'Raw Data'!G578))</f>
        <v>60.3</v>
      </c>
      <c r="H578">
        <f>'Raw Data'!H578</f>
        <v>4</v>
      </c>
      <c r="I578" s="6">
        <f t="shared" si="24"/>
        <v>12.060000000000002</v>
      </c>
      <c r="J578" s="6">
        <f>'Raw Data'!J578</f>
        <v>253.26</v>
      </c>
      <c r="K578" s="1">
        <f>VALUE(IFERROR(VALUE('Raw Data'!K578),CONCATENATE(MID('Raw Data'!K578,3,2),".","0",LEFT('Raw Data'!K578,1),".", RIGHT('Raw Data'!K578,4))))</f>
        <v>43516</v>
      </c>
      <c r="L578" s="2">
        <f>'Raw Data'!L578</f>
        <v>0.77986111111111101</v>
      </c>
      <c r="M578" t="s">
        <v>29</v>
      </c>
      <c r="N578">
        <f>VALUE(IF(AND(ISERR(FIND(".",'Raw Data'!N578)),LEN('Raw Data'!N578)=5), IF(YEAR('Raw Data'!N578)=2026,CONCATENATE(DAY('Raw Data'!N578),".",IF(LEN(MONTH('Raw Data'!N578))=2,MONTH('Raw Data'!N578),CONCATENATE("0",MONTH('Raw Data'!N578)))),CONCATENATE(MONTH('Raw Data'!N578),".",RIGHT(YEAR('Raw Data'!N578),2))),'Raw Data'!N578))</f>
        <v>241.2</v>
      </c>
      <c r="O578" s="6">
        <f t="shared" si="25"/>
        <v>4.7619047619047628</v>
      </c>
      <c r="P578" s="6">
        <f t="shared" si="26"/>
        <v>12.060000000000002</v>
      </c>
      <c r="Q578">
        <f>VALUE(IF(AND(ISERR(FIND(".",'Raw Data'!Q578)),LEN('Raw Data'!Q578)=5), IF(YEAR('Raw Data'!Q578)=2026,CONCATENATE(DAY('Raw Data'!Q578),".",IF(LEN(MONTH('Raw Data'!Q578))=2,MONTH('Raw Data'!Q578),CONCATENATE(MONTH('Raw Data'!Q578)))),CONCATENATE(MONTH('Raw Data'!Q578),".",RIGHT(YEAR('Raw Data'!Q578),2))),'Raw Data'!Q578))</f>
        <v>5.8</v>
      </c>
    </row>
    <row r="579" spans="1:17">
      <c r="A579" t="s">
        <v>666</v>
      </c>
      <c r="B579" t="s">
        <v>25</v>
      </c>
      <c r="C579" t="s">
        <v>26</v>
      </c>
      <c r="D579" t="s">
        <v>27</v>
      </c>
      <c r="E579" t="s">
        <v>30</v>
      </c>
      <c r="F579" t="s">
        <v>40</v>
      </c>
      <c r="G579">
        <f>VALUE(IF(AND(ISERR(FIND(".",'Raw Data'!G579)),LEN('Raw Data'!G579)=5), IF(YEAR('Raw Data'!G579)=2026,CONCATENATE(DAY('Raw Data'!G579),".",IF(LEN(MONTH('Raw Data'!G579))=2,MONTH('Raw Data'!G579),CONCATENATE("0",MONTH('Raw Data'!G579)))),CONCATENATE(MONTH('Raw Data'!G579),".",RIGHT(YEAR('Raw Data'!G579),2))),'Raw Data'!G579))</f>
        <v>31.77</v>
      </c>
      <c r="H579">
        <f>'Raw Data'!H579</f>
        <v>4</v>
      </c>
      <c r="I579" s="6">
        <f t="shared" ref="I579:I642" si="27">J579-G579*H579</f>
        <v>6.3539999999999992</v>
      </c>
      <c r="J579" s="6">
        <f>'Raw Data'!J579</f>
        <v>133.434</v>
      </c>
      <c r="K579" s="1">
        <f>VALUE(IFERROR(VALUE('Raw Data'!K579),CONCATENATE(MID('Raw Data'!K579,3,2),".","0",LEFT('Raw Data'!K579,1),".", RIGHT('Raw Data'!K579,4))))</f>
        <v>43479</v>
      </c>
      <c r="L579" s="2">
        <f>'Raw Data'!L579</f>
        <v>0.61319444444444449</v>
      </c>
      <c r="M579" t="s">
        <v>23</v>
      </c>
      <c r="N579">
        <f>VALUE(IF(AND(ISERR(FIND(".",'Raw Data'!N579)),LEN('Raw Data'!N579)=5), IF(YEAR('Raw Data'!N579)=2026,CONCATENATE(DAY('Raw Data'!N579),".",IF(LEN(MONTH('Raw Data'!N579))=2,MONTH('Raw Data'!N579),CONCATENATE("0",MONTH('Raw Data'!N579)))),CONCATENATE(MONTH('Raw Data'!N579),".",RIGHT(YEAR('Raw Data'!N579),2))),'Raw Data'!N579))</f>
        <v>127.08</v>
      </c>
      <c r="O579" s="6">
        <f t="shared" ref="O579:O642" si="28">P579/J579*100</f>
        <v>4.7619047619047619</v>
      </c>
      <c r="P579" s="6">
        <f t="shared" ref="P579:P642" si="29">J579-N579</f>
        <v>6.3539999999999992</v>
      </c>
      <c r="Q579">
        <f>VALUE(IF(AND(ISERR(FIND(".",'Raw Data'!Q579)),LEN('Raw Data'!Q579)=5), IF(YEAR('Raw Data'!Q579)=2026,CONCATENATE(DAY('Raw Data'!Q579),".",IF(LEN(MONTH('Raw Data'!Q579))=2,MONTH('Raw Data'!Q579),CONCATENATE(MONTH('Raw Data'!Q579)))),CONCATENATE(MONTH('Raw Data'!Q579),".",RIGHT(YEAR('Raw Data'!Q579),2))),'Raw Data'!Q579))</f>
        <v>6.2</v>
      </c>
    </row>
    <row r="580" spans="1:17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f>VALUE(IF(AND(ISERR(FIND(".",'Raw Data'!G580)),LEN('Raw Data'!G580)=5), IF(YEAR('Raw Data'!G580)=2026,CONCATENATE(DAY('Raw Data'!G580),".",IF(LEN(MONTH('Raw Data'!G580))=2,MONTH('Raw Data'!G580),CONCATENATE("0",MONTH('Raw Data'!G580)))),CONCATENATE(MONTH('Raw Data'!G580),".",RIGHT(YEAR('Raw Data'!G580),2))),'Raw Data'!G580))</f>
        <v>64.27</v>
      </c>
      <c r="H580">
        <f>'Raw Data'!H580</f>
        <v>4</v>
      </c>
      <c r="I580" s="6">
        <f t="shared" si="27"/>
        <v>12.854000000000042</v>
      </c>
      <c r="J580" s="6">
        <f>'Raw Data'!J580</f>
        <v>269.93400000000003</v>
      </c>
      <c r="K580" s="1">
        <f>VALUE(IFERROR(VALUE('Raw Data'!K580),CONCATENATE(MID('Raw Data'!K580,3,2),".","0",LEFT('Raw Data'!K580,1),".", RIGHT('Raw Data'!K580,4))))</f>
        <v>43550</v>
      </c>
      <c r="L580" s="2">
        <f>'Raw Data'!L580</f>
        <v>0.57916666666666672</v>
      </c>
      <c r="M580" t="s">
        <v>29</v>
      </c>
      <c r="N580">
        <f>VALUE(IF(AND(ISERR(FIND(".",'Raw Data'!N580)),LEN('Raw Data'!N580)=5), IF(YEAR('Raw Data'!N580)=2026,CONCATENATE(DAY('Raw Data'!N580),".",IF(LEN(MONTH('Raw Data'!N580))=2,MONTH('Raw Data'!N580),CONCATENATE("0",MONTH('Raw Data'!N580)))),CONCATENATE(MONTH('Raw Data'!N580),".",RIGHT(YEAR('Raw Data'!N580),2))),'Raw Data'!N580))</f>
        <v>257.08</v>
      </c>
      <c r="O580" s="6">
        <f t="shared" si="28"/>
        <v>4.761904761904777</v>
      </c>
      <c r="P580" s="6">
        <f t="shared" si="29"/>
        <v>12.854000000000042</v>
      </c>
      <c r="Q580">
        <f>VALUE(IF(AND(ISERR(FIND(".",'Raw Data'!Q580)),LEN('Raw Data'!Q580)=5), IF(YEAR('Raw Data'!Q580)=2026,CONCATENATE(DAY('Raw Data'!Q580),".",IF(LEN(MONTH('Raw Data'!Q580))=2,MONTH('Raw Data'!Q580),CONCATENATE(MONTH('Raw Data'!Q580)))),CONCATENATE(MONTH('Raw Data'!Q580),".",RIGHT(YEAR('Raw Data'!Q580),2))),'Raw Data'!Q580))</f>
        <v>7.7</v>
      </c>
    </row>
    <row r="581" spans="1:17">
      <c r="A581" t="s">
        <v>668</v>
      </c>
      <c r="B581" t="s">
        <v>34</v>
      </c>
      <c r="C581" t="s">
        <v>35</v>
      </c>
      <c r="D581" t="s">
        <v>27</v>
      </c>
      <c r="E581" t="s">
        <v>30</v>
      </c>
      <c r="F581" t="s">
        <v>22</v>
      </c>
      <c r="G581">
        <f>VALUE(IF(AND(ISERR(FIND(".",'Raw Data'!G581)),LEN('Raw Data'!G581)=5), IF(YEAR('Raw Data'!G581)=2026,CONCATENATE(DAY('Raw Data'!G581),".",IF(LEN(MONTH('Raw Data'!G581))=2,MONTH('Raw Data'!G581),CONCATENATE("0",MONTH('Raw Data'!G581)))),CONCATENATE(MONTH('Raw Data'!G581),".",RIGHT(YEAR('Raw Data'!G581),2))),'Raw Data'!G581))</f>
        <v>69.510000000000005</v>
      </c>
      <c r="H581">
        <f>'Raw Data'!H581</f>
        <v>2</v>
      </c>
      <c r="I581" s="6">
        <f t="shared" si="27"/>
        <v>6.9509999999999934</v>
      </c>
      <c r="J581" s="6">
        <f>'Raw Data'!J581</f>
        <v>145.971</v>
      </c>
      <c r="K581" s="1">
        <f>VALUE(IFERROR(VALUE('Raw Data'!K581),CONCATENATE(MID('Raw Data'!K581,3,2),".","0",LEFT('Raw Data'!K581,1),".", RIGHT('Raw Data'!K581,4))))</f>
        <v>43468</v>
      </c>
      <c r="L581" s="2">
        <f>'Raw Data'!L581</f>
        <v>0.51041666666666663</v>
      </c>
      <c r="M581" t="s">
        <v>23</v>
      </c>
      <c r="N581">
        <f>VALUE(IF(AND(ISERR(FIND(".",'Raw Data'!N581)),LEN('Raw Data'!N581)=5), IF(YEAR('Raw Data'!N581)=2026,CONCATENATE(DAY('Raw Data'!N581),".",IF(LEN(MONTH('Raw Data'!N581))=2,MONTH('Raw Data'!N581),CONCATENATE("0",MONTH('Raw Data'!N581)))),CONCATENATE(MONTH('Raw Data'!N581),".",RIGHT(YEAR('Raw Data'!N581),2))),'Raw Data'!N581))</f>
        <v>139.02000000000001</v>
      </c>
      <c r="O581" s="6">
        <f t="shared" si="28"/>
        <v>4.7619047619047574</v>
      </c>
      <c r="P581" s="6">
        <f t="shared" si="29"/>
        <v>6.9509999999999934</v>
      </c>
      <c r="Q581">
        <f>VALUE(IF(AND(ISERR(FIND(".",'Raw Data'!Q581)),LEN('Raw Data'!Q581)=5), IF(YEAR('Raw Data'!Q581)=2026,CONCATENATE(DAY('Raw Data'!Q581),".",IF(LEN(MONTH('Raw Data'!Q581))=2,MONTH('Raw Data'!Q581),CONCATENATE(MONTH('Raw Data'!Q581)))),CONCATENATE(MONTH('Raw Data'!Q581),".",RIGHT(YEAR('Raw Data'!Q581),2))),'Raw Data'!Q581))</f>
        <v>8.1</v>
      </c>
    </row>
    <row r="582" spans="1:17">
      <c r="A582" t="s">
        <v>669</v>
      </c>
      <c r="B582" t="s">
        <v>25</v>
      </c>
      <c r="C582" t="s">
        <v>26</v>
      </c>
      <c r="D582" t="s">
        <v>27</v>
      </c>
      <c r="E582" t="s">
        <v>30</v>
      </c>
      <c r="F582" t="s">
        <v>40</v>
      </c>
      <c r="G582">
        <f>VALUE(IF(AND(ISERR(FIND(".",'Raw Data'!G582)),LEN('Raw Data'!G582)=5), IF(YEAR('Raw Data'!G582)=2026,CONCATENATE(DAY('Raw Data'!G582),".",IF(LEN(MONTH('Raw Data'!G582))=2,MONTH('Raw Data'!G582),CONCATENATE("0",MONTH('Raw Data'!G582)))),CONCATENATE(MONTH('Raw Data'!G582),".",RIGHT(YEAR('Raw Data'!G582),2))),'Raw Data'!G582))</f>
        <v>27.22</v>
      </c>
      <c r="H582">
        <f>'Raw Data'!H582</f>
        <v>3</v>
      </c>
      <c r="I582" s="6">
        <f t="shared" si="27"/>
        <v>4.0829999999999984</v>
      </c>
      <c r="J582" s="6">
        <f>'Raw Data'!J582</f>
        <v>85.742999999999995</v>
      </c>
      <c r="K582" s="1">
        <f>VALUE(IFERROR(VALUE('Raw Data'!K582),CONCATENATE(MID('Raw Data'!K582,3,2),".","0",LEFT('Raw Data'!K582,1),".", RIGHT('Raw Data'!K582,4))))</f>
        <v>43647</v>
      </c>
      <c r="L582" s="2">
        <f>'Raw Data'!L582</f>
        <v>0.52569444444444446</v>
      </c>
      <c r="M582" t="s">
        <v>29</v>
      </c>
      <c r="N582">
        <f>VALUE(IF(AND(ISERR(FIND(".",'Raw Data'!N582)),LEN('Raw Data'!N582)=5), IF(YEAR('Raw Data'!N582)=2026,CONCATENATE(DAY('Raw Data'!N582),".",IF(LEN(MONTH('Raw Data'!N582))=2,MONTH('Raw Data'!N582),CONCATENATE("0",MONTH('Raw Data'!N582)))),CONCATENATE(MONTH('Raw Data'!N582),".",RIGHT(YEAR('Raw Data'!N582),2))),'Raw Data'!N582))</f>
        <v>81.66</v>
      </c>
      <c r="O582" s="6">
        <f t="shared" si="28"/>
        <v>4.7619047619047601</v>
      </c>
      <c r="P582" s="6">
        <f t="shared" si="29"/>
        <v>4.0829999999999984</v>
      </c>
      <c r="Q582">
        <f>VALUE(IF(AND(ISERR(FIND(".",'Raw Data'!Q582)),LEN('Raw Data'!Q582)=5), IF(YEAR('Raw Data'!Q582)=2026,CONCATENATE(DAY('Raw Data'!Q582),".",IF(LEN(MONTH('Raw Data'!Q582))=2,MONTH('Raw Data'!Q582),CONCATENATE(MONTH('Raw Data'!Q582)))),CONCATENATE(MONTH('Raw Data'!Q582),".",RIGHT(YEAR('Raw Data'!Q582),2))),'Raw Data'!Q582))</f>
        <v>7.3</v>
      </c>
    </row>
    <row r="583" spans="1:17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f>VALUE(IF(AND(ISERR(FIND(".",'Raw Data'!G583)),LEN('Raw Data'!G583)=5), IF(YEAR('Raw Data'!G583)=2026,CONCATENATE(DAY('Raw Data'!G583),".",IF(LEN(MONTH('Raw Data'!G583))=2,MONTH('Raw Data'!G583),CONCATENATE("0",MONTH('Raw Data'!G583)))),CONCATENATE(MONTH('Raw Data'!G583),".",RIGHT(YEAR('Raw Data'!G583),2))),'Raw Data'!G583))</f>
        <v>77.680000000000007</v>
      </c>
      <c r="H583">
        <f>'Raw Data'!H583</f>
        <v>4</v>
      </c>
      <c r="I583" s="6">
        <f t="shared" si="27"/>
        <v>15.535999999999945</v>
      </c>
      <c r="J583" s="6">
        <f>'Raw Data'!J583</f>
        <v>326.25599999999997</v>
      </c>
      <c r="K583" s="1">
        <f>VALUE(IFERROR(VALUE('Raw Data'!K583),CONCATENATE(MID('Raw Data'!K583,3,2),".","0",LEFT('Raw Data'!K583,1),".", RIGHT('Raw Data'!K583,4))))</f>
        <v>43467</v>
      </c>
      <c r="L583" s="2">
        <f>'Raw Data'!L583</f>
        <v>0.82916666666666661</v>
      </c>
      <c r="M583" t="s">
        <v>29</v>
      </c>
      <c r="N583">
        <f>VALUE(IF(AND(ISERR(FIND(".",'Raw Data'!N583)),LEN('Raw Data'!N583)=5), IF(YEAR('Raw Data'!N583)=2026,CONCATENATE(DAY('Raw Data'!N583),".",IF(LEN(MONTH('Raw Data'!N583))=2,MONTH('Raw Data'!N583),CONCATENATE("0",MONTH('Raw Data'!N583)))),CONCATENATE(MONTH('Raw Data'!N583),".",RIGHT(YEAR('Raw Data'!N583),2))),'Raw Data'!N583))</f>
        <v>310.72000000000003</v>
      </c>
      <c r="O583" s="6">
        <f t="shared" si="28"/>
        <v>4.761904761904745</v>
      </c>
      <c r="P583" s="6">
        <f t="shared" si="29"/>
        <v>15.535999999999945</v>
      </c>
      <c r="Q583">
        <f>VALUE(IF(AND(ISERR(FIND(".",'Raw Data'!Q583)),LEN('Raw Data'!Q583)=5), IF(YEAR('Raw Data'!Q583)=2026,CONCATENATE(DAY('Raw Data'!Q583),".",IF(LEN(MONTH('Raw Data'!Q583))=2,MONTH('Raw Data'!Q583),CONCATENATE(MONTH('Raw Data'!Q583)))),CONCATENATE(MONTH('Raw Data'!Q583),".",RIGHT(YEAR('Raw Data'!Q583),2))),'Raw Data'!Q583))</f>
        <v>8.4</v>
      </c>
    </row>
    <row r="584" spans="1:17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43</v>
      </c>
      <c r="G584">
        <f>VALUE(IF(AND(ISERR(FIND(".",'Raw Data'!G584)),LEN('Raw Data'!G584)=5), IF(YEAR('Raw Data'!G584)=2026,CONCATENATE(DAY('Raw Data'!G584),".",IF(LEN(MONTH('Raw Data'!G584))=2,MONTH('Raw Data'!G584),CONCATENATE("0",MONTH('Raw Data'!G584)))),CONCATENATE(MONTH('Raw Data'!G584),".",RIGHT(YEAR('Raw Data'!G584),2))),'Raw Data'!G584))</f>
        <v>92.98</v>
      </c>
      <c r="H584">
        <f>'Raw Data'!H584</f>
        <v>2</v>
      </c>
      <c r="I584" s="6">
        <f t="shared" si="27"/>
        <v>9.2980000000000018</v>
      </c>
      <c r="J584" s="6">
        <f>'Raw Data'!J584</f>
        <v>195.25800000000001</v>
      </c>
      <c r="K584" s="1">
        <f>VALUE(IFERROR(VALUE('Raw Data'!K584),CONCATENATE(MID('Raw Data'!K584,3,2),".","0",LEFT('Raw Data'!K584,1),".", RIGHT('Raw Data'!K584,4))))</f>
        <v>43509</v>
      </c>
      <c r="L584" s="2">
        <f>'Raw Data'!L584</f>
        <v>0.62916666666666665</v>
      </c>
      <c r="M584" t="s">
        <v>33</v>
      </c>
      <c r="N584">
        <f>VALUE(IF(AND(ISERR(FIND(".",'Raw Data'!N584)),LEN('Raw Data'!N584)=5), IF(YEAR('Raw Data'!N584)=2026,CONCATENATE(DAY('Raw Data'!N584),".",IF(LEN(MONTH('Raw Data'!N584))=2,MONTH('Raw Data'!N584),CONCATENATE("0",MONTH('Raw Data'!N584)))),CONCATENATE(MONTH('Raw Data'!N584),".",RIGHT(YEAR('Raw Data'!N584),2))),'Raw Data'!N584))</f>
        <v>185.96</v>
      </c>
      <c r="O584" s="6">
        <f t="shared" si="28"/>
        <v>4.7619047619047628</v>
      </c>
      <c r="P584" s="6">
        <f t="shared" si="29"/>
        <v>9.2980000000000018</v>
      </c>
      <c r="Q584">
        <f>VALUE(IF(AND(ISERR(FIND(".",'Raw Data'!Q584)),LEN('Raw Data'!Q584)=5), IF(YEAR('Raw Data'!Q584)=2026,CONCATENATE(DAY('Raw Data'!Q584),".",IF(LEN(MONTH('Raw Data'!Q584))=2,MONTH('Raw Data'!Q584),CONCATENATE(MONTH('Raw Data'!Q584)))),CONCATENATE(MONTH('Raw Data'!Q584),".",RIGHT(YEAR('Raw Data'!Q584),2))),'Raw Data'!Q584))</f>
        <v>8</v>
      </c>
    </row>
    <row r="585" spans="1:17">
      <c r="A585" t="s">
        <v>672</v>
      </c>
      <c r="B585" t="s">
        <v>34</v>
      </c>
      <c r="C585" t="s">
        <v>35</v>
      </c>
      <c r="D585" t="s">
        <v>20</v>
      </c>
      <c r="E585" t="s">
        <v>21</v>
      </c>
      <c r="F585" t="s">
        <v>43</v>
      </c>
      <c r="G585">
        <f>VALUE(IF(AND(ISERR(FIND(".",'Raw Data'!G585)),LEN('Raw Data'!G585)=5), IF(YEAR('Raw Data'!G585)=2026,CONCATENATE(DAY('Raw Data'!G585),".",IF(LEN(MONTH('Raw Data'!G585))=2,MONTH('Raw Data'!G585),CONCATENATE("0",MONTH('Raw Data'!G585)))),CONCATENATE(MONTH('Raw Data'!G585),".",RIGHT(YEAR('Raw Data'!G585),2))),'Raw Data'!G585))</f>
        <v>18.079999999999998</v>
      </c>
      <c r="H585">
        <f>'Raw Data'!H585</f>
        <v>4</v>
      </c>
      <c r="I585" s="6">
        <f t="shared" si="27"/>
        <v>3.6160000000000139</v>
      </c>
      <c r="J585" s="6">
        <f>'Raw Data'!J585</f>
        <v>75.936000000000007</v>
      </c>
      <c r="K585" s="1">
        <f>VALUE(IFERROR(VALUE('Raw Data'!K585),CONCATENATE(MID('Raw Data'!K585,3,2),".","0",LEFT('Raw Data'!K585,1),".", RIGHT('Raw Data'!K585,4))))</f>
        <v>43479</v>
      </c>
      <c r="L585" s="2">
        <f>'Raw Data'!L585</f>
        <v>0.75208333333333333</v>
      </c>
      <c r="M585" t="s">
        <v>33</v>
      </c>
      <c r="N585">
        <f>VALUE(IF(AND(ISERR(FIND(".",'Raw Data'!N585)),LEN('Raw Data'!N585)=5), IF(YEAR('Raw Data'!N585)=2026,CONCATENATE(DAY('Raw Data'!N585),".",IF(LEN(MONTH('Raw Data'!N585))=2,MONTH('Raw Data'!N585),CONCATENATE("0",MONTH('Raw Data'!N585)))),CONCATENATE(MONTH('Raw Data'!N585),".",RIGHT(YEAR('Raw Data'!N585),2))),'Raw Data'!N585))</f>
        <v>72.319999999999993</v>
      </c>
      <c r="O585" s="6">
        <f t="shared" si="28"/>
        <v>4.7619047619047796</v>
      </c>
      <c r="P585" s="6">
        <f t="shared" si="29"/>
        <v>3.6160000000000139</v>
      </c>
      <c r="Q585">
        <f>VALUE(IF(AND(ISERR(FIND(".",'Raw Data'!Q585)),LEN('Raw Data'!Q585)=5), IF(YEAR('Raw Data'!Q585)=2026,CONCATENATE(DAY('Raw Data'!Q585),".",IF(LEN(MONTH('Raw Data'!Q585))=2,MONTH('Raw Data'!Q585),CONCATENATE(MONTH('Raw Data'!Q585)))),CONCATENATE(MONTH('Raw Data'!Q585),".",RIGHT(YEAR('Raw Data'!Q585),2))),'Raw Data'!Q585))</f>
        <v>9.5</v>
      </c>
    </row>
    <row r="586" spans="1:17">
      <c r="A586" t="s">
        <v>673</v>
      </c>
      <c r="B586" t="s">
        <v>34</v>
      </c>
      <c r="C586" t="s">
        <v>35</v>
      </c>
      <c r="D586" t="s">
        <v>27</v>
      </c>
      <c r="E586" t="s">
        <v>30</v>
      </c>
      <c r="F586" t="s">
        <v>38</v>
      </c>
      <c r="G586">
        <f>VALUE(IF(AND(ISERR(FIND(".",'Raw Data'!G586)),LEN('Raw Data'!G586)=5), IF(YEAR('Raw Data'!G586)=2026,CONCATENATE(DAY('Raw Data'!G586),".",IF(LEN(MONTH('Raw Data'!G586))=2,MONTH('Raw Data'!G586),CONCATENATE("0",MONTH('Raw Data'!G586)))),CONCATENATE(MONTH('Raw Data'!G586),".",RIGHT(YEAR('Raw Data'!G586),2))),'Raw Data'!G586))</f>
        <v>63.06</v>
      </c>
      <c r="H586">
        <f>'Raw Data'!H586</f>
        <v>3</v>
      </c>
      <c r="I586" s="6">
        <f t="shared" si="27"/>
        <v>9.4590000000000032</v>
      </c>
      <c r="J586" s="6">
        <f>'Raw Data'!J586</f>
        <v>198.63900000000001</v>
      </c>
      <c r="K586" s="1">
        <f>VALUE(IFERROR(VALUE('Raw Data'!K586),CONCATENATE(MID('Raw Data'!K586,3,2),".","0",LEFT('Raw Data'!K586,1),".", RIGHT('Raw Data'!K586,4))))</f>
        <v>43484</v>
      </c>
      <c r="L586" s="2">
        <f>'Raw Data'!L586</f>
        <v>0.66527777777777775</v>
      </c>
      <c r="M586" t="s">
        <v>23</v>
      </c>
      <c r="N586">
        <f>VALUE(IF(AND(ISERR(FIND(".",'Raw Data'!N586)),LEN('Raw Data'!N586)=5), IF(YEAR('Raw Data'!N586)=2026,CONCATENATE(DAY('Raw Data'!N586),".",IF(LEN(MONTH('Raw Data'!N586))=2,MONTH('Raw Data'!N586),CONCATENATE("0",MONTH('Raw Data'!N586)))),CONCATENATE(MONTH('Raw Data'!N586),".",RIGHT(YEAR('Raw Data'!N586),2))),'Raw Data'!N586))</f>
        <v>189.18</v>
      </c>
      <c r="O586" s="6">
        <f t="shared" si="28"/>
        <v>4.7619047619047628</v>
      </c>
      <c r="P586" s="6">
        <f t="shared" si="29"/>
        <v>9.4590000000000032</v>
      </c>
      <c r="Q586">
        <f>VALUE(IF(AND(ISERR(FIND(".",'Raw Data'!Q586)),LEN('Raw Data'!Q586)=5), IF(YEAR('Raw Data'!Q586)=2026,CONCATENATE(DAY('Raw Data'!Q586),".",IF(LEN(MONTH('Raw Data'!Q586))=2,MONTH('Raw Data'!Q586),CONCATENATE(MONTH('Raw Data'!Q586)))),CONCATENATE(MONTH('Raw Data'!Q586),".",RIGHT(YEAR('Raw Data'!Q586),2))),'Raw Data'!Q586))</f>
        <v>7</v>
      </c>
    </row>
    <row r="587" spans="1:17">
      <c r="A587" t="s">
        <v>674</v>
      </c>
      <c r="B587" t="s">
        <v>18</v>
      </c>
      <c r="C587" t="s">
        <v>19</v>
      </c>
      <c r="D587" t="s">
        <v>27</v>
      </c>
      <c r="E587" t="s">
        <v>30</v>
      </c>
      <c r="F587" t="s">
        <v>22</v>
      </c>
      <c r="G587">
        <f>VALUE(IF(AND(ISERR(FIND(".",'Raw Data'!G587)),LEN('Raw Data'!G587)=5), IF(YEAR('Raw Data'!G587)=2026,CONCATENATE(DAY('Raw Data'!G587),".",IF(LEN(MONTH('Raw Data'!G587))=2,MONTH('Raw Data'!G587),CONCATENATE("0",MONTH('Raw Data'!G587)))),CONCATENATE(MONTH('Raw Data'!G587),".",RIGHT(YEAR('Raw Data'!G587),2))),'Raw Data'!G587))</f>
        <v>51.71</v>
      </c>
      <c r="H587">
        <f>'Raw Data'!H587</f>
        <v>4</v>
      </c>
      <c r="I587" s="6">
        <f t="shared" si="27"/>
        <v>10.341999999999985</v>
      </c>
      <c r="J587" s="6">
        <f>'Raw Data'!J587</f>
        <v>217.18199999999999</v>
      </c>
      <c r="K587" s="1">
        <f>VALUE(IFERROR(VALUE('Raw Data'!K587),CONCATENATE(MID('Raw Data'!K587,3,2),".","0",LEFT('Raw Data'!K587,1),".", RIGHT('Raw Data'!K587,4))))</f>
        <v>43711</v>
      </c>
      <c r="L587" s="2">
        <f>'Raw Data'!L587</f>
        <v>0.57847222222222217</v>
      </c>
      <c r="M587" t="s">
        <v>33</v>
      </c>
      <c r="N587">
        <f>VALUE(IF(AND(ISERR(FIND(".",'Raw Data'!N587)),LEN('Raw Data'!N587)=5), IF(YEAR('Raw Data'!N587)=2026,CONCATENATE(DAY('Raw Data'!N587),".",IF(LEN(MONTH('Raw Data'!N587))=2,MONTH('Raw Data'!N587),CONCATENATE("0",MONTH('Raw Data'!N587)))),CONCATENATE(MONTH('Raw Data'!N587),".",RIGHT(YEAR('Raw Data'!N587),2))),'Raw Data'!N587))</f>
        <v>206.84</v>
      </c>
      <c r="O587" s="6">
        <f t="shared" si="28"/>
        <v>4.7619047619047556</v>
      </c>
      <c r="P587" s="6">
        <f t="shared" si="29"/>
        <v>10.341999999999985</v>
      </c>
      <c r="Q587">
        <f>VALUE(IF(AND(ISERR(FIND(".",'Raw Data'!Q587)),LEN('Raw Data'!Q587)=5), IF(YEAR('Raw Data'!Q587)=2026,CONCATENATE(DAY('Raw Data'!Q587),".",IF(LEN(MONTH('Raw Data'!Q587))=2,MONTH('Raw Data'!Q587),CONCATENATE(MONTH('Raw Data'!Q587)))),CONCATENATE(MONTH('Raw Data'!Q587),".",RIGHT(YEAR('Raw Data'!Q587),2))),'Raw Data'!Q587))</f>
        <v>9.8000000000000007</v>
      </c>
    </row>
    <row r="588" spans="1:17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40</v>
      </c>
      <c r="G588">
        <f>VALUE(IF(AND(ISERR(FIND(".",'Raw Data'!G588)),LEN('Raw Data'!G588)=5), IF(YEAR('Raw Data'!G588)=2026,CONCATENATE(DAY('Raw Data'!G588),".",IF(LEN(MONTH('Raw Data'!G588))=2,MONTH('Raw Data'!G588),CONCATENATE("0",MONTH('Raw Data'!G588)))),CONCATENATE(MONTH('Raw Data'!G588),".",RIGHT(YEAR('Raw Data'!G588),2))),'Raw Data'!G588))</f>
        <v>52.34</v>
      </c>
      <c r="H588">
        <f>'Raw Data'!H588</f>
        <v>3</v>
      </c>
      <c r="I588" s="6">
        <f t="shared" si="27"/>
        <v>7.8509999999999991</v>
      </c>
      <c r="J588" s="6">
        <f>'Raw Data'!J588</f>
        <v>164.87100000000001</v>
      </c>
      <c r="K588" s="1">
        <f>VALUE(IFERROR(VALUE('Raw Data'!K588),CONCATENATE(MID('Raw Data'!K588,3,2),".","0",LEFT('Raw Data'!K588,1),".", RIGHT('Raw Data'!K588,4))))</f>
        <v>43551</v>
      </c>
      <c r="L588" s="2">
        <f>'Raw Data'!L588</f>
        <v>0.5854166666666667</v>
      </c>
      <c r="M588" t="s">
        <v>29</v>
      </c>
      <c r="N588">
        <f>VALUE(IF(AND(ISERR(FIND(".",'Raw Data'!N588)),LEN('Raw Data'!N588)=5), IF(YEAR('Raw Data'!N588)=2026,CONCATENATE(DAY('Raw Data'!N588),".",IF(LEN(MONTH('Raw Data'!N588))=2,MONTH('Raw Data'!N588),CONCATENATE("0",MONTH('Raw Data'!N588)))),CONCATENATE(MONTH('Raw Data'!N588),".",RIGHT(YEAR('Raw Data'!N588),2))),'Raw Data'!N588))</f>
        <v>157.02000000000001</v>
      </c>
      <c r="O588" s="6">
        <f t="shared" si="28"/>
        <v>4.761904761904761</v>
      </c>
      <c r="P588" s="6">
        <f t="shared" si="29"/>
        <v>7.8509999999999991</v>
      </c>
      <c r="Q588">
        <f>VALUE(IF(AND(ISERR(FIND(".",'Raw Data'!Q588)),LEN('Raw Data'!Q588)=5), IF(YEAR('Raw Data'!Q588)=2026,CONCATENATE(DAY('Raw Data'!Q588),".",IF(LEN(MONTH('Raw Data'!Q588))=2,MONTH('Raw Data'!Q588),CONCATENATE(MONTH('Raw Data'!Q588)))),CONCATENATE(MONTH('Raw Data'!Q588),".",RIGHT(YEAR('Raw Data'!Q588),2))),'Raw Data'!Q588))</f>
        <v>9.1999999999999993</v>
      </c>
    </row>
    <row r="589" spans="1:17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38</v>
      </c>
      <c r="G589">
        <f>VALUE(IF(AND(ISERR(FIND(".",'Raw Data'!G589)),LEN('Raw Data'!G589)=5), IF(YEAR('Raw Data'!G589)=2026,CONCATENATE(DAY('Raw Data'!G589),".",IF(LEN(MONTH('Raw Data'!G589))=2,MONTH('Raw Data'!G589),CONCATENATE("0",MONTH('Raw Data'!G589)))),CONCATENATE(MONTH('Raw Data'!G589),".",RIGHT(YEAR('Raw Data'!G589),2))),'Raw Data'!G589))</f>
        <v>43.06</v>
      </c>
      <c r="H589">
        <f>'Raw Data'!H589</f>
        <v>5</v>
      </c>
      <c r="I589" s="6">
        <f t="shared" si="27"/>
        <v>10.764999999999986</v>
      </c>
      <c r="J589" s="6">
        <f>'Raw Data'!J589</f>
        <v>226.065</v>
      </c>
      <c r="K589" s="1">
        <f>VALUE(IFERROR(VALUE('Raw Data'!K589),CONCATENATE(MID('Raw Data'!K589,3,2),".","0",LEFT('Raw Data'!K589,1),".", RIGHT('Raw Data'!K589,4))))</f>
        <v>43557</v>
      </c>
      <c r="L589" s="2">
        <f>'Raw Data'!L589</f>
        <v>0.69305555555555554</v>
      </c>
      <c r="M589" t="s">
        <v>23</v>
      </c>
      <c r="N589">
        <f>VALUE(IF(AND(ISERR(FIND(".",'Raw Data'!N589)),LEN('Raw Data'!N589)=5), IF(YEAR('Raw Data'!N589)=2026,CONCATENATE(DAY('Raw Data'!N589),".",IF(LEN(MONTH('Raw Data'!N589))=2,MONTH('Raw Data'!N589),CONCATENATE("0",MONTH('Raw Data'!N589)))),CONCATENATE(MONTH('Raw Data'!N589),".",RIGHT(YEAR('Raw Data'!N589),2))),'Raw Data'!N589))</f>
        <v>215.3</v>
      </c>
      <c r="O589" s="6">
        <f t="shared" si="28"/>
        <v>4.7619047619047556</v>
      </c>
      <c r="P589" s="6">
        <f t="shared" si="29"/>
        <v>10.764999999999986</v>
      </c>
      <c r="Q589">
        <f>VALUE(IF(AND(ISERR(FIND(".",'Raw Data'!Q589)),LEN('Raw Data'!Q589)=5), IF(YEAR('Raw Data'!Q589)=2026,CONCATENATE(DAY('Raw Data'!Q589),".",IF(LEN(MONTH('Raw Data'!Q589))=2,MONTH('Raw Data'!Q589),CONCATENATE(MONTH('Raw Data'!Q589)))),CONCATENATE(MONTH('Raw Data'!Q589),".",RIGHT(YEAR('Raw Data'!Q589),2))),'Raw Data'!Q589))</f>
        <v>7.7</v>
      </c>
    </row>
    <row r="590" spans="1:17">
      <c r="A590" t="s">
        <v>677</v>
      </c>
      <c r="B590" t="s">
        <v>25</v>
      </c>
      <c r="C590" t="s">
        <v>26</v>
      </c>
      <c r="D590" t="s">
        <v>27</v>
      </c>
      <c r="E590" t="s">
        <v>30</v>
      </c>
      <c r="F590" t="s">
        <v>43</v>
      </c>
      <c r="G590">
        <f>VALUE(IF(AND(ISERR(FIND(".",'Raw Data'!G590)),LEN('Raw Data'!G590)=5), IF(YEAR('Raw Data'!G590)=2026,CONCATENATE(DAY('Raw Data'!G590),".",IF(LEN(MONTH('Raw Data'!G590))=2,MONTH('Raw Data'!G590),CONCATENATE("0",MONTH('Raw Data'!G590)))),CONCATENATE(MONTH('Raw Data'!G590),".",RIGHT(YEAR('Raw Data'!G590),2))),'Raw Data'!G590))</f>
        <v>59.61</v>
      </c>
      <c r="H590">
        <f>'Raw Data'!H590</f>
        <v>10</v>
      </c>
      <c r="I590" s="6">
        <f t="shared" si="27"/>
        <v>29.80499999999995</v>
      </c>
      <c r="J590" s="6">
        <f>'Raw Data'!J590</f>
        <v>625.90499999999997</v>
      </c>
      <c r="K590" s="1">
        <f>VALUE(IFERROR(VALUE('Raw Data'!K590),CONCATENATE(MID('Raw Data'!K590,3,2),".","0",LEFT('Raw Data'!K590,1),".", RIGHT('Raw Data'!K590,4))))</f>
        <v>43538</v>
      </c>
      <c r="L590" s="2">
        <f>'Raw Data'!L590</f>
        <v>0.46319444444444446</v>
      </c>
      <c r="M590" t="s">
        <v>29</v>
      </c>
      <c r="N590">
        <f>VALUE(IF(AND(ISERR(FIND(".",'Raw Data'!N590)),LEN('Raw Data'!N590)=5), IF(YEAR('Raw Data'!N590)=2026,CONCATENATE(DAY('Raw Data'!N590),".",IF(LEN(MONTH('Raw Data'!N590))=2,MONTH('Raw Data'!N590),CONCATENATE("0",MONTH('Raw Data'!N590)))),CONCATENATE(MONTH('Raw Data'!N590),".",RIGHT(YEAR('Raw Data'!N590),2))),'Raw Data'!N590))</f>
        <v>596.1</v>
      </c>
      <c r="O590" s="6">
        <f t="shared" si="28"/>
        <v>4.7619047619047539</v>
      </c>
      <c r="P590" s="6">
        <f t="shared" si="29"/>
        <v>29.80499999999995</v>
      </c>
      <c r="Q590">
        <f>VALUE(IF(AND(ISERR(FIND(".",'Raw Data'!Q590)),LEN('Raw Data'!Q590)=5), IF(YEAR('Raw Data'!Q590)=2026,CONCATENATE(DAY('Raw Data'!Q590),".",IF(LEN(MONTH('Raw Data'!Q590))=2,MONTH('Raw Data'!Q590),CONCATENATE(MONTH('Raw Data'!Q590)))),CONCATENATE(MONTH('Raw Data'!Q590),".",RIGHT(YEAR('Raw Data'!Q590),2))),'Raw Data'!Q590))</f>
        <v>5.3</v>
      </c>
    </row>
    <row r="591" spans="1:17">
      <c r="A591" t="s">
        <v>678</v>
      </c>
      <c r="B591" t="s">
        <v>18</v>
      </c>
      <c r="C591" t="s">
        <v>19</v>
      </c>
      <c r="D591" t="s">
        <v>27</v>
      </c>
      <c r="E591" t="s">
        <v>30</v>
      </c>
      <c r="F591" t="s">
        <v>22</v>
      </c>
      <c r="G591">
        <f>VALUE(IF(AND(ISERR(FIND(".",'Raw Data'!G591)),LEN('Raw Data'!G591)=5), IF(YEAR('Raw Data'!G591)=2026,CONCATENATE(DAY('Raw Data'!G591),".",IF(LEN(MONTH('Raw Data'!G591))=2,MONTH('Raw Data'!G591),CONCATENATE("0",MONTH('Raw Data'!G591)))),CONCATENATE(MONTH('Raw Data'!G591),".",RIGHT(YEAR('Raw Data'!G591),2))),'Raw Data'!G591))</f>
        <v>14.62</v>
      </c>
      <c r="H591">
        <f>'Raw Data'!H591</f>
        <v>5</v>
      </c>
      <c r="I591" s="6">
        <f t="shared" si="27"/>
        <v>3.6550000000000011</v>
      </c>
      <c r="J591" s="6">
        <f>'Raw Data'!J591</f>
        <v>76.754999999999995</v>
      </c>
      <c r="K591" s="1">
        <f>VALUE(IFERROR(VALUE('Raw Data'!K591),CONCATENATE(MID('Raw Data'!K591,3,2),".","0",LEFT('Raw Data'!K591,1),".", RIGHT('Raw Data'!K591,4))))</f>
        <v>43558</v>
      </c>
      <c r="L591" s="2">
        <f>'Raw Data'!L591</f>
        <v>0.51597222222222217</v>
      </c>
      <c r="M591" t="s">
        <v>29</v>
      </c>
      <c r="N591">
        <f>VALUE(IF(AND(ISERR(FIND(".",'Raw Data'!N591)),LEN('Raw Data'!N591)=5), IF(YEAR('Raw Data'!N591)=2026,CONCATENATE(DAY('Raw Data'!N591),".",IF(LEN(MONTH('Raw Data'!N591))=2,MONTH('Raw Data'!N591),CONCATENATE("0",MONTH('Raw Data'!N591)))),CONCATENATE(MONTH('Raw Data'!N591),".",RIGHT(YEAR('Raw Data'!N591),2))),'Raw Data'!N591))</f>
        <v>73.099999999999994</v>
      </c>
      <c r="O591" s="6">
        <f t="shared" si="28"/>
        <v>4.7619047619047636</v>
      </c>
      <c r="P591" s="6">
        <f t="shared" si="29"/>
        <v>3.6550000000000011</v>
      </c>
      <c r="Q591">
        <f>VALUE(IF(AND(ISERR(FIND(".",'Raw Data'!Q591)),LEN('Raw Data'!Q591)=5), IF(YEAR('Raw Data'!Q591)=2026,CONCATENATE(DAY('Raw Data'!Q591),".",IF(LEN(MONTH('Raw Data'!Q591))=2,MONTH('Raw Data'!Q591),CONCATENATE(MONTH('Raw Data'!Q591)))),CONCATENATE(MONTH('Raw Data'!Q591),".",RIGHT(YEAR('Raw Data'!Q591),2))),'Raw Data'!Q591))</f>
        <v>4.4000000000000004</v>
      </c>
    </row>
    <row r="592" spans="1:17">
      <c r="A592" t="s">
        <v>679</v>
      </c>
      <c r="B592" t="s">
        <v>25</v>
      </c>
      <c r="C592" t="s">
        <v>26</v>
      </c>
      <c r="D592" t="s">
        <v>20</v>
      </c>
      <c r="E592" t="s">
        <v>30</v>
      </c>
      <c r="F592" t="s">
        <v>22</v>
      </c>
      <c r="G592">
        <f>VALUE(IF(AND(ISERR(FIND(".",'Raw Data'!G592)),LEN('Raw Data'!G592)=5), IF(YEAR('Raw Data'!G592)=2026,CONCATENATE(DAY('Raw Data'!G592),".",IF(LEN(MONTH('Raw Data'!G592))=2,MONTH('Raw Data'!G592),CONCATENATE("0",MONTH('Raw Data'!G592)))),CONCATENATE(MONTH('Raw Data'!G592),".",RIGHT(YEAR('Raw Data'!G592),2))),'Raw Data'!G592))</f>
        <v>46.53</v>
      </c>
      <c r="H592">
        <f>'Raw Data'!H592</f>
        <v>6</v>
      </c>
      <c r="I592" s="6">
        <f t="shared" si="27"/>
        <v>13.959000000000003</v>
      </c>
      <c r="J592" s="6">
        <f>'Raw Data'!J592</f>
        <v>293.13900000000001</v>
      </c>
      <c r="K592" s="1">
        <f>VALUE(IFERROR(VALUE('Raw Data'!K592),CONCATENATE(MID('Raw Data'!K592,3,2),".","0",LEFT('Raw Data'!K592,1),".", RIGHT('Raw Data'!K592,4))))</f>
        <v>43527</v>
      </c>
      <c r="L592" s="2">
        <f>'Raw Data'!L592</f>
        <v>0.45416666666666666</v>
      </c>
      <c r="M592" t="s">
        <v>33</v>
      </c>
      <c r="N592">
        <f>VALUE(IF(AND(ISERR(FIND(".",'Raw Data'!N592)),LEN('Raw Data'!N592)=5), IF(YEAR('Raw Data'!N592)=2026,CONCATENATE(DAY('Raw Data'!N592),".",IF(LEN(MONTH('Raw Data'!N592))=2,MONTH('Raw Data'!N592),CONCATENATE("0",MONTH('Raw Data'!N592)))),CONCATENATE(MONTH('Raw Data'!N592),".",RIGHT(YEAR('Raw Data'!N592),2))),'Raw Data'!N592))</f>
        <v>279.18</v>
      </c>
      <c r="O592" s="6">
        <f t="shared" si="28"/>
        <v>4.7619047619047628</v>
      </c>
      <c r="P592" s="6">
        <f t="shared" si="29"/>
        <v>13.959000000000003</v>
      </c>
      <c r="Q592">
        <f>VALUE(IF(AND(ISERR(FIND(".",'Raw Data'!Q592)),LEN('Raw Data'!Q592)=5), IF(YEAR('Raw Data'!Q592)=2026,CONCATENATE(DAY('Raw Data'!Q592),".",IF(LEN(MONTH('Raw Data'!Q592))=2,MONTH('Raw Data'!Q592),CONCATENATE(MONTH('Raw Data'!Q592)))),CONCATENATE(MONTH('Raw Data'!Q592),".",RIGHT(YEAR('Raw Data'!Q592),2))),'Raw Data'!Q592))</f>
        <v>4.3</v>
      </c>
    </row>
    <row r="593" spans="1:17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f>VALUE(IF(AND(ISERR(FIND(".",'Raw Data'!G593)),LEN('Raw Data'!G593)=5), IF(YEAR('Raw Data'!G593)=2026,CONCATENATE(DAY('Raw Data'!G593),".",IF(LEN(MONTH('Raw Data'!G593))=2,MONTH('Raw Data'!G593),CONCATENATE("0",MONTH('Raw Data'!G593)))),CONCATENATE(MONTH('Raw Data'!G593),".",RIGHT(YEAR('Raw Data'!G593),2))),'Raw Data'!G593))</f>
        <v>24.24</v>
      </c>
      <c r="H593">
        <f>'Raw Data'!H593</f>
        <v>7</v>
      </c>
      <c r="I593" s="6">
        <f t="shared" si="27"/>
        <v>8.4840000000000089</v>
      </c>
      <c r="J593" s="6">
        <f>'Raw Data'!J593</f>
        <v>178.16399999999999</v>
      </c>
      <c r="K593" s="1">
        <f>VALUE(IFERROR(VALUE('Raw Data'!K593),CONCATENATE(MID('Raw Data'!K593,3,2),".","0",LEFT('Raw Data'!K593,1),".", RIGHT('Raw Data'!K593,4))))</f>
        <v>43492</v>
      </c>
      <c r="L593" s="2">
        <f>'Raw Data'!L593</f>
        <v>0.73472222222222217</v>
      </c>
      <c r="M593" t="s">
        <v>23</v>
      </c>
      <c r="N593">
        <f>VALUE(IF(AND(ISERR(FIND(".",'Raw Data'!N593)),LEN('Raw Data'!N593)=5), IF(YEAR('Raw Data'!N593)=2026,CONCATENATE(DAY('Raw Data'!N593),".",IF(LEN(MONTH('Raw Data'!N593))=2,MONTH('Raw Data'!N593),CONCATENATE("0",MONTH('Raw Data'!N593)))),CONCATENATE(MONTH('Raw Data'!N593),".",RIGHT(YEAR('Raw Data'!N593),2))),'Raw Data'!N593))</f>
        <v>169.68</v>
      </c>
      <c r="O593" s="6">
        <f t="shared" si="28"/>
        <v>4.7619047619047512</v>
      </c>
      <c r="P593" s="6">
        <f t="shared" si="29"/>
        <v>8.4839999999999804</v>
      </c>
      <c r="Q593">
        <f>VALUE(IF(AND(ISERR(FIND(".",'Raw Data'!Q593)),LEN('Raw Data'!Q593)=5), IF(YEAR('Raw Data'!Q593)=2026,CONCATENATE(DAY('Raw Data'!Q593),".",IF(LEN(MONTH('Raw Data'!Q593))=2,MONTH('Raw Data'!Q593),CONCATENATE(MONTH('Raw Data'!Q593)))),CONCATENATE(MONTH('Raw Data'!Q593),".",RIGHT(YEAR('Raw Data'!Q593),2))),'Raw Data'!Q593))</f>
        <v>9.4</v>
      </c>
    </row>
    <row r="594" spans="1:17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38</v>
      </c>
      <c r="G594">
        <f>VALUE(IF(AND(ISERR(FIND(".",'Raw Data'!G594)),LEN('Raw Data'!G594)=5), IF(YEAR('Raw Data'!G594)=2026,CONCATENATE(DAY('Raw Data'!G594),".",IF(LEN(MONTH('Raw Data'!G594))=2,MONTH('Raw Data'!G594),CONCATENATE("0",MONTH('Raw Data'!G594)))),CONCATENATE(MONTH('Raw Data'!G594),".",RIGHT(YEAR('Raw Data'!G594),2))),'Raw Data'!G594))</f>
        <v>45.58</v>
      </c>
      <c r="H594">
        <f>'Raw Data'!H594</f>
        <v>1</v>
      </c>
      <c r="I594" s="6">
        <f t="shared" si="27"/>
        <v>2.2790000000000035</v>
      </c>
      <c r="J594" s="6">
        <f>'Raw Data'!J594</f>
        <v>47.859000000000002</v>
      </c>
      <c r="K594" s="1">
        <f>VALUE(IFERROR(VALUE('Raw Data'!K594),CONCATENATE(MID('Raw Data'!K594,3,2),".","0",LEFT('Raw Data'!K594,1),".", RIGHT('Raw Data'!K594,4))))</f>
        <v>43648</v>
      </c>
      <c r="L594" s="2">
        <f>'Raw Data'!L594</f>
        <v>0.59236111111111112</v>
      </c>
      <c r="M594" t="s">
        <v>29</v>
      </c>
      <c r="N594">
        <f>VALUE(IF(AND(ISERR(FIND(".",'Raw Data'!N594)),LEN('Raw Data'!N594)=5), IF(YEAR('Raw Data'!N594)=2026,CONCATENATE(DAY('Raw Data'!N594),".",IF(LEN(MONTH('Raw Data'!N594))=2,MONTH('Raw Data'!N594),CONCATENATE("0",MONTH('Raw Data'!N594)))),CONCATENATE(MONTH('Raw Data'!N594),".",RIGHT(YEAR('Raw Data'!N594),2))),'Raw Data'!N594))</f>
        <v>45.58</v>
      </c>
      <c r="O594" s="6">
        <f t="shared" si="28"/>
        <v>4.761904761904769</v>
      </c>
      <c r="P594" s="6">
        <f t="shared" si="29"/>
        <v>2.2790000000000035</v>
      </c>
      <c r="Q594">
        <f>VALUE(IF(AND(ISERR(FIND(".",'Raw Data'!Q594)),LEN('Raw Data'!Q594)=5), IF(YEAR('Raw Data'!Q594)=2026,CONCATENATE(DAY('Raw Data'!Q594),".",IF(LEN(MONTH('Raw Data'!Q594))=2,MONTH('Raw Data'!Q594),CONCATENATE(MONTH('Raw Data'!Q594)))),CONCATENATE(MONTH('Raw Data'!Q594),".",RIGHT(YEAR('Raw Data'!Q594),2))),'Raw Data'!Q594))</f>
        <v>9.8000000000000007</v>
      </c>
    </row>
    <row r="595" spans="1:17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38</v>
      </c>
      <c r="G595">
        <f>VALUE(IF(AND(ISERR(FIND(".",'Raw Data'!G595)),LEN('Raw Data'!G595)=5), IF(YEAR('Raw Data'!G595)=2026,CONCATENATE(DAY('Raw Data'!G595),".",IF(LEN(MONTH('Raw Data'!G595))=2,MONTH('Raw Data'!G595),CONCATENATE("0",MONTH('Raw Data'!G595)))),CONCATENATE(MONTH('Raw Data'!G595),".",RIGHT(YEAR('Raw Data'!G595),2))),'Raw Data'!G595))</f>
        <v>75.2</v>
      </c>
      <c r="H595">
        <f>'Raw Data'!H595</f>
        <v>3</v>
      </c>
      <c r="I595" s="6">
        <f t="shared" si="27"/>
        <v>11.279999999999973</v>
      </c>
      <c r="J595" s="6">
        <f>'Raw Data'!J595</f>
        <v>236.88</v>
      </c>
      <c r="K595" s="1">
        <f>VALUE(IFERROR(VALUE('Raw Data'!K595),CONCATENATE(MID('Raw Data'!K595,3,2),".","0",LEFT('Raw Data'!K595,1),".", RIGHT('Raw Data'!K595,4))))</f>
        <v>43587</v>
      </c>
      <c r="L595" s="2">
        <f>'Raw Data'!L595</f>
        <v>0.49374999999999997</v>
      </c>
      <c r="M595" t="s">
        <v>23</v>
      </c>
      <c r="N595">
        <f>VALUE(IF(AND(ISERR(FIND(".",'Raw Data'!N595)),LEN('Raw Data'!N595)=5), IF(YEAR('Raw Data'!N595)=2026,CONCATENATE(DAY('Raw Data'!N595),".",IF(LEN(MONTH('Raw Data'!N595))=2,MONTH('Raw Data'!N595),CONCATENATE("0",MONTH('Raw Data'!N595)))),CONCATENATE(MONTH('Raw Data'!N595),".",RIGHT(YEAR('Raw Data'!N595),2))),'Raw Data'!N595))</f>
        <v>225.6</v>
      </c>
      <c r="O595" s="6">
        <f t="shared" si="28"/>
        <v>4.7619047619047628</v>
      </c>
      <c r="P595" s="6">
        <f t="shared" si="29"/>
        <v>11.280000000000001</v>
      </c>
      <c r="Q595">
        <f>VALUE(IF(AND(ISERR(FIND(".",'Raw Data'!Q595)),LEN('Raw Data'!Q595)=5), IF(YEAR('Raw Data'!Q595)=2026,CONCATENATE(DAY('Raw Data'!Q595),".",IF(LEN(MONTH('Raw Data'!Q595))=2,MONTH('Raw Data'!Q595),CONCATENATE(MONTH('Raw Data'!Q595)))),CONCATENATE(MONTH('Raw Data'!Q595),".",RIGHT(YEAR('Raw Data'!Q595),2))),'Raw Data'!Q595))</f>
        <v>4.8</v>
      </c>
    </row>
    <row r="596" spans="1:17">
      <c r="A596" t="s">
        <v>683</v>
      </c>
      <c r="B596" t="s">
        <v>34</v>
      </c>
      <c r="C596" t="s">
        <v>35</v>
      </c>
      <c r="D596" t="s">
        <v>20</v>
      </c>
      <c r="E596" t="s">
        <v>30</v>
      </c>
      <c r="F596" t="s">
        <v>38</v>
      </c>
      <c r="G596">
        <f>VALUE(IF(AND(ISERR(FIND(".",'Raw Data'!G596)),LEN('Raw Data'!G596)=5), IF(YEAR('Raw Data'!G596)=2026,CONCATENATE(DAY('Raw Data'!G596),".",IF(LEN(MONTH('Raw Data'!G596))=2,MONTH('Raw Data'!G596),CONCATENATE("0",MONTH('Raw Data'!G596)))),CONCATENATE(MONTH('Raw Data'!G596),".",RIGHT(YEAR('Raw Data'!G596),2))),'Raw Data'!G596))</f>
        <v>96.8</v>
      </c>
      <c r="H596">
        <f>'Raw Data'!H596</f>
        <v>3</v>
      </c>
      <c r="I596" s="6">
        <f t="shared" si="27"/>
        <v>14.520000000000039</v>
      </c>
      <c r="J596" s="6">
        <f>'Raw Data'!J596</f>
        <v>304.92</v>
      </c>
      <c r="K596" s="1">
        <f>VALUE(IFERROR(VALUE('Raw Data'!K596),CONCATENATE(MID('Raw Data'!K596,3,2),".","0",LEFT('Raw Data'!K596,1),".", RIGHT('Raw Data'!K596,4))))</f>
        <v>43539</v>
      </c>
      <c r="L596" s="2">
        <f>'Raw Data'!L596</f>
        <v>0.54513888888888895</v>
      </c>
      <c r="M596" t="s">
        <v>29</v>
      </c>
      <c r="N596">
        <f>VALUE(IF(AND(ISERR(FIND(".",'Raw Data'!N596)),LEN('Raw Data'!N596)=5), IF(YEAR('Raw Data'!N596)=2026,CONCATENATE(DAY('Raw Data'!N596),".",IF(LEN(MONTH('Raw Data'!N596))=2,MONTH('Raw Data'!N596),CONCATENATE("0",MONTH('Raw Data'!N596)))),CONCATENATE(MONTH('Raw Data'!N596),".",RIGHT(YEAR('Raw Data'!N596),2))),'Raw Data'!N596))</f>
        <v>290.39999999999998</v>
      </c>
      <c r="O596" s="6">
        <f t="shared" si="28"/>
        <v>4.7619047619047743</v>
      </c>
      <c r="P596" s="6">
        <f t="shared" si="29"/>
        <v>14.520000000000039</v>
      </c>
      <c r="Q596">
        <f>VALUE(IF(AND(ISERR(FIND(".",'Raw Data'!Q596)),LEN('Raw Data'!Q596)=5), IF(YEAR('Raw Data'!Q596)=2026,CONCATENATE(DAY('Raw Data'!Q596),".",IF(LEN(MONTH('Raw Data'!Q596))=2,MONTH('Raw Data'!Q596),CONCATENATE(MONTH('Raw Data'!Q596)))),CONCATENATE(MONTH('Raw Data'!Q596),".",RIGHT(YEAR('Raw Data'!Q596),2))),'Raw Data'!Q596))</f>
        <v>5.3</v>
      </c>
    </row>
    <row r="597" spans="1:17">
      <c r="A597" t="s">
        <v>684</v>
      </c>
      <c r="B597" t="s">
        <v>34</v>
      </c>
      <c r="C597" t="s">
        <v>35</v>
      </c>
      <c r="D597" t="s">
        <v>27</v>
      </c>
      <c r="E597" t="s">
        <v>30</v>
      </c>
      <c r="F597" t="s">
        <v>22</v>
      </c>
      <c r="G597">
        <f>VALUE(IF(AND(ISERR(FIND(".",'Raw Data'!G597)),LEN('Raw Data'!G597)=5), IF(YEAR('Raw Data'!G597)=2026,CONCATENATE(DAY('Raw Data'!G597),".",IF(LEN(MONTH('Raw Data'!G597))=2,MONTH('Raw Data'!G597),CONCATENATE("0",MONTH('Raw Data'!G597)))),CONCATENATE(MONTH('Raw Data'!G597),".",RIGHT(YEAR('Raw Data'!G597),2))),'Raw Data'!G597))</f>
        <v>14.82</v>
      </c>
      <c r="H597">
        <f>'Raw Data'!H597</f>
        <v>3</v>
      </c>
      <c r="I597" s="6">
        <f t="shared" si="27"/>
        <v>2.222999999999999</v>
      </c>
      <c r="J597" s="6">
        <f>'Raw Data'!J597</f>
        <v>46.683</v>
      </c>
      <c r="K597" s="1">
        <f>VALUE(IFERROR(VALUE('Raw Data'!K597),CONCATENATE(MID('Raw Data'!K597,3,2),".","0",LEFT('Raw Data'!K597,1),".", RIGHT('Raw Data'!K597,4))))</f>
        <v>43468</v>
      </c>
      <c r="L597" s="2">
        <f>'Raw Data'!L597</f>
        <v>0.47916666666666669</v>
      </c>
      <c r="M597" t="s">
        <v>33</v>
      </c>
      <c r="N597">
        <f>VALUE(IF(AND(ISERR(FIND(".",'Raw Data'!N597)),LEN('Raw Data'!N597)=5), IF(YEAR('Raw Data'!N597)=2026,CONCATENATE(DAY('Raw Data'!N597),".",IF(LEN(MONTH('Raw Data'!N597))=2,MONTH('Raw Data'!N597),CONCATENATE("0",MONTH('Raw Data'!N597)))),CONCATENATE(MONTH('Raw Data'!N597),".",RIGHT(YEAR('Raw Data'!N597),2))),'Raw Data'!N597))</f>
        <v>44.46</v>
      </c>
      <c r="O597" s="6">
        <f t="shared" si="28"/>
        <v>4.7619047619047592</v>
      </c>
      <c r="P597" s="6">
        <f t="shared" si="29"/>
        <v>2.222999999999999</v>
      </c>
      <c r="Q597">
        <f>VALUE(IF(AND(ISERR(FIND(".",'Raw Data'!Q597)),LEN('Raw Data'!Q597)=5), IF(YEAR('Raw Data'!Q597)=2026,CONCATENATE(DAY('Raw Data'!Q597),".",IF(LEN(MONTH('Raw Data'!Q597))=2,MONTH('Raw Data'!Q597),CONCATENATE(MONTH('Raw Data'!Q597)))),CONCATENATE(MONTH('Raw Data'!Q597),".",RIGHT(YEAR('Raw Data'!Q597),2))),'Raw Data'!Q597))</f>
        <v>8.6999999999999993</v>
      </c>
    </row>
    <row r="598" spans="1:17">
      <c r="A598" t="s">
        <v>685</v>
      </c>
      <c r="B598" t="s">
        <v>18</v>
      </c>
      <c r="C598" t="s">
        <v>19</v>
      </c>
      <c r="D598" t="s">
        <v>27</v>
      </c>
      <c r="E598" t="s">
        <v>30</v>
      </c>
      <c r="F598" t="s">
        <v>40</v>
      </c>
      <c r="G598">
        <f>VALUE(IF(AND(ISERR(FIND(".",'Raw Data'!G598)),LEN('Raw Data'!G598)=5), IF(YEAR('Raw Data'!G598)=2026,CONCATENATE(DAY('Raw Data'!G598),".",IF(LEN(MONTH('Raw Data'!G598))=2,MONTH('Raw Data'!G598),CONCATENATE("0",MONTH('Raw Data'!G598)))),CONCATENATE(MONTH('Raw Data'!G598),".",RIGHT(YEAR('Raw Data'!G598),2))),'Raw Data'!G598))</f>
        <v>52.2</v>
      </c>
      <c r="H598">
        <f>'Raw Data'!H598</f>
        <v>3</v>
      </c>
      <c r="I598" s="6">
        <f t="shared" si="27"/>
        <v>7.8299999999999841</v>
      </c>
      <c r="J598" s="6">
        <f>'Raw Data'!J598</f>
        <v>164.43</v>
      </c>
      <c r="K598" s="1">
        <f>VALUE(IFERROR(VALUE('Raw Data'!K598),CONCATENATE(MID('Raw Data'!K598,3,2),".","0",LEFT('Raw Data'!K598,1),".", RIGHT('Raw Data'!K598,4))))</f>
        <v>43511</v>
      </c>
      <c r="L598" s="2">
        <f>'Raw Data'!L598</f>
        <v>0.5625</v>
      </c>
      <c r="M598" t="s">
        <v>33</v>
      </c>
      <c r="N598">
        <f>VALUE(IF(AND(ISERR(FIND(".",'Raw Data'!N598)),LEN('Raw Data'!N598)=5), IF(YEAR('Raw Data'!N598)=2026,CONCATENATE(DAY('Raw Data'!N598),".",IF(LEN(MONTH('Raw Data'!N598))=2,MONTH('Raw Data'!N598),CONCATENATE("0",MONTH('Raw Data'!N598)))),CONCATENATE(MONTH('Raw Data'!N598),".",RIGHT(YEAR('Raw Data'!N598),2))),'Raw Data'!N598))</f>
        <v>156.6</v>
      </c>
      <c r="O598" s="6">
        <f t="shared" si="28"/>
        <v>4.761904761904769</v>
      </c>
      <c r="P598" s="6">
        <f t="shared" si="29"/>
        <v>7.8300000000000125</v>
      </c>
      <c r="Q598">
        <f>VALUE(IF(AND(ISERR(FIND(".",'Raw Data'!Q598)),LEN('Raw Data'!Q598)=5), IF(YEAR('Raw Data'!Q598)=2026,CONCATENATE(DAY('Raw Data'!Q598),".",IF(LEN(MONTH('Raw Data'!Q598))=2,MONTH('Raw Data'!Q598),CONCATENATE(MONTH('Raw Data'!Q598)))),CONCATENATE(MONTH('Raw Data'!Q598),".",RIGHT(YEAR('Raw Data'!Q598),2))),'Raw Data'!Q598))</f>
        <v>9.5</v>
      </c>
    </row>
    <row r="599" spans="1:17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38</v>
      </c>
      <c r="G599">
        <f>VALUE(IF(AND(ISERR(FIND(".",'Raw Data'!G599)),LEN('Raw Data'!G599)=5), IF(YEAR('Raw Data'!G599)=2026,CONCATENATE(DAY('Raw Data'!G599),".",IF(LEN(MONTH('Raw Data'!G599))=2,MONTH('Raw Data'!G599),CONCATENATE("0",MONTH('Raw Data'!G599)))),CONCATENATE(MONTH('Raw Data'!G599),".",RIGHT(YEAR('Raw Data'!G599),2))),'Raw Data'!G599))</f>
        <v>46.66</v>
      </c>
      <c r="H599">
        <f>'Raw Data'!H599</f>
        <v>9</v>
      </c>
      <c r="I599" s="6">
        <f t="shared" si="27"/>
        <v>20.997000000000071</v>
      </c>
      <c r="J599" s="6">
        <f>'Raw Data'!J599</f>
        <v>440.93700000000001</v>
      </c>
      <c r="K599" s="1">
        <f>VALUE(IFERROR(VALUE('Raw Data'!K599),CONCATENATE(MID('Raw Data'!K599,3,2),".","0",LEFT('Raw Data'!K599,1),".", RIGHT('Raw Data'!K599,4))))</f>
        <v>43513</v>
      </c>
      <c r="L599" s="2">
        <f>'Raw Data'!L599</f>
        <v>0.7993055555555556</v>
      </c>
      <c r="M599" t="s">
        <v>23</v>
      </c>
      <c r="N599">
        <f>VALUE(IF(AND(ISERR(FIND(".",'Raw Data'!N599)),LEN('Raw Data'!N599)=5), IF(YEAR('Raw Data'!N599)=2026,CONCATENATE(DAY('Raw Data'!N599),".",IF(LEN(MONTH('Raw Data'!N599))=2,MONTH('Raw Data'!N599),CONCATENATE("0",MONTH('Raw Data'!N599)))),CONCATENATE(MONTH('Raw Data'!N599),".",RIGHT(YEAR('Raw Data'!N599),2))),'Raw Data'!N599))</f>
        <v>419.94</v>
      </c>
      <c r="O599" s="6">
        <f t="shared" si="28"/>
        <v>4.7619047619047654</v>
      </c>
      <c r="P599" s="6">
        <f t="shared" si="29"/>
        <v>20.997000000000014</v>
      </c>
      <c r="Q599">
        <f>VALUE(IF(AND(ISERR(FIND(".",'Raw Data'!Q599)),LEN('Raw Data'!Q599)=5), IF(YEAR('Raw Data'!Q599)=2026,CONCATENATE(DAY('Raw Data'!Q599),".",IF(LEN(MONTH('Raw Data'!Q599))=2,MONTH('Raw Data'!Q599),CONCATENATE(MONTH('Raw Data'!Q599)))),CONCATENATE(MONTH('Raw Data'!Q599),".",RIGHT(YEAR('Raw Data'!Q599),2))),'Raw Data'!Q599))</f>
        <v>5.3</v>
      </c>
    </row>
    <row r="600" spans="1:17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43</v>
      </c>
      <c r="G600">
        <f>VALUE(IF(AND(ISERR(FIND(".",'Raw Data'!G600)),LEN('Raw Data'!G600)=5), IF(YEAR('Raw Data'!G600)=2026,CONCATENATE(DAY('Raw Data'!G600),".",IF(LEN(MONTH('Raw Data'!G600))=2,MONTH('Raw Data'!G600),CONCATENATE("0",MONTH('Raw Data'!G600)))),CONCATENATE(MONTH('Raw Data'!G600),".",RIGHT(YEAR('Raw Data'!G600),2))),'Raw Data'!G600))</f>
        <v>36.85</v>
      </c>
      <c r="H600">
        <f>'Raw Data'!H600</f>
        <v>5</v>
      </c>
      <c r="I600" s="6">
        <f t="shared" si="27"/>
        <v>9.2125000000000057</v>
      </c>
      <c r="J600" s="6">
        <f>'Raw Data'!J600</f>
        <v>193.46250000000001</v>
      </c>
      <c r="K600" s="1">
        <f>VALUE(IFERROR(VALUE('Raw Data'!K600),CONCATENATE(MID('Raw Data'!K600,3,2),".","0",LEFT('Raw Data'!K600,1),".", RIGHT('Raw Data'!K600,4))))</f>
        <v>43491</v>
      </c>
      <c r="L600" s="2">
        <f>'Raw Data'!L600</f>
        <v>0.78680555555555554</v>
      </c>
      <c r="M600" t="s">
        <v>29</v>
      </c>
      <c r="N600">
        <f>VALUE(IF(AND(ISERR(FIND(".",'Raw Data'!N600)),LEN('Raw Data'!N600)=5), IF(YEAR('Raw Data'!N600)=2026,CONCATENATE(DAY('Raw Data'!N600),".",IF(LEN(MONTH('Raw Data'!N600))=2,MONTH('Raw Data'!N600),CONCATENATE("0",MONTH('Raw Data'!N600)))),CONCATENATE(MONTH('Raw Data'!N600),".",RIGHT(YEAR('Raw Data'!N600),2))),'Raw Data'!N600))</f>
        <v>184.25</v>
      </c>
      <c r="O600" s="6">
        <f t="shared" si="28"/>
        <v>4.7619047619047645</v>
      </c>
      <c r="P600" s="6">
        <f t="shared" si="29"/>
        <v>9.2125000000000057</v>
      </c>
      <c r="Q600">
        <f>VALUE(IF(AND(ISERR(FIND(".",'Raw Data'!Q600)),LEN('Raw Data'!Q600)=5), IF(YEAR('Raw Data'!Q600)=2026,CONCATENATE(DAY('Raw Data'!Q600),".",IF(LEN(MONTH('Raw Data'!Q600))=2,MONTH('Raw Data'!Q600),CONCATENATE(MONTH('Raw Data'!Q600)))),CONCATENATE(MONTH('Raw Data'!Q600),".",RIGHT(YEAR('Raw Data'!Q600),2))),'Raw Data'!Q600))</f>
        <v>9.1999999999999993</v>
      </c>
    </row>
    <row r="601" spans="1:17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f>VALUE(IF(AND(ISERR(FIND(".",'Raw Data'!G601)),LEN('Raw Data'!G601)=5), IF(YEAR('Raw Data'!G601)=2026,CONCATENATE(DAY('Raw Data'!G601),".",IF(LEN(MONTH('Raw Data'!G601))=2,MONTH('Raw Data'!G601),CONCATENATE("0",MONTH('Raw Data'!G601)))),CONCATENATE(MONTH('Raw Data'!G601),".",RIGHT(YEAR('Raw Data'!G601),2))),'Raw Data'!G601))</f>
        <v>70.319999999999993</v>
      </c>
      <c r="H601">
        <f>'Raw Data'!H601</f>
        <v>2</v>
      </c>
      <c r="I601" s="6">
        <f t="shared" si="27"/>
        <v>7.0320000000000107</v>
      </c>
      <c r="J601" s="6">
        <f>'Raw Data'!J601</f>
        <v>147.672</v>
      </c>
      <c r="K601" s="1">
        <f>VALUE(IFERROR(VALUE('Raw Data'!K601),CONCATENATE(MID('Raw Data'!K601,3,2),".","0",LEFT('Raw Data'!K601,1),".", RIGHT('Raw Data'!K601,4))))</f>
        <v>43548</v>
      </c>
      <c r="L601" s="2">
        <f>'Raw Data'!L601</f>
        <v>0.59861111111111109</v>
      </c>
      <c r="M601" t="s">
        <v>23</v>
      </c>
      <c r="N601">
        <f>VALUE(IF(AND(ISERR(FIND(".",'Raw Data'!N601)),LEN('Raw Data'!N601)=5), IF(YEAR('Raw Data'!N601)=2026,CONCATENATE(DAY('Raw Data'!N601),".",IF(LEN(MONTH('Raw Data'!N601))=2,MONTH('Raw Data'!N601),CONCATENATE("0",MONTH('Raw Data'!N601)))),CONCATENATE(MONTH('Raw Data'!N601),".",RIGHT(YEAR('Raw Data'!N601),2))),'Raw Data'!N601))</f>
        <v>140.63999999999999</v>
      </c>
      <c r="O601" s="6">
        <f t="shared" si="28"/>
        <v>4.761904761904769</v>
      </c>
      <c r="P601" s="6">
        <f t="shared" si="29"/>
        <v>7.0320000000000107</v>
      </c>
      <c r="Q601">
        <f>VALUE(IF(AND(ISERR(FIND(".",'Raw Data'!Q601)),LEN('Raw Data'!Q601)=5), IF(YEAR('Raw Data'!Q601)=2026,CONCATENATE(DAY('Raw Data'!Q601),".",IF(LEN(MONTH('Raw Data'!Q601))=2,MONTH('Raw Data'!Q601),CONCATENATE(MONTH('Raw Data'!Q601)))),CONCATENATE(MONTH('Raw Data'!Q601),".",RIGHT(YEAR('Raw Data'!Q601),2))),'Raw Data'!Q601))</f>
        <v>9.6</v>
      </c>
    </row>
    <row r="602" spans="1:17">
      <c r="A602" t="s">
        <v>689</v>
      </c>
      <c r="B602" t="s">
        <v>25</v>
      </c>
      <c r="C602" t="s">
        <v>26</v>
      </c>
      <c r="D602" t="s">
        <v>27</v>
      </c>
      <c r="E602" t="s">
        <v>30</v>
      </c>
      <c r="F602" t="s">
        <v>28</v>
      </c>
      <c r="G602">
        <f>VALUE(IF(AND(ISERR(FIND(".",'Raw Data'!G602)),LEN('Raw Data'!G602)=5), IF(YEAR('Raw Data'!G602)=2026,CONCATENATE(DAY('Raw Data'!G602),".",IF(LEN(MONTH('Raw Data'!G602))=2,MONTH('Raw Data'!G602),CONCATENATE("0",MONTH('Raw Data'!G602)))),CONCATENATE(MONTH('Raw Data'!G602),".",RIGHT(YEAR('Raw Data'!G602),2))),'Raw Data'!G602))</f>
        <v>83.08</v>
      </c>
      <c r="H602">
        <f>'Raw Data'!H602</f>
        <v>1</v>
      </c>
      <c r="I602" s="6">
        <f t="shared" si="27"/>
        <v>4.1539999999999964</v>
      </c>
      <c r="J602" s="6">
        <f>'Raw Data'!J602</f>
        <v>87.233999999999995</v>
      </c>
      <c r="K602" s="1">
        <f>VALUE(IFERROR(VALUE('Raw Data'!K602),CONCATENATE(MID('Raw Data'!K602,3,2),".","0",LEFT('Raw Data'!K602,1),".", RIGHT('Raw Data'!K602,4))))</f>
        <v>43488</v>
      </c>
      <c r="L602" s="2">
        <f>'Raw Data'!L602</f>
        <v>0.71944444444444444</v>
      </c>
      <c r="M602" t="s">
        <v>23</v>
      </c>
      <c r="N602">
        <f>VALUE(IF(AND(ISERR(FIND(".",'Raw Data'!N602)),LEN('Raw Data'!N602)=5), IF(YEAR('Raw Data'!N602)=2026,CONCATENATE(DAY('Raw Data'!N602),".",IF(LEN(MONTH('Raw Data'!N602))=2,MONTH('Raw Data'!N602),CONCATENATE("0",MONTH('Raw Data'!N602)))),CONCATENATE(MONTH('Raw Data'!N602),".",RIGHT(YEAR('Raw Data'!N602),2))),'Raw Data'!N602))</f>
        <v>83.08</v>
      </c>
      <c r="O602" s="6">
        <f t="shared" si="28"/>
        <v>4.7619047619047583</v>
      </c>
      <c r="P602" s="6">
        <f t="shared" si="29"/>
        <v>4.1539999999999964</v>
      </c>
      <c r="Q602">
        <f>VALUE(IF(AND(ISERR(FIND(".",'Raw Data'!Q602)),LEN('Raw Data'!Q602)=5), IF(YEAR('Raw Data'!Q602)=2026,CONCATENATE(DAY('Raw Data'!Q602),".",IF(LEN(MONTH('Raw Data'!Q602))=2,MONTH('Raw Data'!Q602),CONCATENATE(MONTH('Raw Data'!Q602)))),CONCATENATE(MONTH('Raw Data'!Q602),".",RIGHT(YEAR('Raw Data'!Q602),2))),'Raw Data'!Q602))</f>
        <v>6.4</v>
      </c>
    </row>
    <row r="603" spans="1:17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43</v>
      </c>
      <c r="G603">
        <f>VALUE(IF(AND(ISERR(FIND(".",'Raw Data'!G603)),LEN('Raw Data'!G603)=5), IF(YEAR('Raw Data'!G603)=2026,CONCATENATE(DAY('Raw Data'!G603),".",IF(LEN(MONTH('Raw Data'!G603))=2,MONTH('Raw Data'!G603),CONCATENATE("0",MONTH('Raw Data'!G603)))),CONCATENATE(MONTH('Raw Data'!G603),".",RIGHT(YEAR('Raw Data'!G603),2))),'Raw Data'!G603))</f>
        <v>64.989999999999995</v>
      </c>
      <c r="H603">
        <f>'Raw Data'!H603</f>
        <v>1</v>
      </c>
      <c r="I603" s="6">
        <f t="shared" si="27"/>
        <v>3.2495000000000118</v>
      </c>
      <c r="J603" s="6">
        <f>'Raw Data'!J603</f>
        <v>68.239500000000007</v>
      </c>
      <c r="K603" s="1">
        <f>VALUE(IFERROR(VALUE('Raw Data'!K603),CONCATENATE(MID('Raw Data'!K603,3,2),".","0",LEFT('Raw Data'!K603,1),".", RIGHT('Raw Data'!K603,4))))</f>
        <v>43491</v>
      </c>
      <c r="L603" s="2">
        <f>'Raw Data'!L603</f>
        <v>0.42083333333333334</v>
      </c>
      <c r="M603" t="s">
        <v>33</v>
      </c>
      <c r="N603">
        <f>VALUE(IF(AND(ISERR(FIND(".",'Raw Data'!N603)),LEN('Raw Data'!N603)=5), IF(YEAR('Raw Data'!N603)=2026,CONCATENATE(DAY('Raw Data'!N603),".",IF(LEN(MONTH('Raw Data'!N603))=2,MONTH('Raw Data'!N603),CONCATENATE("0",MONTH('Raw Data'!N603)))),CONCATENATE(MONTH('Raw Data'!N603),".",RIGHT(YEAR('Raw Data'!N603),2))),'Raw Data'!N603))</f>
        <v>64.989999999999995</v>
      </c>
      <c r="O603" s="6">
        <f t="shared" si="28"/>
        <v>4.7619047619047787</v>
      </c>
      <c r="P603" s="6">
        <f t="shared" si="29"/>
        <v>3.2495000000000118</v>
      </c>
      <c r="Q603">
        <f>VALUE(IF(AND(ISERR(FIND(".",'Raw Data'!Q603)),LEN('Raw Data'!Q603)=5), IF(YEAR('Raw Data'!Q603)=2026,CONCATENATE(DAY('Raw Data'!Q603),".",IF(LEN(MONTH('Raw Data'!Q603))=2,MONTH('Raw Data'!Q603),CONCATENATE(MONTH('Raw Data'!Q603)))),CONCATENATE(MONTH('Raw Data'!Q603),".",RIGHT(YEAR('Raw Data'!Q603),2))),'Raw Data'!Q603))</f>
        <v>4.5</v>
      </c>
    </row>
    <row r="604" spans="1:17">
      <c r="A604" t="s">
        <v>691</v>
      </c>
      <c r="B604" t="s">
        <v>25</v>
      </c>
      <c r="C604" t="s">
        <v>26</v>
      </c>
      <c r="D604" t="s">
        <v>27</v>
      </c>
      <c r="E604" t="s">
        <v>30</v>
      </c>
      <c r="F604" t="s">
        <v>40</v>
      </c>
      <c r="G604">
        <f>VALUE(IF(AND(ISERR(FIND(".",'Raw Data'!G604)),LEN('Raw Data'!G604)=5), IF(YEAR('Raw Data'!G604)=2026,CONCATENATE(DAY('Raw Data'!G604),".",IF(LEN(MONTH('Raw Data'!G604))=2,MONTH('Raw Data'!G604),CONCATENATE("0",MONTH('Raw Data'!G604)))),CONCATENATE(MONTH('Raw Data'!G604),".",RIGHT(YEAR('Raw Data'!G604),2))),'Raw Data'!G604))</f>
        <v>77.56</v>
      </c>
      <c r="H604">
        <f>'Raw Data'!H604</f>
        <v>10</v>
      </c>
      <c r="I604" s="6">
        <f t="shared" si="27"/>
        <v>38.779999999999973</v>
      </c>
      <c r="J604" s="6">
        <f>'Raw Data'!J604</f>
        <v>814.38</v>
      </c>
      <c r="K604" s="1">
        <f>VALUE(IFERROR(VALUE('Raw Data'!K604),CONCATENATE(MID('Raw Data'!K604,3,2),".","0",LEFT('Raw Data'!K604,1),".", RIGHT('Raw Data'!K604,4))))</f>
        <v>43538</v>
      </c>
      <c r="L604" s="2">
        <f>'Raw Data'!L604</f>
        <v>0.85763888888888884</v>
      </c>
      <c r="M604" t="s">
        <v>23</v>
      </c>
      <c r="N604">
        <f>VALUE(IF(AND(ISERR(FIND(".",'Raw Data'!N604)),LEN('Raw Data'!N604)=5), IF(YEAR('Raw Data'!N604)=2026,CONCATENATE(DAY('Raw Data'!N604),".",IF(LEN(MONTH('Raw Data'!N604))=2,MONTH('Raw Data'!N604),CONCATENATE("0",MONTH('Raw Data'!N604)))),CONCATENATE(MONTH('Raw Data'!N604),".",RIGHT(YEAR('Raw Data'!N604),2))),'Raw Data'!N604))</f>
        <v>775.6</v>
      </c>
      <c r="O604" s="6">
        <f t="shared" si="28"/>
        <v>4.7619047619047592</v>
      </c>
      <c r="P604" s="6">
        <f t="shared" si="29"/>
        <v>38.779999999999973</v>
      </c>
      <c r="Q604">
        <f>VALUE(IF(AND(ISERR(FIND(".",'Raw Data'!Q604)),LEN('Raw Data'!Q604)=5), IF(YEAR('Raw Data'!Q604)=2026,CONCATENATE(DAY('Raw Data'!Q604),".",IF(LEN(MONTH('Raw Data'!Q604))=2,MONTH('Raw Data'!Q604),CONCATENATE(MONTH('Raw Data'!Q604)))),CONCATENATE(MONTH('Raw Data'!Q604),".",RIGHT(YEAR('Raw Data'!Q604),2))),'Raw Data'!Q604))</f>
        <v>6.9</v>
      </c>
    </row>
    <row r="605" spans="1:17">
      <c r="A605" t="s">
        <v>692</v>
      </c>
      <c r="B605" t="s">
        <v>34</v>
      </c>
      <c r="C605" t="s">
        <v>35</v>
      </c>
      <c r="D605" t="s">
        <v>27</v>
      </c>
      <c r="E605" t="s">
        <v>21</v>
      </c>
      <c r="F605" t="s">
        <v>38</v>
      </c>
      <c r="G605">
        <f>VALUE(IF(AND(ISERR(FIND(".",'Raw Data'!G605)),LEN('Raw Data'!G605)=5), IF(YEAR('Raw Data'!G605)=2026,CONCATENATE(DAY('Raw Data'!G605),".",IF(LEN(MONTH('Raw Data'!G605))=2,MONTH('Raw Data'!G605),CONCATENATE("0",MONTH('Raw Data'!G605)))),CONCATENATE(MONTH('Raw Data'!G605),".",RIGHT(YEAR('Raw Data'!G605),2))),'Raw Data'!G605))</f>
        <v>54.51</v>
      </c>
      <c r="H605">
        <f>'Raw Data'!H605</f>
        <v>6</v>
      </c>
      <c r="I605" s="6">
        <f t="shared" si="27"/>
        <v>16.353000000000009</v>
      </c>
      <c r="J605" s="6">
        <f>'Raw Data'!J605</f>
        <v>343.41300000000001</v>
      </c>
      <c r="K605" s="1">
        <f>VALUE(IFERROR(VALUE('Raw Data'!K605),CONCATENATE(MID('Raw Data'!K605,3,2),".","0",LEFT('Raw Data'!K605,1),".", RIGHT('Raw Data'!K605,4))))</f>
        <v>43541</v>
      </c>
      <c r="L605" s="2">
        <f>'Raw Data'!L605</f>
        <v>0.57916666666666672</v>
      </c>
      <c r="M605" t="s">
        <v>23</v>
      </c>
      <c r="N605">
        <f>VALUE(IF(AND(ISERR(FIND(".",'Raw Data'!N605)),LEN('Raw Data'!N605)=5), IF(YEAR('Raw Data'!N605)=2026,CONCATENATE(DAY('Raw Data'!N605),".",IF(LEN(MONTH('Raw Data'!N605))=2,MONTH('Raw Data'!N605),CONCATENATE("0",MONTH('Raw Data'!N605)))),CONCATENATE(MONTH('Raw Data'!N605),".",RIGHT(YEAR('Raw Data'!N605),2))),'Raw Data'!N605))</f>
        <v>327.06</v>
      </c>
      <c r="O605" s="6">
        <f t="shared" si="28"/>
        <v>4.7619047619047645</v>
      </c>
      <c r="P605" s="6">
        <f t="shared" si="29"/>
        <v>16.353000000000009</v>
      </c>
      <c r="Q605">
        <f>VALUE(IF(AND(ISERR(FIND(".",'Raw Data'!Q605)),LEN('Raw Data'!Q605)=5), IF(YEAR('Raw Data'!Q605)=2026,CONCATENATE(DAY('Raw Data'!Q605),".",IF(LEN(MONTH('Raw Data'!Q605))=2,MONTH('Raw Data'!Q605),CONCATENATE(MONTH('Raw Data'!Q605)))),CONCATENATE(MONTH('Raw Data'!Q605),".",RIGHT(YEAR('Raw Data'!Q605),2))),'Raw Data'!Q605))</f>
        <v>7.8</v>
      </c>
    </row>
    <row r="606" spans="1:17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43</v>
      </c>
      <c r="G606">
        <f>VALUE(IF(AND(ISERR(FIND(".",'Raw Data'!G606)),LEN('Raw Data'!G606)=5), IF(YEAR('Raw Data'!G606)=2026,CONCATENATE(DAY('Raw Data'!G606),".",IF(LEN(MONTH('Raw Data'!G606))=2,MONTH('Raw Data'!G606),CONCATENATE("0",MONTH('Raw Data'!G606)))),CONCATENATE(MONTH('Raw Data'!G606),".",RIGHT(YEAR('Raw Data'!G606),2))),'Raw Data'!G606))</f>
        <v>51.89</v>
      </c>
      <c r="H606">
        <f>'Raw Data'!H606</f>
        <v>7</v>
      </c>
      <c r="I606" s="6">
        <f t="shared" si="27"/>
        <v>18.16149999999999</v>
      </c>
      <c r="J606" s="6">
        <f>'Raw Data'!J606</f>
        <v>381.39150000000001</v>
      </c>
      <c r="K606" s="1">
        <f>VALUE(IFERROR(VALUE('Raw Data'!K606),CONCATENATE(MID('Raw Data'!K606,3,2),".","0",LEFT('Raw Data'!K606,1),".", RIGHT('Raw Data'!K606,4))))</f>
        <v>43678</v>
      </c>
      <c r="L606" s="2">
        <f>'Raw Data'!L606</f>
        <v>0.83888888888888891</v>
      </c>
      <c r="M606" t="s">
        <v>29</v>
      </c>
      <c r="N606">
        <f>VALUE(IF(AND(ISERR(FIND(".",'Raw Data'!N606)),LEN('Raw Data'!N606)=5), IF(YEAR('Raw Data'!N606)=2026,CONCATENATE(DAY('Raw Data'!N606),".",IF(LEN(MONTH('Raw Data'!N606))=2,MONTH('Raw Data'!N606),CONCATENATE("0",MONTH('Raw Data'!N606)))),CONCATENATE(MONTH('Raw Data'!N606),".",RIGHT(YEAR('Raw Data'!N606),2))),'Raw Data'!N606))</f>
        <v>363.23</v>
      </c>
      <c r="O606" s="6">
        <f t="shared" si="28"/>
        <v>4.7619047619047592</v>
      </c>
      <c r="P606" s="6">
        <f t="shared" si="29"/>
        <v>18.16149999999999</v>
      </c>
      <c r="Q606">
        <f>VALUE(IF(AND(ISERR(FIND(".",'Raw Data'!Q606)),LEN('Raw Data'!Q606)=5), IF(YEAR('Raw Data'!Q606)=2026,CONCATENATE(DAY('Raw Data'!Q606),".",IF(LEN(MONTH('Raw Data'!Q606))=2,MONTH('Raw Data'!Q606),CONCATENATE(MONTH('Raw Data'!Q606)))),CONCATENATE(MONTH('Raw Data'!Q606),".",RIGHT(YEAR('Raw Data'!Q606),2))),'Raw Data'!Q606))</f>
        <v>4.5</v>
      </c>
    </row>
    <row r="607" spans="1:17">
      <c r="A607" t="s">
        <v>694</v>
      </c>
      <c r="B607" t="s">
        <v>34</v>
      </c>
      <c r="C607" t="s">
        <v>35</v>
      </c>
      <c r="D607" t="s">
        <v>27</v>
      </c>
      <c r="E607" t="s">
        <v>30</v>
      </c>
      <c r="F607" t="s">
        <v>32</v>
      </c>
      <c r="G607">
        <f>VALUE(IF(AND(ISERR(FIND(".",'Raw Data'!G607)),LEN('Raw Data'!G607)=5), IF(YEAR('Raw Data'!G607)=2026,CONCATENATE(DAY('Raw Data'!G607),".",IF(LEN(MONTH('Raw Data'!G607))=2,MONTH('Raw Data'!G607),CONCATENATE("0",MONTH('Raw Data'!G607)))),CONCATENATE(MONTH('Raw Data'!G607),".",RIGHT(YEAR('Raw Data'!G607),2))),'Raw Data'!G607))</f>
        <v>31.75</v>
      </c>
      <c r="H607">
        <f>'Raw Data'!H607</f>
        <v>4</v>
      </c>
      <c r="I607" s="6">
        <f t="shared" si="27"/>
        <v>6.3499999999999943</v>
      </c>
      <c r="J607" s="6">
        <f>'Raw Data'!J607</f>
        <v>133.35</v>
      </c>
      <c r="K607" s="1">
        <f>VALUE(IFERROR(VALUE('Raw Data'!K607),CONCATENATE(MID('Raw Data'!K607,3,2),".","0",LEFT('Raw Data'!K607,1),".", RIGHT('Raw Data'!K607,4))))</f>
        <v>43679</v>
      </c>
      <c r="L607" s="2">
        <f>'Raw Data'!L607</f>
        <v>0.6430555555555556</v>
      </c>
      <c r="M607" t="s">
        <v>29</v>
      </c>
      <c r="N607">
        <f>VALUE(IF(AND(ISERR(FIND(".",'Raw Data'!N607)),LEN('Raw Data'!N607)=5), IF(YEAR('Raw Data'!N607)=2026,CONCATENATE(DAY('Raw Data'!N607),".",IF(LEN(MONTH('Raw Data'!N607))=2,MONTH('Raw Data'!N607),CONCATENATE("0",MONTH('Raw Data'!N607)))),CONCATENATE(MONTH('Raw Data'!N607),".",RIGHT(YEAR('Raw Data'!N607),2))),'Raw Data'!N607))</f>
        <v>127</v>
      </c>
      <c r="O607" s="6">
        <f t="shared" si="28"/>
        <v>4.7619047619047583</v>
      </c>
      <c r="P607" s="6">
        <f t="shared" si="29"/>
        <v>6.3499999999999943</v>
      </c>
      <c r="Q607">
        <f>VALUE(IF(AND(ISERR(FIND(".",'Raw Data'!Q607)),LEN('Raw Data'!Q607)=5), IF(YEAR('Raw Data'!Q607)=2026,CONCATENATE(DAY('Raw Data'!Q607),".",IF(LEN(MONTH('Raw Data'!Q607))=2,MONTH('Raw Data'!Q607),CONCATENATE(MONTH('Raw Data'!Q607)))),CONCATENATE(MONTH('Raw Data'!Q607),".",RIGHT(YEAR('Raw Data'!Q607),2))),'Raw Data'!Q607))</f>
        <v>8.6</v>
      </c>
    </row>
    <row r="608" spans="1:17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43</v>
      </c>
      <c r="G608">
        <f>VALUE(IF(AND(ISERR(FIND(".",'Raw Data'!G608)),LEN('Raw Data'!G608)=5), IF(YEAR('Raw Data'!G608)=2026,CONCATENATE(DAY('Raw Data'!G608),".",IF(LEN(MONTH('Raw Data'!G608))=2,MONTH('Raw Data'!G608),CONCATENATE("0",MONTH('Raw Data'!G608)))),CONCATENATE(MONTH('Raw Data'!G608),".",RIGHT(YEAR('Raw Data'!G608),2))),'Raw Data'!G608))</f>
        <v>53.65</v>
      </c>
      <c r="H608">
        <f>'Raw Data'!H608</f>
        <v>7</v>
      </c>
      <c r="I608" s="6">
        <f t="shared" si="27"/>
        <v>18.777499999999975</v>
      </c>
      <c r="J608" s="6">
        <f>'Raw Data'!J608</f>
        <v>394.32749999999999</v>
      </c>
      <c r="K608" s="1">
        <f>VALUE(IFERROR(VALUE('Raw Data'!K608),CONCATENATE(MID('Raw Data'!K608,3,2),".","0",LEFT('Raw Data'!K608,1),".", RIGHT('Raw Data'!K608,4))))</f>
        <v>43740</v>
      </c>
      <c r="L608" s="2">
        <f>'Raw Data'!L608</f>
        <v>0.53888888888888886</v>
      </c>
      <c r="M608" t="s">
        <v>23</v>
      </c>
      <c r="N608">
        <f>VALUE(IF(AND(ISERR(FIND(".",'Raw Data'!N608)),LEN('Raw Data'!N608)=5), IF(YEAR('Raw Data'!N608)=2026,CONCATENATE(DAY('Raw Data'!N608),".",IF(LEN(MONTH('Raw Data'!N608))=2,MONTH('Raw Data'!N608),CONCATENATE("0",MONTH('Raw Data'!N608)))),CONCATENATE(MONTH('Raw Data'!N608),".",RIGHT(YEAR('Raw Data'!N608),2))),'Raw Data'!N608))</f>
        <v>375.55</v>
      </c>
      <c r="O608" s="6">
        <f t="shared" si="28"/>
        <v>4.7619047619047556</v>
      </c>
      <c r="P608" s="6">
        <f t="shared" si="29"/>
        <v>18.777499999999975</v>
      </c>
      <c r="Q608">
        <f>VALUE(IF(AND(ISERR(FIND(".",'Raw Data'!Q608)),LEN('Raw Data'!Q608)=5), IF(YEAR('Raw Data'!Q608)=2026,CONCATENATE(DAY('Raw Data'!Q608),".",IF(LEN(MONTH('Raw Data'!Q608))=2,MONTH('Raw Data'!Q608),CONCATENATE(MONTH('Raw Data'!Q608)))),CONCATENATE(MONTH('Raw Data'!Q608),".",RIGHT(YEAR('Raw Data'!Q608),2))),'Raw Data'!Q608))</f>
        <v>5.2</v>
      </c>
    </row>
    <row r="609" spans="1:17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40</v>
      </c>
      <c r="G609">
        <f>VALUE(IF(AND(ISERR(FIND(".",'Raw Data'!G609)),LEN('Raw Data'!G609)=5), IF(YEAR('Raw Data'!G609)=2026,CONCATENATE(DAY('Raw Data'!G609),".",IF(LEN(MONTH('Raw Data'!G609))=2,MONTH('Raw Data'!G609),CONCATENATE("0",MONTH('Raw Data'!G609)))),CONCATENATE(MONTH('Raw Data'!G609),".",RIGHT(YEAR('Raw Data'!G609),2))),'Raw Data'!G609))</f>
        <v>49.79</v>
      </c>
      <c r="H609">
        <f>'Raw Data'!H609</f>
        <v>4</v>
      </c>
      <c r="I609" s="6">
        <f t="shared" si="27"/>
        <v>9.9579999999999984</v>
      </c>
      <c r="J609" s="6">
        <f>'Raw Data'!J609</f>
        <v>209.11799999999999</v>
      </c>
      <c r="K609" s="1">
        <f>VALUE(IFERROR(VALUE('Raw Data'!K609),CONCATENATE(MID('Raw Data'!K609,3,2),".","0",LEFT('Raw Data'!K609,1),".", RIGHT('Raw Data'!K609,4))))</f>
        <v>43552</v>
      </c>
      <c r="L609" s="2">
        <f>'Raw Data'!L609</f>
        <v>0.8027777777777777</v>
      </c>
      <c r="M609" t="s">
        <v>33</v>
      </c>
      <c r="N609">
        <f>VALUE(IF(AND(ISERR(FIND(".",'Raw Data'!N609)),LEN('Raw Data'!N609)=5), IF(YEAR('Raw Data'!N609)=2026,CONCATENATE(DAY('Raw Data'!N609),".",IF(LEN(MONTH('Raw Data'!N609))=2,MONTH('Raw Data'!N609),CONCATENATE("0",MONTH('Raw Data'!N609)))),CONCATENATE(MONTH('Raw Data'!N609),".",RIGHT(YEAR('Raw Data'!N609),2))),'Raw Data'!N609))</f>
        <v>199.16</v>
      </c>
      <c r="O609" s="6">
        <f t="shared" si="28"/>
        <v>4.761904761904761</v>
      </c>
      <c r="P609" s="6">
        <f t="shared" si="29"/>
        <v>9.9579999999999984</v>
      </c>
      <c r="Q609">
        <f>VALUE(IF(AND(ISERR(FIND(".",'Raw Data'!Q609)),LEN('Raw Data'!Q609)=5), IF(YEAR('Raw Data'!Q609)=2026,CONCATENATE(DAY('Raw Data'!Q609),".",IF(LEN(MONTH('Raw Data'!Q609))=2,MONTH('Raw Data'!Q609),CONCATENATE(MONTH('Raw Data'!Q609)))),CONCATENATE(MONTH('Raw Data'!Q609),".",RIGHT(YEAR('Raw Data'!Q609),2))),'Raw Data'!Q609))</f>
        <v>6.4</v>
      </c>
    </row>
    <row r="610" spans="1:17">
      <c r="A610" t="s">
        <v>697</v>
      </c>
      <c r="B610" t="s">
        <v>18</v>
      </c>
      <c r="C610" t="s">
        <v>19</v>
      </c>
      <c r="D610" t="s">
        <v>27</v>
      </c>
      <c r="E610" t="s">
        <v>30</v>
      </c>
      <c r="F610" t="s">
        <v>43</v>
      </c>
      <c r="G610">
        <f>VALUE(IF(AND(ISERR(FIND(".",'Raw Data'!G610)),LEN('Raw Data'!G610)=5), IF(YEAR('Raw Data'!G610)=2026,CONCATENATE(DAY('Raw Data'!G610),".",IF(LEN(MONTH('Raw Data'!G610))=2,MONTH('Raw Data'!G610),CONCATENATE("0",MONTH('Raw Data'!G610)))),CONCATENATE(MONTH('Raw Data'!G610),".",RIGHT(YEAR('Raw Data'!G610),2))),'Raw Data'!G610))</f>
        <v>30.61</v>
      </c>
      <c r="H610">
        <f>'Raw Data'!H610</f>
        <v>1</v>
      </c>
      <c r="I610" s="6">
        <f t="shared" si="27"/>
        <v>1.5305000000000035</v>
      </c>
      <c r="J610" s="6">
        <f>'Raw Data'!J610</f>
        <v>32.140500000000003</v>
      </c>
      <c r="K610" s="1">
        <f>VALUE(IFERROR(VALUE('Raw Data'!K610),CONCATENATE(MID('Raw Data'!K610,3,2),".","0",LEFT('Raw Data'!K610,1),".", RIGHT('Raw Data'!K610,4))))</f>
        <v>43488</v>
      </c>
      <c r="L610" s="2">
        <f>'Raw Data'!L610</f>
        <v>0.51388888888888895</v>
      </c>
      <c r="M610" t="s">
        <v>23</v>
      </c>
      <c r="N610">
        <f>VALUE(IF(AND(ISERR(FIND(".",'Raw Data'!N610)),LEN('Raw Data'!N610)=5), IF(YEAR('Raw Data'!N610)=2026,CONCATENATE(DAY('Raw Data'!N610),".",IF(LEN(MONTH('Raw Data'!N610))=2,MONTH('Raw Data'!N610),CONCATENATE("0",MONTH('Raw Data'!N610)))),CONCATENATE(MONTH('Raw Data'!N610),".",RIGHT(YEAR('Raw Data'!N610),2))),'Raw Data'!N610))</f>
        <v>30.61</v>
      </c>
      <c r="O610" s="6">
        <f t="shared" si="28"/>
        <v>4.7619047619047725</v>
      </c>
      <c r="P610" s="6">
        <f t="shared" si="29"/>
        <v>1.5305000000000035</v>
      </c>
      <c r="Q610">
        <f>VALUE(IF(AND(ISERR(FIND(".",'Raw Data'!Q610)),LEN('Raw Data'!Q610)=5), IF(YEAR('Raw Data'!Q610)=2026,CONCATENATE(DAY('Raw Data'!Q610),".",IF(LEN(MONTH('Raw Data'!Q610))=2,MONTH('Raw Data'!Q610),CONCATENATE(MONTH('Raw Data'!Q610)))),CONCATENATE(MONTH('Raw Data'!Q610),".",RIGHT(YEAR('Raw Data'!Q610),2))),'Raw Data'!Q610))</f>
        <v>5.2</v>
      </c>
    </row>
    <row r="611" spans="1:17">
      <c r="A611" t="s">
        <v>698</v>
      </c>
      <c r="B611" t="s">
        <v>34</v>
      </c>
      <c r="C611" t="s">
        <v>35</v>
      </c>
      <c r="D611" t="s">
        <v>20</v>
      </c>
      <c r="E611" t="s">
        <v>30</v>
      </c>
      <c r="F611" t="s">
        <v>40</v>
      </c>
      <c r="G611">
        <f>VALUE(IF(AND(ISERR(FIND(".",'Raw Data'!G611)),LEN('Raw Data'!G611)=5), IF(YEAR('Raw Data'!G611)=2026,CONCATENATE(DAY('Raw Data'!G611),".",IF(LEN(MONTH('Raw Data'!G611))=2,MONTH('Raw Data'!G611),CONCATENATE("0",MONTH('Raw Data'!G611)))),CONCATENATE(MONTH('Raw Data'!G611),".",RIGHT(YEAR('Raw Data'!G611),2))),'Raw Data'!G611))</f>
        <v>57.89</v>
      </c>
      <c r="H611">
        <f>'Raw Data'!H611</f>
        <v>2</v>
      </c>
      <c r="I611" s="6">
        <f t="shared" si="27"/>
        <v>5.7890000000000015</v>
      </c>
      <c r="J611" s="6">
        <f>'Raw Data'!J611</f>
        <v>121.569</v>
      </c>
      <c r="K611" s="1">
        <f>VALUE(IFERROR(VALUE('Raw Data'!K611),CONCATENATE(MID('Raw Data'!K611,3,2),".","0",LEFT('Raw Data'!K611,1),".", RIGHT('Raw Data'!K611,4))))</f>
        <v>43482</v>
      </c>
      <c r="L611" s="2">
        <f>'Raw Data'!L611</f>
        <v>0.44236111111111115</v>
      </c>
      <c r="M611" t="s">
        <v>23</v>
      </c>
      <c r="N611">
        <f>VALUE(IF(AND(ISERR(FIND(".",'Raw Data'!N611)),LEN('Raw Data'!N611)=5), IF(YEAR('Raw Data'!N611)=2026,CONCATENATE(DAY('Raw Data'!N611),".",IF(LEN(MONTH('Raw Data'!N611))=2,MONTH('Raw Data'!N611),CONCATENATE("0",MONTH('Raw Data'!N611)))),CONCATENATE(MONTH('Raw Data'!N611),".",RIGHT(YEAR('Raw Data'!N611),2))),'Raw Data'!N611))</f>
        <v>115.78</v>
      </c>
      <c r="O611" s="6">
        <f t="shared" si="28"/>
        <v>4.7619047619047628</v>
      </c>
      <c r="P611" s="6">
        <f t="shared" si="29"/>
        <v>5.7890000000000015</v>
      </c>
      <c r="Q611">
        <f>VALUE(IF(AND(ISERR(FIND(".",'Raw Data'!Q611)),LEN('Raw Data'!Q611)=5), IF(YEAR('Raw Data'!Q611)=2026,CONCATENATE(DAY('Raw Data'!Q611),".",IF(LEN(MONTH('Raw Data'!Q611))=2,MONTH('Raw Data'!Q611),CONCATENATE(MONTH('Raw Data'!Q611)))),CONCATENATE(MONTH('Raw Data'!Q611),".",RIGHT(YEAR('Raw Data'!Q611),2))),'Raw Data'!Q611))</f>
        <v>8.9</v>
      </c>
    </row>
    <row r="612" spans="1:17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f>VALUE(IF(AND(ISERR(FIND(".",'Raw Data'!G612)),LEN('Raw Data'!G612)=5), IF(YEAR('Raw Data'!G612)=2026,CONCATENATE(DAY('Raw Data'!G612),".",IF(LEN(MONTH('Raw Data'!G612))=2,MONTH('Raw Data'!G612),CONCATENATE("0",MONTH('Raw Data'!G612)))),CONCATENATE(MONTH('Raw Data'!G612),".",RIGHT(YEAR('Raw Data'!G612),2))),'Raw Data'!G612))</f>
        <v>28.96</v>
      </c>
      <c r="H612">
        <f>'Raw Data'!H612</f>
        <v>1</v>
      </c>
      <c r="I612" s="6">
        <f t="shared" si="27"/>
        <v>1.4480000000000004</v>
      </c>
      <c r="J612" s="6">
        <f>'Raw Data'!J612</f>
        <v>30.408000000000001</v>
      </c>
      <c r="K612" s="1">
        <f>VALUE(IFERROR(VALUE('Raw Data'!K612),CONCATENATE(MID('Raw Data'!K612,3,2),".","0",LEFT('Raw Data'!K612,1),".", RIGHT('Raw Data'!K612,4))))</f>
        <v>43648</v>
      </c>
      <c r="L612" s="2">
        <f>'Raw Data'!L612</f>
        <v>0.4291666666666667</v>
      </c>
      <c r="M612" t="s">
        <v>33</v>
      </c>
      <c r="N612">
        <f>VALUE(IF(AND(ISERR(FIND(".",'Raw Data'!N612)),LEN('Raw Data'!N612)=5), IF(YEAR('Raw Data'!N612)=2026,CONCATENATE(DAY('Raw Data'!N612),".",IF(LEN(MONTH('Raw Data'!N612))=2,MONTH('Raw Data'!N612),CONCATENATE("0",MONTH('Raw Data'!N612)))),CONCATENATE(MONTH('Raw Data'!N612),".",RIGHT(YEAR('Raw Data'!N612),2))),'Raw Data'!N612))</f>
        <v>28.96</v>
      </c>
      <c r="O612" s="6">
        <f t="shared" si="28"/>
        <v>4.7619047619047628</v>
      </c>
      <c r="P612" s="6">
        <f t="shared" si="29"/>
        <v>1.4480000000000004</v>
      </c>
      <c r="Q612">
        <f>VALUE(IF(AND(ISERR(FIND(".",'Raw Data'!Q612)),LEN('Raw Data'!Q612)=5), IF(YEAR('Raw Data'!Q612)=2026,CONCATENATE(DAY('Raw Data'!Q612),".",IF(LEN(MONTH('Raw Data'!Q612))=2,MONTH('Raw Data'!Q612),CONCATENATE(MONTH('Raw Data'!Q612)))),CONCATENATE(MONTH('Raw Data'!Q612),".",RIGHT(YEAR('Raw Data'!Q612),2))),'Raw Data'!Q612))</f>
        <v>6.2</v>
      </c>
    </row>
    <row r="613" spans="1:17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40</v>
      </c>
      <c r="G613">
        <f>VALUE(IF(AND(ISERR(FIND(".",'Raw Data'!G613)),LEN('Raw Data'!G613)=5), IF(YEAR('Raw Data'!G613)=2026,CONCATENATE(DAY('Raw Data'!G613),".",IF(LEN(MONTH('Raw Data'!G613))=2,MONTH('Raw Data'!G613),CONCATENATE("0",MONTH('Raw Data'!G613)))),CONCATENATE(MONTH('Raw Data'!G613),".",RIGHT(YEAR('Raw Data'!G613),2))),'Raw Data'!G613))</f>
        <v>98.97</v>
      </c>
      <c r="H613">
        <f>'Raw Data'!H613</f>
        <v>9</v>
      </c>
      <c r="I613" s="6">
        <f t="shared" si="27"/>
        <v>44.536499999999933</v>
      </c>
      <c r="J613" s="6">
        <f>'Raw Data'!J613</f>
        <v>935.26649999999995</v>
      </c>
      <c r="K613" s="1">
        <f>VALUE(IFERROR(VALUE('Raw Data'!K613),CONCATENATE(MID('Raw Data'!K613,3,2),".","0",LEFT('Raw Data'!K613,1),".", RIGHT('Raw Data'!K613,4))))</f>
        <v>43711</v>
      </c>
      <c r="L613" s="2">
        <f>'Raw Data'!L613</f>
        <v>0.47430555555555554</v>
      </c>
      <c r="M613" t="s">
        <v>29</v>
      </c>
      <c r="N613">
        <f>VALUE(IF(AND(ISERR(FIND(".",'Raw Data'!N613)),LEN('Raw Data'!N613)=5), IF(YEAR('Raw Data'!N613)=2026,CONCATENATE(DAY('Raw Data'!N613),".",IF(LEN(MONTH('Raw Data'!N613))=2,MONTH('Raw Data'!N613),CONCATENATE("0",MONTH('Raw Data'!N613)))),CONCATENATE(MONTH('Raw Data'!N613),".",RIGHT(YEAR('Raw Data'!N613),2))),'Raw Data'!N613))</f>
        <v>890.73</v>
      </c>
      <c r="O613" s="6">
        <f t="shared" si="28"/>
        <v>4.7619047619047548</v>
      </c>
      <c r="P613" s="6">
        <f t="shared" si="29"/>
        <v>44.536499999999933</v>
      </c>
      <c r="Q613">
        <f>VALUE(IF(AND(ISERR(FIND(".",'Raw Data'!Q613)),LEN('Raw Data'!Q613)=5), IF(YEAR('Raw Data'!Q613)=2026,CONCATENATE(DAY('Raw Data'!Q613),".",IF(LEN(MONTH('Raw Data'!Q613))=2,MONTH('Raw Data'!Q613),CONCATENATE(MONTH('Raw Data'!Q613)))),CONCATENATE(MONTH('Raw Data'!Q613),".",RIGHT(YEAR('Raw Data'!Q613),2))),'Raw Data'!Q613))</f>
        <v>6.7</v>
      </c>
    </row>
    <row r="614" spans="1:17">
      <c r="A614" t="s">
        <v>701</v>
      </c>
      <c r="B614" t="s">
        <v>34</v>
      </c>
      <c r="C614" t="s">
        <v>35</v>
      </c>
      <c r="D614" t="s">
        <v>20</v>
      </c>
      <c r="E614" t="s">
        <v>30</v>
      </c>
      <c r="F614" t="s">
        <v>43</v>
      </c>
      <c r="G614">
        <f>VALUE(IF(AND(ISERR(FIND(".",'Raw Data'!G614)),LEN('Raw Data'!G614)=5), IF(YEAR('Raw Data'!G614)=2026,CONCATENATE(DAY('Raw Data'!G614),".",IF(LEN(MONTH('Raw Data'!G614))=2,MONTH('Raw Data'!G614),CONCATENATE("0",MONTH('Raw Data'!G614)))),CONCATENATE(MONTH('Raw Data'!G614),".",RIGHT(YEAR('Raw Data'!G614),2))),'Raw Data'!G614))</f>
        <v>93.22</v>
      </c>
      <c r="H614">
        <f>'Raw Data'!H614</f>
        <v>3</v>
      </c>
      <c r="I614" s="6">
        <f t="shared" si="27"/>
        <v>13.983000000000004</v>
      </c>
      <c r="J614" s="6">
        <f>'Raw Data'!J614</f>
        <v>293.64299999999997</v>
      </c>
      <c r="K614" s="1">
        <f>VALUE(IFERROR(VALUE('Raw Data'!K614),CONCATENATE(MID('Raw Data'!K614,3,2),".","0",LEFT('Raw Data'!K614,1),".", RIGHT('Raw Data'!K614,4))))</f>
        <v>43489</v>
      </c>
      <c r="L614" s="2">
        <f>'Raw Data'!L614</f>
        <v>0.48958333333333331</v>
      </c>
      <c r="M614" t="s">
        <v>29</v>
      </c>
      <c r="N614">
        <f>VALUE(IF(AND(ISERR(FIND(".",'Raw Data'!N614)),LEN('Raw Data'!N614)=5), IF(YEAR('Raw Data'!N614)=2026,CONCATENATE(DAY('Raw Data'!N614),".",IF(LEN(MONTH('Raw Data'!N614))=2,MONTH('Raw Data'!N614),CONCATENATE("0",MONTH('Raw Data'!N614)))),CONCATENATE(MONTH('Raw Data'!N614),".",RIGHT(YEAR('Raw Data'!N614),2))),'Raw Data'!N614))</f>
        <v>279.66000000000003</v>
      </c>
      <c r="O614" s="6">
        <f t="shared" si="28"/>
        <v>4.7619047619047441</v>
      </c>
      <c r="P614" s="6">
        <f t="shared" si="29"/>
        <v>13.982999999999947</v>
      </c>
      <c r="Q614">
        <f>VALUE(IF(AND(ISERR(FIND(".",'Raw Data'!Q614)),LEN('Raw Data'!Q614)=5), IF(YEAR('Raw Data'!Q614)=2026,CONCATENATE(DAY('Raw Data'!Q614),".",IF(LEN(MONTH('Raw Data'!Q614))=2,MONTH('Raw Data'!Q614),CONCATENATE(MONTH('Raw Data'!Q614)))),CONCATENATE(MONTH('Raw Data'!Q614),".",RIGHT(YEAR('Raw Data'!Q614),2))),'Raw Data'!Q614))</f>
        <v>7.2</v>
      </c>
    </row>
    <row r="615" spans="1:17">
      <c r="A615" t="s">
        <v>702</v>
      </c>
      <c r="B615" t="s">
        <v>25</v>
      </c>
      <c r="C615" t="s">
        <v>26</v>
      </c>
      <c r="D615" t="s">
        <v>20</v>
      </c>
      <c r="E615" t="s">
        <v>30</v>
      </c>
      <c r="F615" t="s">
        <v>38</v>
      </c>
      <c r="G615">
        <f>VALUE(IF(AND(ISERR(FIND(".",'Raw Data'!G615)),LEN('Raw Data'!G615)=5), IF(YEAR('Raw Data'!G615)=2026,CONCATENATE(DAY('Raw Data'!G615),".",IF(LEN(MONTH('Raw Data'!G615))=2,MONTH('Raw Data'!G615),CONCATENATE("0",MONTH('Raw Data'!G615)))),CONCATENATE(MONTH('Raw Data'!G615),".",RIGHT(YEAR('Raw Data'!G615),2))),'Raw Data'!G615))</f>
        <v>80.930000000000007</v>
      </c>
      <c r="H615">
        <f>'Raw Data'!H615</f>
        <v>1</v>
      </c>
      <c r="I615" s="6">
        <f t="shared" si="27"/>
        <v>4.0464999999999947</v>
      </c>
      <c r="J615" s="6">
        <f>'Raw Data'!J615</f>
        <v>84.976500000000001</v>
      </c>
      <c r="K615" s="1">
        <f>VALUE(IFERROR(VALUE('Raw Data'!K615),CONCATENATE(MID('Raw Data'!K615,3,2),".","0",LEFT('Raw Data'!K615,1),".", RIGHT('Raw Data'!K615,4))))</f>
        <v>43484</v>
      </c>
      <c r="L615" s="2">
        <f>'Raw Data'!L615</f>
        <v>0.67222222222222217</v>
      </c>
      <c r="M615" t="s">
        <v>33</v>
      </c>
      <c r="N615">
        <f>VALUE(IF(AND(ISERR(FIND(".",'Raw Data'!N615)),LEN('Raw Data'!N615)=5), IF(YEAR('Raw Data'!N615)=2026,CONCATENATE(DAY('Raw Data'!N615),".",IF(LEN(MONTH('Raw Data'!N615))=2,MONTH('Raw Data'!N615),CONCATENATE("0",MONTH('Raw Data'!N615)))),CONCATENATE(MONTH('Raw Data'!N615),".",RIGHT(YEAR('Raw Data'!N615),2))),'Raw Data'!N615))</f>
        <v>80.930000000000007</v>
      </c>
      <c r="O615" s="6">
        <f t="shared" si="28"/>
        <v>4.7619047619047556</v>
      </c>
      <c r="P615" s="6">
        <f t="shared" si="29"/>
        <v>4.0464999999999947</v>
      </c>
      <c r="Q615">
        <f>VALUE(IF(AND(ISERR(FIND(".",'Raw Data'!Q615)),LEN('Raw Data'!Q615)=5), IF(YEAR('Raw Data'!Q615)=2026,CONCATENATE(DAY('Raw Data'!Q615),".",IF(LEN(MONTH('Raw Data'!Q615))=2,MONTH('Raw Data'!Q615),CONCATENATE(MONTH('Raw Data'!Q615)))),CONCATENATE(MONTH('Raw Data'!Q615),".",RIGHT(YEAR('Raw Data'!Q615),2))),'Raw Data'!Q615))</f>
        <v>9</v>
      </c>
    </row>
    <row r="616" spans="1:17">
      <c r="A616" t="s">
        <v>703</v>
      </c>
      <c r="B616" t="s">
        <v>18</v>
      </c>
      <c r="C616" t="s">
        <v>19</v>
      </c>
      <c r="D616" t="s">
        <v>20</v>
      </c>
      <c r="E616" t="s">
        <v>30</v>
      </c>
      <c r="F616" t="s">
        <v>40</v>
      </c>
      <c r="G616">
        <f>VALUE(IF(AND(ISERR(FIND(".",'Raw Data'!G616)),LEN('Raw Data'!G616)=5), IF(YEAR('Raw Data'!G616)=2026,CONCATENATE(DAY('Raw Data'!G616),".",IF(LEN(MONTH('Raw Data'!G616))=2,MONTH('Raw Data'!G616),CONCATENATE("0",MONTH('Raw Data'!G616)))),CONCATENATE(MONTH('Raw Data'!G616),".",RIGHT(YEAR('Raw Data'!G616),2))),'Raw Data'!G616))</f>
        <v>67.45</v>
      </c>
      <c r="H616">
        <f>'Raw Data'!H616</f>
        <v>10</v>
      </c>
      <c r="I616" s="6">
        <f t="shared" si="27"/>
        <v>33.725000000000023</v>
      </c>
      <c r="J616" s="6">
        <f>'Raw Data'!J616</f>
        <v>708.22500000000002</v>
      </c>
      <c r="K616" s="1">
        <f>VALUE(IFERROR(VALUE('Raw Data'!K616),CONCATENATE(MID('Raw Data'!K616,3,2),".","0",LEFT('Raw Data'!K616,1),".", RIGHT('Raw Data'!K616,4))))</f>
        <v>43526</v>
      </c>
      <c r="L616" s="2">
        <f>'Raw Data'!L616</f>
        <v>0.47569444444444442</v>
      </c>
      <c r="M616" t="s">
        <v>23</v>
      </c>
      <c r="N616">
        <f>VALUE(IF(AND(ISERR(FIND(".",'Raw Data'!N616)),LEN('Raw Data'!N616)=5), IF(YEAR('Raw Data'!N616)=2026,CONCATENATE(DAY('Raw Data'!N616),".",IF(LEN(MONTH('Raw Data'!N616))=2,MONTH('Raw Data'!N616),CONCATENATE("0",MONTH('Raw Data'!N616)))),CONCATENATE(MONTH('Raw Data'!N616),".",RIGHT(YEAR('Raw Data'!N616),2))),'Raw Data'!N616))</f>
        <v>674.5</v>
      </c>
      <c r="O616" s="6">
        <f t="shared" si="28"/>
        <v>4.7619047619047654</v>
      </c>
      <c r="P616" s="6">
        <f t="shared" si="29"/>
        <v>33.725000000000023</v>
      </c>
      <c r="Q616">
        <f>VALUE(IF(AND(ISERR(FIND(".",'Raw Data'!Q616)),LEN('Raw Data'!Q616)=5), IF(YEAR('Raw Data'!Q616)=2026,CONCATENATE(DAY('Raw Data'!Q616),".",IF(LEN(MONTH('Raw Data'!Q616))=2,MONTH('Raw Data'!Q616),CONCATENATE(MONTH('Raw Data'!Q616)))),CONCATENATE(MONTH('Raw Data'!Q616),".",RIGHT(YEAR('Raw Data'!Q616),2))),'Raw Data'!Q616))</f>
        <v>4.2</v>
      </c>
    </row>
    <row r="617" spans="1:17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38</v>
      </c>
      <c r="G617">
        <f>VALUE(IF(AND(ISERR(FIND(".",'Raw Data'!G617)),LEN('Raw Data'!G617)=5), IF(YEAR('Raw Data'!G617)=2026,CONCATENATE(DAY('Raw Data'!G617),".",IF(LEN(MONTH('Raw Data'!G617))=2,MONTH('Raw Data'!G617),CONCATENATE("0",MONTH('Raw Data'!G617)))),CONCATENATE(MONTH('Raw Data'!G617),".",RIGHT(YEAR('Raw Data'!G617),2))),'Raw Data'!G617))</f>
        <v>38.72</v>
      </c>
      <c r="H617">
        <f>'Raw Data'!H617</f>
        <v>9</v>
      </c>
      <c r="I617" s="6">
        <f t="shared" si="27"/>
        <v>17.423999999999978</v>
      </c>
      <c r="J617" s="6">
        <f>'Raw Data'!J617</f>
        <v>365.904</v>
      </c>
      <c r="K617" s="1">
        <f>VALUE(IFERROR(VALUE('Raw Data'!K617),CONCATENATE(MID('Raw Data'!K617,3,2),".","0",LEFT('Raw Data'!K617,1),".", RIGHT('Raw Data'!K617,4))))</f>
        <v>43544</v>
      </c>
      <c r="L617" s="2">
        <f>'Raw Data'!L617</f>
        <v>0.51666666666666672</v>
      </c>
      <c r="M617" t="s">
        <v>23</v>
      </c>
      <c r="N617">
        <f>VALUE(IF(AND(ISERR(FIND(".",'Raw Data'!N617)),LEN('Raw Data'!N617)=5), IF(YEAR('Raw Data'!N617)=2026,CONCATENATE(DAY('Raw Data'!N617),".",IF(LEN(MONTH('Raw Data'!N617))=2,MONTH('Raw Data'!N617),CONCATENATE("0",MONTH('Raw Data'!N617)))),CONCATENATE(MONTH('Raw Data'!N617),".",RIGHT(YEAR('Raw Data'!N617),2))),'Raw Data'!N617))</f>
        <v>348.48</v>
      </c>
      <c r="O617" s="6">
        <f t="shared" si="28"/>
        <v>4.7619047619047556</v>
      </c>
      <c r="P617" s="6">
        <f t="shared" si="29"/>
        <v>17.423999999999978</v>
      </c>
      <c r="Q617">
        <f>VALUE(IF(AND(ISERR(FIND(".",'Raw Data'!Q617)),LEN('Raw Data'!Q617)=5), IF(YEAR('Raw Data'!Q617)=2026,CONCATENATE(DAY('Raw Data'!Q617),".",IF(LEN(MONTH('Raw Data'!Q617))=2,MONTH('Raw Data'!Q617),CONCATENATE(MONTH('Raw Data'!Q617)))),CONCATENATE(MONTH('Raw Data'!Q617),".",RIGHT(YEAR('Raw Data'!Q617),2))),'Raw Data'!Q617))</f>
        <v>4.2</v>
      </c>
    </row>
    <row r="618" spans="1:17">
      <c r="A618" t="s">
        <v>705</v>
      </c>
      <c r="B618" t="s">
        <v>34</v>
      </c>
      <c r="C618" t="s">
        <v>35</v>
      </c>
      <c r="D618" t="s">
        <v>20</v>
      </c>
      <c r="E618" t="s">
        <v>30</v>
      </c>
      <c r="F618" t="s">
        <v>38</v>
      </c>
      <c r="G618">
        <f>VALUE(IF(AND(ISERR(FIND(".",'Raw Data'!G618)),LEN('Raw Data'!G618)=5), IF(YEAR('Raw Data'!G618)=2026,CONCATENATE(DAY('Raw Data'!G618),".",IF(LEN(MONTH('Raw Data'!G618))=2,MONTH('Raw Data'!G618),CONCATENATE("0",MONTH('Raw Data'!G618)))),CONCATENATE(MONTH('Raw Data'!G618),".",RIGHT(YEAR('Raw Data'!G618),2))),'Raw Data'!G618))</f>
        <v>72.599999999999994</v>
      </c>
      <c r="H618">
        <f>'Raw Data'!H618</f>
        <v>6</v>
      </c>
      <c r="I618" s="6">
        <f t="shared" si="27"/>
        <v>21.78000000000003</v>
      </c>
      <c r="J618" s="6">
        <f>'Raw Data'!J618</f>
        <v>457.38</v>
      </c>
      <c r="K618" s="1">
        <f>VALUE(IFERROR(VALUE('Raw Data'!K618),CONCATENATE(MID('Raw Data'!K618,3,2),".","0",LEFT('Raw Data'!K618,1),".", RIGHT('Raw Data'!K618,4))))</f>
        <v>43478</v>
      </c>
      <c r="L618" s="2">
        <f>'Raw Data'!L618</f>
        <v>0.82708333333333339</v>
      </c>
      <c r="M618" t="s">
        <v>29</v>
      </c>
      <c r="N618">
        <f>VALUE(IF(AND(ISERR(FIND(".",'Raw Data'!N618)),LEN('Raw Data'!N618)=5), IF(YEAR('Raw Data'!N618)=2026,CONCATENATE(DAY('Raw Data'!N618),".",IF(LEN(MONTH('Raw Data'!N618))=2,MONTH('Raw Data'!N618),CONCATENATE("0",MONTH('Raw Data'!N618)))),CONCATENATE(MONTH('Raw Data'!N618),".",RIGHT(YEAR('Raw Data'!N618),2))),'Raw Data'!N618))</f>
        <v>435.6</v>
      </c>
      <c r="O618" s="6">
        <f t="shared" si="28"/>
        <v>4.7619047619047556</v>
      </c>
      <c r="P618" s="6">
        <f t="shared" si="29"/>
        <v>21.779999999999973</v>
      </c>
      <c r="Q618">
        <f>VALUE(IF(AND(ISERR(FIND(".",'Raw Data'!Q618)),LEN('Raw Data'!Q618)=5), IF(YEAR('Raw Data'!Q618)=2026,CONCATENATE(DAY('Raw Data'!Q618),".",IF(LEN(MONTH('Raw Data'!Q618))=2,MONTH('Raw Data'!Q618),CONCATENATE(MONTH('Raw Data'!Q618)))),CONCATENATE(MONTH('Raw Data'!Q618),".",RIGHT(YEAR('Raw Data'!Q618),2))),'Raw Data'!Q618))</f>
        <v>6.9</v>
      </c>
    </row>
    <row r="619" spans="1:17">
      <c r="A619" t="s">
        <v>706</v>
      </c>
      <c r="B619" t="s">
        <v>25</v>
      </c>
      <c r="C619" t="s">
        <v>26</v>
      </c>
      <c r="D619" t="s">
        <v>20</v>
      </c>
      <c r="E619" t="s">
        <v>30</v>
      </c>
      <c r="F619" t="s">
        <v>28</v>
      </c>
      <c r="G619">
        <f>VALUE(IF(AND(ISERR(FIND(".",'Raw Data'!G619)),LEN('Raw Data'!G619)=5), IF(YEAR('Raw Data'!G619)=2026,CONCATENATE(DAY('Raw Data'!G619),".",IF(LEN(MONTH('Raw Data'!G619))=2,MONTH('Raw Data'!G619),CONCATENATE("0",MONTH('Raw Data'!G619)))),CONCATENATE(MONTH('Raw Data'!G619),".",RIGHT(YEAR('Raw Data'!G619),2))),'Raw Data'!G619))</f>
        <v>87.91</v>
      </c>
      <c r="H619">
        <f>'Raw Data'!H619</f>
        <v>5</v>
      </c>
      <c r="I619" s="6">
        <f t="shared" si="27"/>
        <v>21.97750000000002</v>
      </c>
      <c r="J619" s="6">
        <f>'Raw Data'!J619</f>
        <v>461.52749999999997</v>
      </c>
      <c r="K619" s="1">
        <f>VALUE(IFERROR(VALUE('Raw Data'!K619),CONCATENATE(MID('Raw Data'!K619,3,2),".","0",LEFT('Raw Data'!K619,1),".", RIGHT('Raw Data'!K619,4))))</f>
        <v>43538</v>
      </c>
      <c r="L619" s="2">
        <f>'Raw Data'!L619</f>
        <v>0.75694444444444453</v>
      </c>
      <c r="M619" t="s">
        <v>23</v>
      </c>
      <c r="N619">
        <f>VALUE(IF(AND(ISERR(FIND(".",'Raw Data'!N619)),LEN('Raw Data'!N619)=5), IF(YEAR('Raw Data'!N619)=2026,CONCATENATE(DAY('Raw Data'!N619),".",IF(LEN(MONTH('Raw Data'!N619))=2,MONTH('Raw Data'!N619),CONCATENATE("0",MONTH('Raw Data'!N619)))),CONCATENATE(MONTH('Raw Data'!N619),".",RIGHT(YEAR('Raw Data'!N619),2))),'Raw Data'!N619))</f>
        <v>439.55</v>
      </c>
      <c r="O619" s="6">
        <f t="shared" si="28"/>
        <v>4.7619047619047539</v>
      </c>
      <c r="P619" s="6">
        <f t="shared" si="29"/>
        <v>21.977499999999964</v>
      </c>
      <c r="Q619">
        <f>VALUE(IF(AND(ISERR(FIND(".",'Raw Data'!Q619)),LEN('Raw Data'!Q619)=5), IF(YEAR('Raw Data'!Q619)=2026,CONCATENATE(DAY('Raw Data'!Q619),".",IF(LEN(MONTH('Raw Data'!Q619))=2,MONTH('Raw Data'!Q619),CONCATENATE(MONTH('Raw Data'!Q619)))),CONCATENATE(MONTH('Raw Data'!Q619),".",RIGHT(YEAR('Raw Data'!Q619),2))),'Raw Data'!Q619))</f>
        <v>4.4000000000000004</v>
      </c>
    </row>
    <row r="620" spans="1:17">
      <c r="A620" t="s">
        <v>707</v>
      </c>
      <c r="B620" t="s">
        <v>18</v>
      </c>
      <c r="C620" t="s">
        <v>19</v>
      </c>
      <c r="D620" t="s">
        <v>20</v>
      </c>
      <c r="E620" t="s">
        <v>30</v>
      </c>
      <c r="F620" t="s">
        <v>40</v>
      </c>
      <c r="G620">
        <f>VALUE(IF(AND(ISERR(FIND(".",'Raw Data'!G620)),LEN('Raw Data'!G620)=5), IF(YEAR('Raw Data'!G620)=2026,CONCATENATE(DAY('Raw Data'!G620),".",IF(LEN(MONTH('Raw Data'!G620))=2,MONTH('Raw Data'!G620),CONCATENATE("0",MONTH('Raw Data'!G620)))),CONCATENATE(MONTH('Raw Data'!G620),".",RIGHT(YEAR('Raw Data'!G620),2))),'Raw Data'!G620))</f>
        <v>98.53</v>
      </c>
      <c r="H620">
        <f>'Raw Data'!H620</f>
        <v>6</v>
      </c>
      <c r="I620" s="6">
        <f t="shared" si="27"/>
        <v>29.558999999999969</v>
      </c>
      <c r="J620" s="6">
        <f>'Raw Data'!J620</f>
        <v>620.73900000000003</v>
      </c>
      <c r="K620" s="1">
        <f>VALUE(IFERROR(VALUE('Raw Data'!K620),CONCATENATE(MID('Raw Data'!K620,3,2),".","0",LEFT('Raw Data'!K620,1),".", RIGHT('Raw Data'!K620,4))))</f>
        <v>43488</v>
      </c>
      <c r="L620" s="2">
        <f>'Raw Data'!L620</f>
        <v>0.47361111111111115</v>
      </c>
      <c r="M620" t="s">
        <v>33</v>
      </c>
      <c r="N620">
        <f>VALUE(IF(AND(ISERR(FIND(".",'Raw Data'!N620)),LEN('Raw Data'!N620)=5), IF(YEAR('Raw Data'!N620)=2026,CONCATENATE(DAY('Raw Data'!N620),".",IF(LEN(MONTH('Raw Data'!N620))=2,MONTH('Raw Data'!N620),CONCATENATE("0",MONTH('Raw Data'!N620)))),CONCATENATE(MONTH('Raw Data'!N620),".",RIGHT(YEAR('Raw Data'!N620),2))),'Raw Data'!N620))</f>
        <v>591.17999999999995</v>
      </c>
      <c r="O620" s="6">
        <f t="shared" si="28"/>
        <v>4.7619047619047752</v>
      </c>
      <c r="P620" s="6">
        <f t="shared" si="29"/>
        <v>29.559000000000083</v>
      </c>
      <c r="Q620">
        <f>VALUE(IF(AND(ISERR(FIND(".",'Raw Data'!Q620)),LEN('Raw Data'!Q620)=5), IF(YEAR('Raw Data'!Q620)=2026,CONCATENATE(DAY('Raw Data'!Q620),".",IF(LEN(MONTH('Raw Data'!Q620))=2,MONTH('Raw Data'!Q620),CONCATENATE(MONTH('Raw Data'!Q620)))),CONCATENATE(MONTH('Raw Data'!Q620),".",RIGHT(YEAR('Raw Data'!Q620),2))),'Raw Data'!Q620))</f>
        <v>4</v>
      </c>
    </row>
    <row r="621" spans="1:17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43</v>
      </c>
      <c r="G621">
        <f>VALUE(IF(AND(ISERR(FIND(".",'Raw Data'!G621)),LEN('Raw Data'!G621)=5), IF(YEAR('Raw Data'!G621)=2026,CONCATENATE(DAY('Raw Data'!G621),".",IF(LEN(MONTH('Raw Data'!G621))=2,MONTH('Raw Data'!G621),CONCATENATE("0",MONTH('Raw Data'!G621)))),CONCATENATE(MONTH('Raw Data'!G621),".",RIGHT(YEAR('Raw Data'!G621),2))),'Raw Data'!G621))</f>
        <v>43.46</v>
      </c>
      <c r="H621">
        <f>'Raw Data'!H621</f>
        <v>6</v>
      </c>
      <c r="I621" s="6">
        <f t="shared" si="27"/>
        <v>13.038000000000011</v>
      </c>
      <c r="J621" s="6">
        <f>'Raw Data'!J621</f>
        <v>273.798</v>
      </c>
      <c r="K621" s="1">
        <f>VALUE(IFERROR(VALUE('Raw Data'!K621),CONCATENATE(MID('Raw Data'!K621,3,2),".","0",LEFT('Raw Data'!K621,1),".", RIGHT('Raw Data'!K621,4))))</f>
        <v>43648</v>
      </c>
      <c r="L621" s="2">
        <f>'Raw Data'!L621</f>
        <v>0.74652777777777779</v>
      </c>
      <c r="M621" t="s">
        <v>23</v>
      </c>
      <c r="N621">
        <f>VALUE(IF(AND(ISERR(FIND(".",'Raw Data'!N621)),LEN('Raw Data'!N621)=5), IF(YEAR('Raw Data'!N621)=2026,CONCATENATE(DAY('Raw Data'!N621),".",IF(LEN(MONTH('Raw Data'!N621))=2,MONTH('Raw Data'!N621),CONCATENATE("0",MONTH('Raw Data'!N621)))),CONCATENATE(MONTH('Raw Data'!N621),".",RIGHT(YEAR('Raw Data'!N621),2))),'Raw Data'!N621))</f>
        <v>260.76</v>
      </c>
      <c r="O621" s="6">
        <f t="shared" si="28"/>
        <v>4.7619047619047654</v>
      </c>
      <c r="P621" s="6">
        <f t="shared" si="29"/>
        <v>13.038000000000011</v>
      </c>
      <c r="Q621">
        <f>VALUE(IF(AND(ISERR(FIND(".",'Raw Data'!Q621)),LEN('Raw Data'!Q621)=5), IF(YEAR('Raw Data'!Q621)=2026,CONCATENATE(DAY('Raw Data'!Q621),".",IF(LEN(MONTH('Raw Data'!Q621))=2,MONTH('Raw Data'!Q621),CONCATENATE(MONTH('Raw Data'!Q621)))),CONCATENATE(MONTH('Raw Data'!Q621),".",RIGHT(YEAR('Raw Data'!Q621),2))),'Raw Data'!Q621))</f>
        <v>8.5</v>
      </c>
    </row>
    <row r="622" spans="1:17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40</v>
      </c>
      <c r="G622">
        <f>VALUE(IF(AND(ISERR(FIND(".",'Raw Data'!G622)),LEN('Raw Data'!G622)=5), IF(YEAR('Raw Data'!G622)=2026,CONCATENATE(DAY('Raw Data'!G622),".",IF(LEN(MONTH('Raw Data'!G622))=2,MONTH('Raw Data'!G622),CONCATENATE("0",MONTH('Raw Data'!G622)))),CONCATENATE(MONTH('Raw Data'!G622),".",RIGHT(YEAR('Raw Data'!G622),2))),'Raw Data'!G622))</f>
        <v>71.680000000000007</v>
      </c>
      <c r="H622">
        <f>'Raw Data'!H622</f>
        <v>3</v>
      </c>
      <c r="I622" s="6">
        <f t="shared" si="27"/>
        <v>10.751999999999981</v>
      </c>
      <c r="J622" s="6">
        <f>'Raw Data'!J622</f>
        <v>225.792</v>
      </c>
      <c r="K622" s="1">
        <f>VALUE(IFERROR(VALUE('Raw Data'!K622),CONCATENATE(MID('Raw Data'!K622,3,2),".","0",LEFT('Raw Data'!K622,1),".", RIGHT('Raw Data'!K622,4))))</f>
        <v>43552</v>
      </c>
      <c r="L622" s="2">
        <f>'Raw Data'!L622</f>
        <v>0.64583333333333337</v>
      </c>
      <c r="M622" t="s">
        <v>33</v>
      </c>
      <c r="N622">
        <f>VALUE(IF(AND(ISERR(FIND(".",'Raw Data'!N622)),LEN('Raw Data'!N622)=5), IF(YEAR('Raw Data'!N622)=2026,CONCATENATE(DAY('Raw Data'!N622),".",IF(LEN(MONTH('Raw Data'!N622))=2,MONTH('Raw Data'!N622),CONCATENATE("0",MONTH('Raw Data'!N622)))),CONCATENATE(MONTH('Raw Data'!N622),".",RIGHT(YEAR('Raw Data'!N622),2))),'Raw Data'!N622))</f>
        <v>215.04</v>
      </c>
      <c r="O622" s="6">
        <f t="shared" si="28"/>
        <v>4.7619047619047654</v>
      </c>
      <c r="P622" s="6">
        <f t="shared" si="29"/>
        <v>10.75200000000001</v>
      </c>
      <c r="Q622">
        <f>VALUE(IF(AND(ISERR(FIND(".",'Raw Data'!Q622)),LEN('Raw Data'!Q622)=5), IF(YEAR('Raw Data'!Q622)=2026,CONCATENATE(DAY('Raw Data'!Q622),".",IF(LEN(MONTH('Raw Data'!Q622))=2,MONTH('Raw Data'!Q622),CONCATENATE(MONTH('Raw Data'!Q622)))),CONCATENATE(MONTH('Raw Data'!Q622),".",RIGHT(YEAR('Raw Data'!Q622),2))),'Raw Data'!Q622))</f>
        <v>9.1999999999999993</v>
      </c>
    </row>
    <row r="623" spans="1:17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40</v>
      </c>
      <c r="G623">
        <f>VALUE(IF(AND(ISERR(FIND(".",'Raw Data'!G623)),LEN('Raw Data'!G623)=5), IF(YEAR('Raw Data'!G623)=2026,CONCATENATE(DAY('Raw Data'!G623),".",IF(LEN(MONTH('Raw Data'!G623))=2,MONTH('Raw Data'!G623),CONCATENATE("0",MONTH('Raw Data'!G623)))),CONCATENATE(MONTH('Raw Data'!G623),".",RIGHT(YEAR('Raw Data'!G623),2))),'Raw Data'!G623))</f>
        <v>91.61</v>
      </c>
      <c r="H623">
        <f>'Raw Data'!H623</f>
        <v>1</v>
      </c>
      <c r="I623" s="6">
        <f t="shared" si="27"/>
        <v>4.5805000000000007</v>
      </c>
      <c r="J623" s="6">
        <f>'Raw Data'!J623</f>
        <v>96.1905</v>
      </c>
      <c r="K623" s="1">
        <f>VALUE(IFERROR(VALUE('Raw Data'!K623),CONCATENATE(MID('Raw Data'!K623,3,2),".","0",LEFT('Raw Data'!K623,1),".", RIGHT('Raw Data'!K623,4))))</f>
        <v>43544</v>
      </c>
      <c r="L623" s="2">
        <f>'Raw Data'!L623</f>
        <v>0.8222222222222223</v>
      </c>
      <c r="M623" t="s">
        <v>29</v>
      </c>
      <c r="N623">
        <f>VALUE(IF(AND(ISERR(FIND(".",'Raw Data'!N623)),LEN('Raw Data'!N623)=5), IF(YEAR('Raw Data'!N623)=2026,CONCATENATE(DAY('Raw Data'!N623),".",IF(LEN(MONTH('Raw Data'!N623))=2,MONTH('Raw Data'!N623),CONCATENATE("0",MONTH('Raw Data'!N623)))),CONCATENATE(MONTH('Raw Data'!N623),".",RIGHT(YEAR('Raw Data'!N623),2))),'Raw Data'!N623))</f>
        <v>91.61</v>
      </c>
      <c r="O623" s="6">
        <f t="shared" si="28"/>
        <v>4.7619047619047628</v>
      </c>
      <c r="P623" s="6">
        <f t="shared" si="29"/>
        <v>4.5805000000000007</v>
      </c>
      <c r="Q623">
        <f>VALUE(IF(AND(ISERR(FIND(".",'Raw Data'!Q623)),LEN('Raw Data'!Q623)=5), IF(YEAR('Raw Data'!Q623)=2026,CONCATENATE(DAY('Raw Data'!Q623),".",IF(LEN(MONTH('Raw Data'!Q623))=2,MONTH('Raw Data'!Q623),CONCATENATE(MONTH('Raw Data'!Q623)))),CONCATENATE(MONTH('Raw Data'!Q623),".",RIGHT(YEAR('Raw Data'!Q623),2))),'Raw Data'!Q623))</f>
        <v>9.8000000000000007</v>
      </c>
    </row>
    <row r="624" spans="1:17">
      <c r="A624" t="s">
        <v>711</v>
      </c>
      <c r="B624" t="s">
        <v>34</v>
      </c>
      <c r="C624" t="s">
        <v>35</v>
      </c>
      <c r="D624" t="s">
        <v>20</v>
      </c>
      <c r="E624" t="s">
        <v>21</v>
      </c>
      <c r="F624" t="s">
        <v>32</v>
      </c>
      <c r="G624">
        <f>VALUE(IF(AND(ISERR(FIND(".",'Raw Data'!G624)),LEN('Raw Data'!G624)=5), IF(YEAR('Raw Data'!G624)=2026,CONCATENATE(DAY('Raw Data'!G624),".",IF(LEN(MONTH('Raw Data'!G624))=2,MONTH('Raw Data'!G624),CONCATENATE("0",MONTH('Raw Data'!G624)))),CONCATENATE(MONTH('Raw Data'!G624),".",RIGHT(YEAR('Raw Data'!G624),2))),'Raw Data'!G624))</f>
        <v>94.59</v>
      </c>
      <c r="H624">
        <f>'Raw Data'!H624</f>
        <v>7</v>
      </c>
      <c r="I624" s="6">
        <f t="shared" si="27"/>
        <v>33.106499999999983</v>
      </c>
      <c r="J624" s="6">
        <f>'Raw Data'!J624</f>
        <v>695.23649999999998</v>
      </c>
      <c r="K624" s="1">
        <f>VALUE(IFERROR(VALUE('Raw Data'!K624),CONCATENATE(MID('Raw Data'!K624,3,2),".","0",LEFT('Raw Data'!K624,1),".", RIGHT('Raw Data'!K624,4))))</f>
        <v>43482</v>
      </c>
      <c r="L624" s="2">
        <f>'Raw Data'!L624</f>
        <v>0.64374999999999993</v>
      </c>
      <c r="M624" t="s">
        <v>33</v>
      </c>
      <c r="N624">
        <f>VALUE(IF(AND(ISERR(FIND(".",'Raw Data'!N624)),LEN('Raw Data'!N624)=5), IF(YEAR('Raw Data'!N624)=2026,CONCATENATE(DAY('Raw Data'!N624),".",IF(LEN(MONTH('Raw Data'!N624))=2,MONTH('Raw Data'!N624),CONCATENATE("0",MONTH('Raw Data'!N624)))),CONCATENATE(MONTH('Raw Data'!N624),".",RIGHT(YEAR('Raw Data'!N624),2))),'Raw Data'!N624))</f>
        <v>662.13</v>
      </c>
      <c r="O624" s="6">
        <f t="shared" si="28"/>
        <v>4.7619047619047592</v>
      </c>
      <c r="P624" s="6">
        <f t="shared" si="29"/>
        <v>33.106499999999983</v>
      </c>
      <c r="Q624">
        <f>VALUE(IF(AND(ISERR(FIND(".",'Raw Data'!Q624)),LEN('Raw Data'!Q624)=5), IF(YEAR('Raw Data'!Q624)=2026,CONCATENATE(DAY('Raw Data'!Q624),".",IF(LEN(MONTH('Raw Data'!Q624))=2,MONTH('Raw Data'!Q624),CONCATENATE(MONTH('Raw Data'!Q624)))),CONCATENATE(MONTH('Raw Data'!Q624),".",RIGHT(YEAR('Raw Data'!Q624),2))),'Raw Data'!Q624))</f>
        <v>4.9000000000000004</v>
      </c>
    </row>
    <row r="625" spans="1:17">
      <c r="A625" t="s">
        <v>712</v>
      </c>
      <c r="B625" t="s">
        <v>34</v>
      </c>
      <c r="C625" t="s">
        <v>35</v>
      </c>
      <c r="D625" t="s">
        <v>27</v>
      </c>
      <c r="E625" t="s">
        <v>21</v>
      </c>
      <c r="F625" t="s">
        <v>43</v>
      </c>
      <c r="G625">
        <f>VALUE(IF(AND(ISERR(FIND(".",'Raw Data'!G625)),LEN('Raw Data'!G625)=5), IF(YEAR('Raw Data'!G625)=2026,CONCATENATE(DAY('Raw Data'!G625),".",IF(LEN(MONTH('Raw Data'!G625))=2,MONTH('Raw Data'!G625),CONCATENATE("0",MONTH('Raw Data'!G625)))),CONCATENATE(MONTH('Raw Data'!G625),".",RIGHT(YEAR('Raw Data'!G625),2))),'Raw Data'!G625))</f>
        <v>83.25</v>
      </c>
      <c r="H625">
        <f>'Raw Data'!H625</f>
        <v>10</v>
      </c>
      <c r="I625" s="6">
        <f t="shared" si="27"/>
        <v>41.625</v>
      </c>
      <c r="J625" s="6">
        <f>'Raw Data'!J625</f>
        <v>874.125</v>
      </c>
      <c r="K625" s="1">
        <f>VALUE(IFERROR(VALUE('Raw Data'!K625),CONCATENATE(MID('Raw Data'!K625,3,2),".","0",LEFT('Raw Data'!K625,1),".", RIGHT('Raw Data'!K625,4))))</f>
        <v>43800</v>
      </c>
      <c r="L625" s="2">
        <f>'Raw Data'!L625</f>
        <v>0.47569444444444442</v>
      </c>
      <c r="M625" t="s">
        <v>33</v>
      </c>
      <c r="N625">
        <f>VALUE(IF(AND(ISERR(FIND(".",'Raw Data'!N625)),LEN('Raw Data'!N625)=5), IF(YEAR('Raw Data'!N625)=2026,CONCATENATE(DAY('Raw Data'!N625),".",IF(LEN(MONTH('Raw Data'!N625))=2,MONTH('Raw Data'!N625),CONCATENATE("0",MONTH('Raw Data'!N625)))),CONCATENATE(MONTH('Raw Data'!N625),".",RIGHT(YEAR('Raw Data'!N625),2))),'Raw Data'!N625))</f>
        <v>832.5</v>
      </c>
      <c r="O625" s="6">
        <f t="shared" si="28"/>
        <v>4.7619047619047619</v>
      </c>
      <c r="P625" s="6">
        <f t="shared" si="29"/>
        <v>41.625</v>
      </c>
      <c r="Q625">
        <f>VALUE(IF(AND(ISERR(FIND(".",'Raw Data'!Q625)),LEN('Raw Data'!Q625)=5), IF(YEAR('Raw Data'!Q625)=2026,CONCATENATE(DAY('Raw Data'!Q625),".",IF(LEN(MONTH('Raw Data'!Q625))=2,MONTH('Raw Data'!Q625),CONCATENATE(MONTH('Raw Data'!Q625)))),CONCATENATE(MONTH('Raw Data'!Q625),".",RIGHT(YEAR('Raw Data'!Q625),2))),'Raw Data'!Q625))</f>
        <v>4.4000000000000004</v>
      </c>
    </row>
    <row r="626" spans="1:17">
      <c r="A626" t="s">
        <v>713</v>
      </c>
      <c r="B626" t="s">
        <v>34</v>
      </c>
      <c r="C626" t="s">
        <v>35</v>
      </c>
      <c r="D626" t="s">
        <v>20</v>
      </c>
      <c r="E626" t="s">
        <v>30</v>
      </c>
      <c r="F626" t="s">
        <v>43</v>
      </c>
      <c r="G626">
        <f>VALUE(IF(AND(ISERR(FIND(".",'Raw Data'!G626)),LEN('Raw Data'!G626)=5), IF(YEAR('Raw Data'!G626)=2026,CONCATENATE(DAY('Raw Data'!G626),".",IF(LEN(MONTH('Raw Data'!G626))=2,MONTH('Raw Data'!G626),CONCATENATE("0",MONTH('Raw Data'!G626)))),CONCATENATE(MONTH('Raw Data'!G626),".",RIGHT(YEAR('Raw Data'!G626),2))),'Raw Data'!G626))</f>
        <v>91.35</v>
      </c>
      <c r="H626">
        <f>'Raw Data'!H626</f>
        <v>1</v>
      </c>
      <c r="I626" s="6">
        <f t="shared" si="27"/>
        <v>4.5675000000000097</v>
      </c>
      <c r="J626" s="6">
        <f>'Raw Data'!J626</f>
        <v>95.917500000000004</v>
      </c>
      <c r="K626" s="1">
        <f>VALUE(IFERROR(VALUE('Raw Data'!K626),CONCATENATE(MID('Raw Data'!K626,3,2),".","0",LEFT('Raw Data'!K626,1),".", RIGHT('Raw Data'!K626,4))))</f>
        <v>43512</v>
      </c>
      <c r="L626" s="2">
        <f>'Raw Data'!L626</f>
        <v>0.65416666666666667</v>
      </c>
      <c r="M626" t="s">
        <v>29</v>
      </c>
      <c r="N626">
        <f>VALUE(IF(AND(ISERR(FIND(".",'Raw Data'!N626)),LEN('Raw Data'!N626)=5), IF(YEAR('Raw Data'!N626)=2026,CONCATENATE(DAY('Raw Data'!N626),".",IF(LEN(MONTH('Raw Data'!N626))=2,MONTH('Raw Data'!N626),CONCATENATE("0",MONTH('Raw Data'!N626)))),CONCATENATE(MONTH('Raw Data'!N626),".",RIGHT(YEAR('Raw Data'!N626),2))),'Raw Data'!N626))</f>
        <v>91.35</v>
      </c>
      <c r="O626" s="6">
        <f t="shared" si="28"/>
        <v>4.7619047619047716</v>
      </c>
      <c r="P626" s="6">
        <f t="shared" si="29"/>
        <v>4.5675000000000097</v>
      </c>
      <c r="Q626">
        <f>VALUE(IF(AND(ISERR(FIND(".",'Raw Data'!Q626)),LEN('Raw Data'!Q626)=5), IF(YEAR('Raw Data'!Q626)=2026,CONCATENATE(DAY('Raw Data'!Q626),".",IF(LEN(MONTH('Raw Data'!Q626))=2,MONTH('Raw Data'!Q626),CONCATENATE(MONTH('Raw Data'!Q626)))),CONCATENATE(MONTH('Raw Data'!Q626),".",RIGHT(YEAR('Raw Data'!Q626),2))),'Raw Data'!Q626))</f>
        <v>6.8</v>
      </c>
    </row>
    <row r="627" spans="1:17">
      <c r="A627" t="s">
        <v>714</v>
      </c>
      <c r="B627" t="s">
        <v>34</v>
      </c>
      <c r="C627" t="s">
        <v>35</v>
      </c>
      <c r="D627" t="s">
        <v>20</v>
      </c>
      <c r="E627" t="s">
        <v>21</v>
      </c>
      <c r="F627" t="s">
        <v>40</v>
      </c>
      <c r="G627">
        <f>VALUE(IF(AND(ISERR(FIND(".",'Raw Data'!G627)),LEN('Raw Data'!G627)=5), IF(YEAR('Raw Data'!G627)=2026,CONCATENATE(DAY('Raw Data'!G627),".",IF(LEN(MONTH('Raw Data'!G627))=2,MONTH('Raw Data'!G627),CONCATENATE("0",MONTH('Raw Data'!G627)))),CONCATENATE(MONTH('Raw Data'!G627),".",RIGHT(YEAR('Raw Data'!G627),2))),'Raw Data'!G627))</f>
        <v>78.88</v>
      </c>
      <c r="H627">
        <f>'Raw Data'!H627</f>
        <v>2</v>
      </c>
      <c r="I627" s="6">
        <f t="shared" si="27"/>
        <v>7.8880000000000052</v>
      </c>
      <c r="J627" s="6">
        <f>'Raw Data'!J627</f>
        <v>165.648</v>
      </c>
      <c r="K627" s="1">
        <f>VALUE(IFERROR(VALUE('Raw Data'!K627),CONCATENATE(MID('Raw Data'!K627,3,2),".","0",LEFT('Raw Data'!K627,1),".", RIGHT('Raw Data'!K627,4))))</f>
        <v>43491</v>
      </c>
      <c r="L627" s="2">
        <f>'Raw Data'!L627</f>
        <v>0.6694444444444444</v>
      </c>
      <c r="M627" t="s">
        <v>29</v>
      </c>
      <c r="N627">
        <f>VALUE(IF(AND(ISERR(FIND(".",'Raw Data'!N627)),LEN('Raw Data'!N627)=5), IF(YEAR('Raw Data'!N627)=2026,CONCATENATE(DAY('Raw Data'!N627),".",IF(LEN(MONTH('Raw Data'!N627))=2,MONTH('Raw Data'!N627),CONCATENATE("0",MONTH('Raw Data'!N627)))),CONCATENATE(MONTH('Raw Data'!N627),".",RIGHT(YEAR('Raw Data'!N627),2))),'Raw Data'!N627))</f>
        <v>157.76</v>
      </c>
      <c r="O627" s="6">
        <f t="shared" si="28"/>
        <v>4.7619047619047654</v>
      </c>
      <c r="P627" s="6">
        <f t="shared" si="29"/>
        <v>7.8880000000000052</v>
      </c>
      <c r="Q627">
        <f>VALUE(IF(AND(ISERR(FIND(".",'Raw Data'!Q627)),LEN('Raw Data'!Q627)=5), IF(YEAR('Raw Data'!Q627)=2026,CONCATENATE(DAY('Raw Data'!Q627),".",IF(LEN(MONTH('Raw Data'!Q627))=2,MONTH('Raw Data'!Q627),CONCATENATE(MONTH('Raw Data'!Q627)))),CONCATENATE(MONTH('Raw Data'!Q627),".",RIGHT(YEAR('Raw Data'!Q627),2))),'Raw Data'!Q627))</f>
        <v>9.1</v>
      </c>
    </row>
    <row r="628" spans="1:17">
      <c r="A628" t="s">
        <v>715</v>
      </c>
      <c r="B628" t="s">
        <v>18</v>
      </c>
      <c r="C628" t="s">
        <v>19</v>
      </c>
      <c r="D628" t="s">
        <v>27</v>
      </c>
      <c r="E628" t="s">
        <v>30</v>
      </c>
      <c r="F628" t="s">
        <v>38</v>
      </c>
      <c r="G628">
        <f>VALUE(IF(AND(ISERR(FIND(".",'Raw Data'!G628)),LEN('Raw Data'!G628)=5), IF(YEAR('Raw Data'!G628)=2026,CONCATENATE(DAY('Raw Data'!G628),".",IF(LEN(MONTH('Raw Data'!G628))=2,MONTH('Raw Data'!G628),CONCATENATE("0",MONTH('Raw Data'!G628)))),CONCATENATE(MONTH('Raw Data'!G628),".",RIGHT(YEAR('Raw Data'!G628),2))),'Raw Data'!G628))</f>
        <v>60.87</v>
      </c>
      <c r="H628">
        <f>'Raw Data'!H628</f>
        <v>2</v>
      </c>
      <c r="I628" s="6">
        <f t="shared" si="27"/>
        <v>6.0870000000000033</v>
      </c>
      <c r="J628" s="6">
        <f>'Raw Data'!J628</f>
        <v>127.827</v>
      </c>
      <c r="K628" s="1">
        <f>VALUE(IFERROR(VALUE('Raw Data'!K628),CONCATENATE(MID('Raw Data'!K628,3,2),".","0",LEFT('Raw Data'!K628,1),".", RIGHT('Raw Data'!K628,4))))</f>
        <v>43711</v>
      </c>
      <c r="L628" s="2">
        <f>'Raw Data'!L628</f>
        <v>0.52569444444444446</v>
      </c>
      <c r="M628" t="s">
        <v>23</v>
      </c>
      <c r="N628">
        <f>VALUE(IF(AND(ISERR(FIND(".",'Raw Data'!N628)),LEN('Raw Data'!N628)=5), IF(YEAR('Raw Data'!N628)=2026,CONCATENATE(DAY('Raw Data'!N628),".",IF(LEN(MONTH('Raw Data'!N628))=2,MONTH('Raw Data'!N628),CONCATENATE("0",MONTH('Raw Data'!N628)))),CONCATENATE(MONTH('Raw Data'!N628),".",RIGHT(YEAR('Raw Data'!N628),2))),'Raw Data'!N628))</f>
        <v>121.74</v>
      </c>
      <c r="O628" s="6">
        <f t="shared" si="28"/>
        <v>4.7619047619047645</v>
      </c>
      <c r="P628" s="6">
        <f t="shared" si="29"/>
        <v>6.0870000000000033</v>
      </c>
      <c r="Q628">
        <f>VALUE(IF(AND(ISERR(FIND(".",'Raw Data'!Q628)),LEN('Raw Data'!Q628)=5), IF(YEAR('Raw Data'!Q628)=2026,CONCATENATE(DAY('Raw Data'!Q628),".",IF(LEN(MONTH('Raw Data'!Q628))=2,MONTH('Raw Data'!Q628),CONCATENATE(MONTH('Raw Data'!Q628)))),CONCATENATE(MONTH('Raw Data'!Q628),".",RIGHT(YEAR('Raw Data'!Q628),2))),'Raw Data'!Q628))</f>
        <v>8.6999999999999993</v>
      </c>
    </row>
    <row r="629" spans="1:17">
      <c r="A629" t="s">
        <v>716</v>
      </c>
      <c r="B629" t="s">
        <v>34</v>
      </c>
      <c r="C629" t="s">
        <v>35</v>
      </c>
      <c r="D629" t="s">
        <v>20</v>
      </c>
      <c r="E629" t="s">
        <v>30</v>
      </c>
      <c r="F629" t="s">
        <v>22</v>
      </c>
      <c r="G629">
        <f>VALUE(IF(AND(ISERR(FIND(".",'Raw Data'!G629)),LEN('Raw Data'!G629)=5), IF(YEAR('Raw Data'!G629)=2026,CONCATENATE(DAY('Raw Data'!G629),".",IF(LEN(MONTH('Raw Data'!G629))=2,MONTH('Raw Data'!G629),CONCATENATE("0",MONTH('Raw Data'!G629)))),CONCATENATE(MONTH('Raw Data'!G629),".",RIGHT(YEAR('Raw Data'!G629),2))),'Raw Data'!G629))</f>
        <v>82.58</v>
      </c>
      <c r="H629">
        <f>'Raw Data'!H629</f>
        <v>10</v>
      </c>
      <c r="I629" s="6">
        <f t="shared" si="27"/>
        <v>41.290000000000077</v>
      </c>
      <c r="J629" s="6">
        <f>'Raw Data'!J629</f>
        <v>867.09</v>
      </c>
      <c r="K629" s="1">
        <f>VALUE(IFERROR(VALUE('Raw Data'!K629),CONCATENATE(MID('Raw Data'!K629,3,2),".","0",LEFT('Raw Data'!K629,1),".", RIGHT('Raw Data'!K629,4))))</f>
        <v>43538</v>
      </c>
      <c r="L629" s="2">
        <f>'Raw Data'!L629</f>
        <v>0.6118055555555556</v>
      </c>
      <c r="M629" t="s">
        <v>29</v>
      </c>
      <c r="N629">
        <f>VALUE(IF(AND(ISERR(FIND(".",'Raw Data'!N629)),LEN('Raw Data'!N629)=5), IF(YEAR('Raw Data'!N629)=2026,CONCATENATE(DAY('Raw Data'!N629),".",IF(LEN(MONTH('Raw Data'!N629))=2,MONTH('Raw Data'!N629),CONCATENATE("0",MONTH('Raw Data'!N629)))),CONCATENATE(MONTH('Raw Data'!N629),".",RIGHT(YEAR('Raw Data'!N629),2))),'Raw Data'!N629))</f>
        <v>825.8</v>
      </c>
      <c r="O629" s="6">
        <f t="shared" si="28"/>
        <v>4.7619047619047707</v>
      </c>
      <c r="P629" s="6">
        <f t="shared" si="29"/>
        <v>41.290000000000077</v>
      </c>
      <c r="Q629">
        <f>VALUE(IF(AND(ISERR(FIND(".",'Raw Data'!Q629)),LEN('Raw Data'!Q629)=5), IF(YEAR('Raw Data'!Q629)=2026,CONCATENATE(DAY('Raw Data'!Q629),".",IF(LEN(MONTH('Raw Data'!Q629))=2,MONTH('Raw Data'!Q629),CONCATENATE(MONTH('Raw Data'!Q629)))),CONCATENATE(MONTH('Raw Data'!Q629),".",RIGHT(YEAR('Raw Data'!Q629),2))),'Raw Data'!Q629))</f>
        <v>5</v>
      </c>
    </row>
    <row r="630" spans="1:17">
      <c r="A630" t="s">
        <v>717</v>
      </c>
      <c r="B630" t="s">
        <v>18</v>
      </c>
      <c r="C630" t="s">
        <v>19</v>
      </c>
      <c r="D630" t="s">
        <v>20</v>
      </c>
      <c r="E630" t="s">
        <v>30</v>
      </c>
      <c r="F630" t="s">
        <v>32</v>
      </c>
      <c r="G630">
        <f>VALUE(IF(AND(ISERR(FIND(".",'Raw Data'!G630)),LEN('Raw Data'!G630)=5), IF(YEAR('Raw Data'!G630)=2026,CONCATENATE(DAY('Raw Data'!G630),".",IF(LEN(MONTH('Raw Data'!G630))=2,MONTH('Raw Data'!G630),CONCATENATE("0",MONTH('Raw Data'!G630)))),CONCATENATE(MONTH('Raw Data'!G630),".",RIGHT(YEAR('Raw Data'!G630),2))),'Raw Data'!G630))</f>
        <v>53.3</v>
      </c>
      <c r="H630">
        <f>'Raw Data'!H630</f>
        <v>3</v>
      </c>
      <c r="I630" s="6">
        <f t="shared" si="27"/>
        <v>7.995000000000033</v>
      </c>
      <c r="J630" s="6">
        <f>'Raw Data'!J630</f>
        <v>167.89500000000001</v>
      </c>
      <c r="K630" s="1">
        <f>VALUE(IFERROR(VALUE('Raw Data'!K630),CONCATENATE(MID('Raw Data'!K630,3,2),".","0",LEFT('Raw Data'!K630,1),".", RIGHT('Raw Data'!K630,4))))</f>
        <v>43490</v>
      </c>
      <c r="L630" s="2">
        <f>'Raw Data'!L630</f>
        <v>0.59652777777777777</v>
      </c>
      <c r="M630" t="s">
        <v>23</v>
      </c>
      <c r="N630">
        <f>VALUE(IF(AND(ISERR(FIND(".",'Raw Data'!N630)),LEN('Raw Data'!N630)=5), IF(YEAR('Raw Data'!N630)=2026,CONCATENATE(DAY('Raw Data'!N630),".",IF(LEN(MONTH('Raw Data'!N630))=2,MONTH('Raw Data'!N630),CONCATENATE("0",MONTH('Raw Data'!N630)))),CONCATENATE(MONTH('Raw Data'!N630),".",RIGHT(YEAR('Raw Data'!N630),2))),'Raw Data'!N630))</f>
        <v>159.9</v>
      </c>
      <c r="O630" s="6">
        <f t="shared" si="28"/>
        <v>4.7619047619047645</v>
      </c>
      <c r="P630" s="6">
        <f t="shared" si="29"/>
        <v>7.9950000000000045</v>
      </c>
      <c r="Q630">
        <f>VALUE(IF(AND(ISERR(FIND(".",'Raw Data'!Q630)),LEN('Raw Data'!Q630)=5), IF(YEAR('Raw Data'!Q630)=2026,CONCATENATE(DAY('Raw Data'!Q630),".",IF(LEN(MONTH('Raw Data'!Q630))=2,MONTH('Raw Data'!Q630),CONCATENATE(MONTH('Raw Data'!Q630)))),CONCATENATE(MONTH('Raw Data'!Q630),".",RIGHT(YEAR('Raw Data'!Q630),2))),'Raw Data'!Q630))</f>
        <v>7.5</v>
      </c>
    </row>
    <row r="631" spans="1:17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43</v>
      </c>
      <c r="G631">
        <f>VALUE(IF(AND(ISERR(FIND(".",'Raw Data'!G631)),LEN('Raw Data'!G631)=5), IF(YEAR('Raw Data'!G631)=2026,CONCATENATE(DAY('Raw Data'!G631),".",IF(LEN(MONTH('Raw Data'!G631))=2,MONTH('Raw Data'!G631),CONCATENATE("0",MONTH('Raw Data'!G631)))),CONCATENATE(MONTH('Raw Data'!G631),".",RIGHT(YEAR('Raw Data'!G631),2))),'Raw Data'!G631))</f>
        <v>12.09</v>
      </c>
      <c r="H631">
        <f>'Raw Data'!H631</f>
        <v>1</v>
      </c>
      <c r="I631" s="6">
        <f t="shared" si="27"/>
        <v>16759.91</v>
      </c>
      <c r="J631" s="6">
        <f>'Raw Data'!J631</f>
        <v>16772</v>
      </c>
      <c r="K631" s="1">
        <f>VALUE(IFERROR(VALUE('Raw Data'!K631),CONCATENATE(MID('Raw Data'!K631,3,2),".","0",LEFT('Raw Data'!K631,1),".", RIGHT('Raw Data'!K631,4))))</f>
        <v>43491</v>
      </c>
      <c r="L631" s="2">
        <f>'Raw Data'!L631</f>
        <v>0.7631944444444444</v>
      </c>
      <c r="M631" t="s">
        <v>33</v>
      </c>
      <c r="N631">
        <f>VALUE(IF(AND(ISERR(FIND(".",'Raw Data'!N631)),LEN('Raw Data'!N631)=5), IF(YEAR('Raw Data'!N631)=2026,CONCATENATE(DAY('Raw Data'!N631),".",IF(LEN(MONTH('Raw Data'!N631))=2,MONTH('Raw Data'!N631),CONCATENATE("0",MONTH('Raw Data'!N631)))),CONCATENATE(MONTH('Raw Data'!N631),".",RIGHT(YEAR('Raw Data'!N631),2))),'Raw Data'!N631))</f>
        <v>12.09</v>
      </c>
      <c r="O631" s="6">
        <f t="shared" si="28"/>
        <v>99.927915573575007</v>
      </c>
      <c r="P631" s="6">
        <f t="shared" si="29"/>
        <v>16759.91</v>
      </c>
      <c r="Q631">
        <f>VALUE(IF(AND(ISERR(FIND(".",'Raw Data'!Q631)),LEN('Raw Data'!Q631)=5), IF(YEAR('Raw Data'!Q631)=2026,CONCATENATE(DAY('Raw Data'!Q631),".",IF(LEN(MONTH('Raw Data'!Q631))=2,MONTH('Raw Data'!Q631),CONCATENATE(MONTH('Raw Data'!Q631)))),CONCATENATE(MONTH('Raw Data'!Q631),".",RIGHT(YEAR('Raw Data'!Q631),2))),'Raw Data'!Q631))</f>
        <v>8.1999999999999993</v>
      </c>
    </row>
    <row r="632" spans="1:17">
      <c r="A632" t="s">
        <v>719</v>
      </c>
      <c r="B632" t="s">
        <v>18</v>
      </c>
      <c r="C632" t="s">
        <v>19</v>
      </c>
      <c r="D632" t="s">
        <v>27</v>
      </c>
      <c r="E632" t="s">
        <v>30</v>
      </c>
      <c r="F632" t="s">
        <v>38</v>
      </c>
      <c r="G632">
        <f>VALUE(IF(AND(ISERR(FIND(".",'Raw Data'!G632)),LEN('Raw Data'!G632)=5), IF(YEAR('Raw Data'!G632)=2026,CONCATENATE(DAY('Raw Data'!G632),".",IF(LEN(MONTH('Raw Data'!G632))=2,MONTH('Raw Data'!G632),CONCATENATE("0",MONTH('Raw Data'!G632)))),CONCATENATE(MONTH('Raw Data'!G632),".",RIGHT(YEAR('Raw Data'!G632),2))),'Raw Data'!G632))</f>
        <v>64.19</v>
      </c>
      <c r="H632">
        <f>'Raw Data'!H632</f>
        <v>10</v>
      </c>
      <c r="I632" s="6">
        <f t="shared" si="27"/>
        <v>32.095000000000027</v>
      </c>
      <c r="J632" s="6">
        <f>'Raw Data'!J632</f>
        <v>673.995</v>
      </c>
      <c r="K632" s="1">
        <f>VALUE(IFERROR(VALUE('Raw Data'!K632),CONCATENATE(MID('Raw Data'!K632,3,2),".","0",LEFT('Raw Data'!K632,1),".", RIGHT('Raw Data'!K632,4))))</f>
        <v>43484</v>
      </c>
      <c r="L632" s="2">
        <f>'Raw Data'!L632</f>
        <v>0.58888888888888891</v>
      </c>
      <c r="M632" t="s">
        <v>33</v>
      </c>
      <c r="N632">
        <f>VALUE(IF(AND(ISERR(FIND(".",'Raw Data'!N632)),LEN('Raw Data'!N632)=5), IF(YEAR('Raw Data'!N632)=2026,CONCATENATE(DAY('Raw Data'!N632),".",IF(LEN(MONTH('Raw Data'!N632))=2,MONTH('Raw Data'!N632),CONCATENATE("0",MONTH('Raw Data'!N632)))),CONCATENATE(MONTH('Raw Data'!N632),".",RIGHT(YEAR('Raw Data'!N632),2))),'Raw Data'!N632))</f>
        <v>641.9</v>
      </c>
      <c r="O632" s="6">
        <f t="shared" si="28"/>
        <v>4.7619047619047654</v>
      </c>
      <c r="P632" s="6">
        <f t="shared" si="29"/>
        <v>32.095000000000027</v>
      </c>
      <c r="Q632">
        <f>VALUE(IF(AND(ISERR(FIND(".",'Raw Data'!Q632)),LEN('Raw Data'!Q632)=5), IF(YEAR('Raw Data'!Q632)=2026,CONCATENATE(DAY('Raw Data'!Q632),".",IF(LEN(MONTH('Raw Data'!Q632))=2,MONTH('Raw Data'!Q632),CONCATENATE(MONTH('Raw Data'!Q632)))),CONCATENATE(MONTH('Raw Data'!Q632),".",RIGHT(YEAR('Raw Data'!Q632),2))),'Raw Data'!Q632))</f>
        <v>6.7</v>
      </c>
    </row>
    <row r="633" spans="1:17">
      <c r="A633" t="s">
        <v>720</v>
      </c>
      <c r="B633" t="s">
        <v>18</v>
      </c>
      <c r="C633" t="s">
        <v>19</v>
      </c>
      <c r="D633" t="s">
        <v>27</v>
      </c>
      <c r="E633" t="s">
        <v>30</v>
      </c>
      <c r="F633" t="s">
        <v>28</v>
      </c>
      <c r="G633">
        <f>VALUE(IF(AND(ISERR(FIND(".",'Raw Data'!G633)),LEN('Raw Data'!G633)=5), IF(YEAR('Raw Data'!G633)=2026,CONCATENATE(DAY('Raw Data'!G633),".",IF(LEN(MONTH('Raw Data'!G633))=2,MONTH('Raw Data'!G633),CONCATENATE("0",MONTH('Raw Data'!G633)))),CONCATENATE(MONTH('Raw Data'!G633),".",RIGHT(YEAR('Raw Data'!G633),2))),'Raw Data'!G633))</f>
        <v>78.31</v>
      </c>
      <c r="H633">
        <f>'Raw Data'!H633</f>
        <v>3</v>
      </c>
      <c r="I633" s="6">
        <f t="shared" si="27"/>
        <v>11.746499999999997</v>
      </c>
      <c r="J633" s="6">
        <f>'Raw Data'!J633</f>
        <v>246.6765</v>
      </c>
      <c r="K633" s="1">
        <f>VALUE(IFERROR(VALUE('Raw Data'!K633),CONCATENATE(MID('Raw Data'!K633,3,2),".","0",LEFT('Raw Data'!K633,1),".", RIGHT('Raw Data'!K633,4))))</f>
        <v>43588</v>
      </c>
      <c r="L633" s="2">
        <f>'Raw Data'!L633</f>
        <v>0.69305555555555554</v>
      </c>
      <c r="M633" t="s">
        <v>23</v>
      </c>
      <c r="N633">
        <f>VALUE(IF(AND(ISERR(FIND(".",'Raw Data'!N633)),LEN('Raw Data'!N633)=5), IF(YEAR('Raw Data'!N633)=2026,CONCATENATE(DAY('Raw Data'!N633),".",IF(LEN(MONTH('Raw Data'!N633))=2,MONTH('Raw Data'!N633),CONCATENATE("0",MONTH('Raw Data'!N633)))),CONCATENATE(MONTH('Raw Data'!N633),".",RIGHT(YEAR('Raw Data'!N633),2))),'Raw Data'!N633))</f>
        <v>234.93</v>
      </c>
      <c r="O633" s="6">
        <f t="shared" si="28"/>
        <v>4.761904761904761</v>
      </c>
      <c r="P633" s="6">
        <f t="shared" si="29"/>
        <v>11.746499999999997</v>
      </c>
      <c r="Q633">
        <f>VALUE(IF(AND(ISERR(FIND(".",'Raw Data'!Q633)),LEN('Raw Data'!Q633)=5), IF(YEAR('Raw Data'!Q633)=2026,CONCATENATE(DAY('Raw Data'!Q633),".",IF(LEN(MONTH('Raw Data'!Q633))=2,MONTH('Raw Data'!Q633),CONCATENATE(MONTH('Raw Data'!Q633)))),CONCATENATE(MONTH('Raw Data'!Q633),".",RIGHT(YEAR('Raw Data'!Q633),2))),'Raw Data'!Q633))</f>
        <v>5.4</v>
      </c>
    </row>
    <row r="634" spans="1:17">
      <c r="A634" t="s">
        <v>721</v>
      </c>
      <c r="B634" t="s">
        <v>18</v>
      </c>
      <c r="C634" t="s">
        <v>19</v>
      </c>
      <c r="D634" t="s">
        <v>20</v>
      </c>
      <c r="E634" t="s">
        <v>30</v>
      </c>
      <c r="F634" t="s">
        <v>40</v>
      </c>
      <c r="G634">
        <f>VALUE(IF(AND(ISERR(FIND(".",'Raw Data'!G634)),LEN('Raw Data'!G634)=5), IF(YEAR('Raw Data'!G634)=2026,CONCATENATE(DAY('Raw Data'!G634),".",IF(LEN(MONTH('Raw Data'!G634))=2,MONTH('Raw Data'!G634),CONCATENATE("0",MONTH('Raw Data'!G634)))),CONCATENATE(MONTH('Raw Data'!G634),".",RIGHT(YEAR('Raw Data'!G634),2))),'Raw Data'!G634))</f>
        <v>83.77</v>
      </c>
      <c r="H634">
        <f>'Raw Data'!H634</f>
        <v>2</v>
      </c>
      <c r="I634" s="6">
        <f t="shared" si="27"/>
        <v>8.3770000000000095</v>
      </c>
      <c r="J634" s="6">
        <f>'Raw Data'!J634</f>
        <v>175.917</v>
      </c>
      <c r="K634" s="1">
        <f>VALUE(IFERROR(VALUE('Raw Data'!K634),CONCATENATE(MID('Raw Data'!K634,3,2),".","0",LEFT('Raw Data'!K634,1),".", RIGHT('Raw Data'!K634,4))))</f>
        <v>43480</v>
      </c>
      <c r="L634" s="2">
        <f>'Raw Data'!L634</f>
        <v>0.45416666666666666</v>
      </c>
      <c r="M634" t="s">
        <v>33</v>
      </c>
      <c r="N634">
        <f>VALUE(IF(AND(ISERR(FIND(".",'Raw Data'!N634)),LEN('Raw Data'!N634)=5), IF(YEAR('Raw Data'!N634)=2026,CONCATENATE(DAY('Raw Data'!N634),".",IF(LEN(MONTH('Raw Data'!N634))=2,MONTH('Raw Data'!N634),CONCATENATE("0",MONTH('Raw Data'!N634)))),CONCATENATE(MONTH('Raw Data'!N634),".",RIGHT(YEAR('Raw Data'!N634),2))),'Raw Data'!N634))</f>
        <v>167.54</v>
      </c>
      <c r="O634" s="6">
        <f t="shared" si="28"/>
        <v>4.7619047619047672</v>
      </c>
      <c r="P634" s="6">
        <f t="shared" si="29"/>
        <v>8.3770000000000095</v>
      </c>
      <c r="Q634">
        <f>VALUE(IF(AND(ISERR(FIND(".",'Raw Data'!Q634)),LEN('Raw Data'!Q634)=5), IF(YEAR('Raw Data'!Q634)=2026,CONCATENATE(DAY('Raw Data'!Q634),".",IF(LEN(MONTH('Raw Data'!Q634))=2,MONTH('Raw Data'!Q634),CONCATENATE(MONTH('Raw Data'!Q634)))),CONCATENATE(MONTH('Raw Data'!Q634),".",RIGHT(YEAR('Raw Data'!Q634),2))),'Raw Data'!Q634))</f>
        <v>7</v>
      </c>
    </row>
    <row r="635" spans="1:17">
      <c r="A635" t="s">
        <v>722</v>
      </c>
      <c r="B635" t="s">
        <v>34</v>
      </c>
      <c r="C635" t="s">
        <v>35</v>
      </c>
      <c r="D635" t="s">
        <v>27</v>
      </c>
      <c r="E635" t="s">
        <v>30</v>
      </c>
      <c r="F635" t="s">
        <v>32</v>
      </c>
      <c r="G635">
        <f>VALUE(IF(AND(ISERR(FIND(".",'Raw Data'!G635)),LEN('Raw Data'!G635)=5), IF(YEAR('Raw Data'!G635)=2026,CONCATENATE(DAY('Raw Data'!G635),".",IF(LEN(MONTH('Raw Data'!G635))=2,MONTH('Raw Data'!G635),CONCATENATE("0",MONTH('Raw Data'!G635)))),CONCATENATE(MONTH('Raw Data'!G635),".",RIGHT(YEAR('Raw Data'!G635),2))),'Raw Data'!G635))</f>
        <v>99.7</v>
      </c>
      <c r="H635">
        <f>'Raw Data'!H635</f>
        <v>3</v>
      </c>
      <c r="I635" s="6">
        <f t="shared" si="27"/>
        <v>14.954999999999984</v>
      </c>
      <c r="J635" s="6">
        <f>'Raw Data'!J635</f>
        <v>314.05500000000001</v>
      </c>
      <c r="K635" s="1">
        <f>VALUE(IFERROR(VALUE('Raw Data'!K635),CONCATENATE(MID('Raw Data'!K635,3,2),".","0",LEFT('Raw Data'!K635,1),".", RIGHT('Raw Data'!K635,4))))</f>
        <v>43542</v>
      </c>
      <c r="L635" s="2">
        <f>'Raw Data'!L635</f>
        <v>0.47847222222222219</v>
      </c>
      <c r="M635" t="s">
        <v>23</v>
      </c>
      <c r="N635">
        <f>VALUE(IF(AND(ISERR(FIND(".",'Raw Data'!N635)),LEN('Raw Data'!N635)=5), IF(YEAR('Raw Data'!N635)=2026,CONCATENATE(DAY('Raw Data'!N635),".",IF(LEN(MONTH('Raw Data'!N635))=2,MONTH('Raw Data'!N635),CONCATENATE("0",MONTH('Raw Data'!N635)))),CONCATENATE(MONTH('Raw Data'!N635),".",RIGHT(YEAR('Raw Data'!N635),2))),'Raw Data'!N635))</f>
        <v>299.10000000000002</v>
      </c>
      <c r="O635" s="6">
        <f t="shared" si="28"/>
        <v>4.7619047619047565</v>
      </c>
      <c r="P635" s="6">
        <f t="shared" si="29"/>
        <v>14.954999999999984</v>
      </c>
      <c r="Q635">
        <f>VALUE(IF(AND(ISERR(FIND(".",'Raw Data'!Q635)),LEN('Raw Data'!Q635)=5), IF(YEAR('Raw Data'!Q635)=2026,CONCATENATE(DAY('Raw Data'!Q635),".",IF(LEN(MONTH('Raw Data'!Q635))=2,MONTH('Raw Data'!Q635),CONCATENATE(MONTH('Raw Data'!Q635)))),CONCATENATE(MONTH('Raw Data'!Q635),".",RIGHT(YEAR('Raw Data'!Q635),2))),'Raw Data'!Q635))</f>
        <v>4.7</v>
      </c>
    </row>
    <row r="636" spans="1:17">
      <c r="A636" t="s">
        <v>723</v>
      </c>
      <c r="B636" t="s">
        <v>34</v>
      </c>
      <c r="C636" t="s">
        <v>35</v>
      </c>
      <c r="D636" t="s">
        <v>20</v>
      </c>
      <c r="E636" t="s">
        <v>30</v>
      </c>
      <c r="F636" t="s">
        <v>40</v>
      </c>
      <c r="G636">
        <f>VALUE(IF(AND(ISERR(FIND(".",'Raw Data'!G636)),LEN('Raw Data'!G636)=5), IF(YEAR('Raw Data'!G636)=2026,CONCATENATE(DAY('Raw Data'!G636),".",IF(LEN(MONTH('Raw Data'!G636))=2,MONTH('Raw Data'!G636),CONCATENATE("0",MONTH('Raw Data'!G636)))),CONCATENATE(MONTH('Raw Data'!G636),".",RIGHT(YEAR('Raw Data'!G636),2))),'Raw Data'!G636))</f>
        <v>79.91</v>
      </c>
      <c r="H636">
        <f>'Raw Data'!H636</f>
        <v>3</v>
      </c>
      <c r="I636" s="6">
        <f t="shared" si="27"/>
        <v>11.986500000000007</v>
      </c>
      <c r="J636" s="6">
        <f>'Raw Data'!J636</f>
        <v>251.7165</v>
      </c>
      <c r="K636" s="1">
        <f>VALUE(IFERROR(VALUE('Raw Data'!K636),CONCATENATE(MID('Raw Data'!K636,3,2),".","0",LEFT('Raw Data'!K636,1),".", RIGHT('Raw Data'!K636,4))))</f>
        <v>43544</v>
      </c>
      <c r="L636" s="2">
        <f>'Raw Data'!L636</f>
        <v>0.81111111111111101</v>
      </c>
      <c r="M636" t="s">
        <v>33</v>
      </c>
      <c r="N636">
        <f>VALUE(IF(AND(ISERR(FIND(".",'Raw Data'!N636)),LEN('Raw Data'!N636)=5), IF(YEAR('Raw Data'!N636)=2026,CONCATENATE(DAY('Raw Data'!N636),".",IF(LEN(MONTH('Raw Data'!N636))=2,MONTH('Raw Data'!N636),CONCATENATE("0",MONTH('Raw Data'!N636)))),CONCATENATE(MONTH('Raw Data'!N636),".",RIGHT(YEAR('Raw Data'!N636),2))),'Raw Data'!N636))</f>
        <v>239.73</v>
      </c>
      <c r="O636" s="6">
        <f t="shared" si="28"/>
        <v>4.7619047619047645</v>
      </c>
      <c r="P636" s="6">
        <f t="shared" si="29"/>
        <v>11.986500000000007</v>
      </c>
      <c r="Q636">
        <f>VALUE(IF(AND(ISERR(FIND(".",'Raw Data'!Q636)),LEN('Raw Data'!Q636)=5), IF(YEAR('Raw Data'!Q636)=2026,CONCATENATE(DAY('Raw Data'!Q636),".",IF(LEN(MONTH('Raw Data'!Q636))=2,MONTH('Raw Data'!Q636),CONCATENATE(MONTH('Raw Data'!Q636)))),CONCATENATE(MONTH('Raw Data'!Q636),".",RIGHT(YEAR('Raw Data'!Q636),2))),'Raw Data'!Q636))</f>
        <v>5</v>
      </c>
    </row>
    <row r="637" spans="1:17">
      <c r="A637" t="s">
        <v>724</v>
      </c>
      <c r="B637" t="s">
        <v>34</v>
      </c>
      <c r="C637" t="s">
        <v>35</v>
      </c>
      <c r="D637" t="s">
        <v>20</v>
      </c>
      <c r="E637" t="s">
        <v>30</v>
      </c>
      <c r="F637" t="s">
        <v>22</v>
      </c>
      <c r="G637">
        <f>VALUE(IF(AND(ISERR(FIND(".",'Raw Data'!G637)),LEN('Raw Data'!G637)=5), IF(YEAR('Raw Data'!G637)=2026,CONCATENATE(DAY('Raw Data'!G637),".",IF(LEN(MONTH('Raw Data'!G637))=2,MONTH('Raw Data'!G637),CONCATENATE("0",MONTH('Raw Data'!G637)))),CONCATENATE(MONTH('Raw Data'!G637),".",RIGHT(YEAR('Raw Data'!G637),2))),'Raw Data'!G637))</f>
        <v>66.47</v>
      </c>
      <c r="H637">
        <f>'Raw Data'!H637</f>
        <v>10</v>
      </c>
      <c r="I637" s="6">
        <f t="shared" si="27"/>
        <v>33.2349999999999</v>
      </c>
      <c r="J637" s="6">
        <f>'Raw Data'!J637</f>
        <v>697.93499999999995</v>
      </c>
      <c r="K637" s="1">
        <f>VALUE(IFERROR(VALUE('Raw Data'!K637),CONCATENATE(MID('Raw Data'!K637,3,2),".","0",LEFT('Raw Data'!K637,1),".", RIGHT('Raw Data'!K637,4))))</f>
        <v>43480</v>
      </c>
      <c r="L637" s="2">
        <f>'Raw Data'!L637</f>
        <v>0.62569444444444444</v>
      </c>
      <c r="M637" t="s">
        <v>33</v>
      </c>
      <c r="N637">
        <f>VALUE(IF(AND(ISERR(FIND(".",'Raw Data'!N637)),LEN('Raw Data'!N637)=5), IF(YEAR('Raw Data'!N637)=2026,CONCATENATE(DAY('Raw Data'!N637),".",IF(LEN(MONTH('Raw Data'!N637))=2,MONTH('Raw Data'!N637),CONCATENATE("0",MONTH('Raw Data'!N637)))),CONCATENATE(MONTH('Raw Data'!N637),".",RIGHT(YEAR('Raw Data'!N637),2))),'Raw Data'!N637))</f>
        <v>664.7</v>
      </c>
      <c r="O637" s="6">
        <f t="shared" si="28"/>
        <v>4.7619047619047477</v>
      </c>
      <c r="P637" s="6">
        <f t="shared" si="29"/>
        <v>33.2349999999999</v>
      </c>
      <c r="Q637">
        <f>VALUE(IF(AND(ISERR(FIND(".",'Raw Data'!Q637)),LEN('Raw Data'!Q637)=5), IF(YEAR('Raw Data'!Q637)=2026,CONCATENATE(DAY('Raw Data'!Q637),".",IF(LEN(MONTH('Raw Data'!Q637))=2,MONTH('Raw Data'!Q637),CONCATENATE(MONTH('Raw Data'!Q637)))),CONCATENATE(MONTH('Raw Data'!Q637),".",RIGHT(YEAR('Raw Data'!Q637),2))),'Raw Data'!Q637))</f>
        <v>5</v>
      </c>
    </row>
    <row r="638" spans="1:17">
      <c r="A638" t="s">
        <v>725</v>
      </c>
      <c r="B638" t="s">
        <v>18</v>
      </c>
      <c r="C638" t="s">
        <v>19</v>
      </c>
      <c r="D638" t="s">
        <v>27</v>
      </c>
      <c r="E638" t="s">
        <v>30</v>
      </c>
      <c r="F638" t="s">
        <v>22</v>
      </c>
      <c r="G638">
        <f>VALUE(IF(AND(ISERR(FIND(".",'Raw Data'!G638)),LEN('Raw Data'!G638)=5), IF(YEAR('Raw Data'!G638)=2026,CONCATENATE(DAY('Raw Data'!G638),".",IF(LEN(MONTH('Raw Data'!G638))=2,MONTH('Raw Data'!G638),CONCATENATE("0",MONTH('Raw Data'!G638)))),CONCATENATE(MONTH('Raw Data'!G638),".",RIGHT(YEAR('Raw Data'!G638),2))),'Raw Data'!G638))</f>
        <v>28.95</v>
      </c>
      <c r="H638">
        <f>'Raw Data'!H638</f>
        <v>7</v>
      </c>
      <c r="I638" s="6">
        <f t="shared" si="27"/>
        <v>10.132499999999993</v>
      </c>
      <c r="J638" s="6">
        <f>'Raw Data'!J638</f>
        <v>212.7825</v>
      </c>
      <c r="K638" s="1">
        <f>VALUE(IFERROR(VALUE('Raw Data'!K638),CONCATENATE(MID('Raw Data'!K638,3,2),".","0",LEFT('Raw Data'!K638,1),".", RIGHT('Raw Data'!K638,4))))</f>
        <v>43527</v>
      </c>
      <c r="L638" s="2">
        <f>'Raw Data'!L638</f>
        <v>0.85486111111111107</v>
      </c>
      <c r="M638" t="s">
        <v>33</v>
      </c>
      <c r="N638">
        <f>VALUE(IF(AND(ISERR(FIND(".",'Raw Data'!N638)),LEN('Raw Data'!N638)=5), IF(YEAR('Raw Data'!N638)=2026,CONCATENATE(DAY('Raw Data'!N638),".",IF(LEN(MONTH('Raw Data'!N638))=2,MONTH('Raw Data'!N638),CONCATENATE("0",MONTH('Raw Data'!N638)))),CONCATENATE(MONTH('Raw Data'!N638),".",RIGHT(YEAR('Raw Data'!N638),2))),'Raw Data'!N638))</f>
        <v>202.65</v>
      </c>
      <c r="O638" s="6">
        <f t="shared" si="28"/>
        <v>4.7619047619047592</v>
      </c>
      <c r="P638" s="6">
        <f t="shared" si="29"/>
        <v>10.132499999999993</v>
      </c>
      <c r="Q638">
        <f>VALUE(IF(AND(ISERR(FIND(".",'Raw Data'!Q638)),LEN('Raw Data'!Q638)=5), IF(YEAR('Raw Data'!Q638)=2026,CONCATENATE(DAY('Raw Data'!Q638),".",IF(LEN(MONTH('Raw Data'!Q638))=2,MONTH('Raw Data'!Q638),CONCATENATE(MONTH('Raw Data'!Q638)))),CONCATENATE(MONTH('Raw Data'!Q638),".",RIGHT(YEAR('Raw Data'!Q638),2))),'Raw Data'!Q638))</f>
        <v>6</v>
      </c>
    </row>
    <row r="639" spans="1:17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f>VALUE(IF(AND(ISERR(FIND(".",'Raw Data'!G639)),LEN('Raw Data'!G639)=5), IF(YEAR('Raw Data'!G639)=2026,CONCATENATE(DAY('Raw Data'!G639),".",IF(LEN(MONTH('Raw Data'!G639))=2,MONTH('Raw Data'!G639),CONCATENATE("0",MONTH('Raw Data'!G639)))),CONCATENATE(MONTH('Raw Data'!G639),".",RIGHT(YEAR('Raw Data'!G639),2))),'Raw Data'!G639))</f>
        <v>46.2</v>
      </c>
      <c r="H639">
        <f>'Raw Data'!H639</f>
        <v>1</v>
      </c>
      <c r="I639" s="6">
        <f t="shared" si="27"/>
        <v>2.3099999999999952</v>
      </c>
      <c r="J639" s="6">
        <f>'Raw Data'!J639</f>
        <v>48.51</v>
      </c>
      <c r="K639" s="1">
        <f>VALUE(IFERROR(VALUE('Raw Data'!K639),CONCATENATE(MID('Raw Data'!K639,3,2),".","0",LEFT('Raw Data'!K639,1),".", RIGHT('Raw Data'!K639,4))))</f>
        <v>43543</v>
      </c>
      <c r="L639" s="2">
        <f>'Raw Data'!L639</f>
        <v>0.51111111111111118</v>
      </c>
      <c r="M639" t="s">
        <v>29</v>
      </c>
      <c r="N639">
        <f>VALUE(IF(AND(ISERR(FIND(".",'Raw Data'!N639)),LEN('Raw Data'!N639)=5), IF(YEAR('Raw Data'!N639)=2026,CONCATENATE(DAY('Raw Data'!N639),".",IF(LEN(MONTH('Raw Data'!N639))=2,MONTH('Raw Data'!N639),CONCATENATE("0",MONTH('Raw Data'!N639)))),CONCATENATE(MONTH('Raw Data'!N639),".",RIGHT(YEAR('Raw Data'!N639),2))),'Raw Data'!N639))</f>
        <v>46.2</v>
      </c>
      <c r="O639" s="6">
        <f t="shared" si="28"/>
        <v>4.7619047619047521</v>
      </c>
      <c r="P639" s="6">
        <f t="shared" si="29"/>
        <v>2.3099999999999952</v>
      </c>
      <c r="Q639">
        <f>VALUE(IF(AND(ISERR(FIND(".",'Raw Data'!Q639)),LEN('Raw Data'!Q639)=5), IF(YEAR('Raw Data'!Q639)=2026,CONCATENATE(DAY('Raw Data'!Q639),".",IF(LEN(MONTH('Raw Data'!Q639))=2,MONTH('Raw Data'!Q639),CONCATENATE(MONTH('Raw Data'!Q639)))),CONCATENATE(MONTH('Raw Data'!Q639),".",RIGHT(YEAR('Raw Data'!Q639),2))),'Raw Data'!Q639))</f>
        <v>6.3</v>
      </c>
    </row>
    <row r="640" spans="1:17">
      <c r="A640" t="s">
        <v>727</v>
      </c>
      <c r="B640" t="s">
        <v>34</v>
      </c>
      <c r="C640" t="s">
        <v>35</v>
      </c>
      <c r="D640" t="s">
        <v>20</v>
      </c>
      <c r="E640" t="s">
        <v>21</v>
      </c>
      <c r="F640" t="s">
        <v>40</v>
      </c>
      <c r="G640">
        <f>VALUE(IF(AND(ISERR(FIND(".",'Raw Data'!G640)),LEN('Raw Data'!G640)=5), IF(YEAR('Raw Data'!G640)=2026,CONCATENATE(DAY('Raw Data'!G640),".",IF(LEN(MONTH('Raw Data'!G640))=2,MONTH('Raw Data'!G640),CONCATENATE("0",MONTH('Raw Data'!G640)))),CONCATENATE(MONTH('Raw Data'!G640),".",RIGHT(YEAR('Raw Data'!G640),2))),'Raw Data'!G640))</f>
        <v>17.63</v>
      </c>
      <c r="H640">
        <f>'Raw Data'!H640</f>
        <v>5</v>
      </c>
      <c r="I640" s="6">
        <f t="shared" si="27"/>
        <v>4.4075000000000131</v>
      </c>
      <c r="J640" s="6">
        <f>'Raw Data'!J640</f>
        <v>92.557500000000005</v>
      </c>
      <c r="K640" s="1">
        <f>VALUE(IFERROR(VALUE('Raw Data'!K640),CONCATENATE(MID('Raw Data'!K640,3,2),".","0",LEFT('Raw Data'!K640,1),".", RIGHT('Raw Data'!K640,4))))</f>
        <v>43680</v>
      </c>
      <c r="L640" s="2">
        <f>'Raw Data'!L640</f>
        <v>0.64374999999999993</v>
      </c>
      <c r="M640" t="s">
        <v>29</v>
      </c>
      <c r="N640">
        <f>VALUE(IF(AND(ISERR(FIND(".",'Raw Data'!N640)),LEN('Raw Data'!N640)=5), IF(YEAR('Raw Data'!N640)=2026,CONCATENATE(DAY('Raw Data'!N640),".",IF(LEN(MONTH('Raw Data'!N640))=2,MONTH('Raw Data'!N640),CONCATENATE("0",MONTH('Raw Data'!N640)))),CONCATENATE(MONTH('Raw Data'!N640),".",RIGHT(YEAR('Raw Data'!N640),2))),'Raw Data'!N640))</f>
        <v>88.15</v>
      </c>
      <c r="O640" s="6">
        <f t="shared" si="28"/>
        <v>4.7619047619047601</v>
      </c>
      <c r="P640" s="6">
        <f t="shared" si="29"/>
        <v>4.4074999999999989</v>
      </c>
      <c r="Q640">
        <f>VALUE(IF(AND(ISERR(FIND(".",'Raw Data'!Q640)),LEN('Raw Data'!Q640)=5), IF(YEAR('Raw Data'!Q640)=2026,CONCATENATE(DAY('Raw Data'!Q640),".",IF(LEN(MONTH('Raw Data'!Q640))=2,MONTH('Raw Data'!Q640),CONCATENATE(MONTH('Raw Data'!Q640)))),CONCATENATE(MONTH('Raw Data'!Q640),".",RIGHT(YEAR('Raw Data'!Q640),2))),'Raw Data'!Q640))</f>
        <v>8.5</v>
      </c>
    </row>
    <row r="641" spans="1:17">
      <c r="A641" t="s">
        <v>728</v>
      </c>
      <c r="B641" t="s">
        <v>34</v>
      </c>
      <c r="C641" t="s">
        <v>35</v>
      </c>
      <c r="D641" t="s">
        <v>27</v>
      </c>
      <c r="E641" t="s">
        <v>30</v>
      </c>
      <c r="F641" t="s">
        <v>43</v>
      </c>
      <c r="G641">
        <f>VALUE(IF(AND(ISERR(FIND(".",'Raw Data'!G641)),LEN('Raw Data'!G641)=5), IF(YEAR('Raw Data'!G641)=2026,CONCATENATE(DAY('Raw Data'!G641),".",IF(LEN(MONTH('Raw Data'!G641))=2,MONTH('Raw Data'!G641),CONCATENATE("0",MONTH('Raw Data'!G641)))),CONCATENATE(MONTH('Raw Data'!G641),".",RIGHT(YEAR('Raw Data'!G641),2))),'Raw Data'!G641))</f>
        <v>52.42</v>
      </c>
      <c r="H641">
        <f>'Raw Data'!H641</f>
        <v>3</v>
      </c>
      <c r="I641" s="6">
        <f t="shared" si="27"/>
        <v>7.8629999999999995</v>
      </c>
      <c r="J641" s="6">
        <f>'Raw Data'!J641</f>
        <v>165.12299999999999</v>
      </c>
      <c r="K641" s="1">
        <f>VALUE(IFERROR(VALUE('Raw Data'!K641),CONCATENATE(MID('Raw Data'!K641,3,2),".","0",LEFT('Raw Data'!K641,1),".", RIGHT('Raw Data'!K641,4))))</f>
        <v>43523</v>
      </c>
      <c r="L641" s="2">
        <f>'Raw Data'!L641</f>
        <v>0.73333333333333339</v>
      </c>
      <c r="M641" t="s">
        <v>23</v>
      </c>
      <c r="N641">
        <f>VALUE(IF(AND(ISERR(FIND(".",'Raw Data'!N641)),LEN('Raw Data'!N641)=5), IF(YEAR('Raw Data'!N641)=2026,CONCATENATE(DAY('Raw Data'!N641),".",IF(LEN(MONTH('Raw Data'!N641))=2,MONTH('Raw Data'!N641),CONCATENATE("0",MONTH('Raw Data'!N641)))),CONCATENATE(MONTH('Raw Data'!N641),".",RIGHT(YEAR('Raw Data'!N641),2))),'Raw Data'!N641))</f>
        <v>157.26</v>
      </c>
      <c r="O641" s="6">
        <f t="shared" si="28"/>
        <v>4.7619047619047619</v>
      </c>
      <c r="P641" s="6">
        <f t="shared" si="29"/>
        <v>7.8629999999999995</v>
      </c>
      <c r="Q641">
        <f>VALUE(IF(AND(ISERR(FIND(".",'Raw Data'!Q641)),LEN('Raw Data'!Q641)=5), IF(YEAR('Raw Data'!Q641)=2026,CONCATENATE(DAY('Raw Data'!Q641),".",IF(LEN(MONTH('Raw Data'!Q641))=2,MONTH('Raw Data'!Q641),CONCATENATE(MONTH('Raw Data'!Q641)))),CONCATENATE(MONTH('Raw Data'!Q641),".",RIGHT(YEAR('Raw Data'!Q641),2))),'Raw Data'!Q641))</f>
        <v>7.5</v>
      </c>
    </row>
    <row r="642" spans="1:17">
      <c r="A642" t="s">
        <v>729</v>
      </c>
      <c r="B642" t="s">
        <v>34</v>
      </c>
      <c r="C642" t="s">
        <v>35</v>
      </c>
      <c r="D642" t="s">
        <v>20</v>
      </c>
      <c r="E642" t="s">
        <v>21</v>
      </c>
      <c r="F642" t="s">
        <v>40</v>
      </c>
      <c r="G642">
        <f>VALUE(IF(AND(ISERR(FIND(".",'Raw Data'!G642)),LEN('Raw Data'!G642)=5), IF(YEAR('Raw Data'!G642)=2026,CONCATENATE(DAY('Raw Data'!G642),".",IF(LEN(MONTH('Raw Data'!G642))=2,MONTH('Raw Data'!G642),CONCATENATE("0",MONTH('Raw Data'!G642)))),CONCATENATE(MONTH('Raw Data'!G642),".",RIGHT(YEAR('Raw Data'!G642),2))),'Raw Data'!G642))</f>
        <v>98.79</v>
      </c>
      <c r="H642">
        <f>'Raw Data'!H642</f>
        <v>3</v>
      </c>
      <c r="I642" s="6">
        <f t="shared" si="27"/>
        <v>14.818499999999972</v>
      </c>
      <c r="J642" s="6">
        <f>'Raw Data'!J642</f>
        <v>311.18849999999998</v>
      </c>
      <c r="K642" s="1">
        <f>VALUE(IFERROR(VALUE('Raw Data'!K642),CONCATENATE(MID('Raw Data'!K642,3,2),".","0",LEFT('Raw Data'!K642,1),".", RIGHT('Raw Data'!K642,4))))</f>
        <v>43519</v>
      </c>
      <c r="L642" s="2">
        <f>'Raw Data'!L642</f>
        <v>0.83333333333333337</v>
      </c>
      <c r="M642" t="s">
        <v>23</v>
      </c>
      <c r="N642">
        <f>VALUE(IF(AND(ISERR(FIND(".",'Raw Data'!N642)),LEN('Raw Data'!N642)=5), IF(YEAR('Raw Data'!N642)=2026,CONCATENATE(DAY('Raw Data'!N642),".",IF(LEN(MONTH('Raw Data'!N642))=2,MONTH('Raw Data'!N642),CONCATENATE("0",MONTH('Raw Data'!N642)))),CONCATENATE(MONTH('Raw Data'!N642),".",RIGHT(YEAR('Raw Data'!N642),2))),'Raw Data'!N642))</f>
        <v>296.37</v>
      </c>
      <c r="O642" s="6">
        <f t="shared" si="28"/>
        <v>4.761904761904753</v>
      </c>
      <c r="P642" s="6">
        <f t="shared" si="29"/>
        <v>14.818499999999972</v>
      </c>
      <c r="Q642">
        <f>VALUE(IF(AND(ISERR(FIND(".",'Raw Data'!Q642)),LEN('Raw Data'!Q642)=5), IF(YEAR('Raw Data'!Q642)=2026,CONCATENATE(DAY('Raw Data'!Q642),".",IF(LEN(MONTH('Raw Data'!Q642))=2,MONTH('Raw Data'!Q642),CONCATENATE(MONTH('Raw Data'!Q642)))),CONCATENATE(MONTH('Raw Data'!Q642),".",RIGHT(YEAR('Raw Data'!Q642),2))),'Raw Data'!Q642))</f>
        <v>6.4</v>
      </c>
    </row>
    <row r="643" spans="1:17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f>VALUE(IF(AND(ISERR(FIND(".",'Raw Data'!G643)),LEN('Raw Data'!G643)=5), IF(YEAR('Raw Data'!G643)=2026,CONCATENATE(DAY('Raw Data'!G643),".",IF(LEN(MONTH('Raw Data'!G643))=2,MONTH('Raw Data'!G643),CONCATENATE("0",MONTH('Raw Data'!G643)))),CONCATENATE(MONTH('Raw Data'!G643),".",RIGHT(YEAR('Raw Data'!G643),2))),'Raw Data'!G643))</f>
        <v>88.55</v>
      </c>
      <c r="H643">
        <f>'Raw Data'!H643</f>
        <v>8</v>
      </c>
      <c r="I643" s="6">
        <f t="shared" ref="I643:I706" si="30">J643-G643*H643</f>
        <v>35.420000000000073</v>
      </c>
      <c r="J643" s="6">
        <f>'Raw Data'!J643</f>
        <v>743.82</v>
      </c>
      <c r="K643" s="1">
        <f>VALUE(IFERROR(VALUE('Raw Data'!K643),CONCATENATE(MID('Raw Data'!K643,3,2),".","0",LEFT('Raw Data'!K643,1),".", RIGHT('Raw Data'!K643,4))))</f>
        <v>43543</v>
      </c>
      <c r="L643" s="2">
        <f>'Raw Data'!L643</f>
        <v>0.64513888888888882</v>
      </c>
      <c r="M643" t="s">
        <v>23</v>
      </c>
      <c r="N643">
        <f>VALUE(IF(AND(ISERR(FIND(".",'Raw Data'!N643)),LEN('Raw Data'!N643)=5), IF(YEAR('Raw Data'!N643)=2026,CONCATENATE(DAY('Raw Data'!N643),".",IF(LEN(MONTH('Raw Data'!N643))=2,MONTH('Raw Data'!N643),CONCATENATE("0",MONTH('Raw Data'!N643)))),CONCATENATE(MONTH('Raw Data'!N643),".",RIGHT(YEAR('Raw Data'!N643),2))),'Raw Data'!N643))</f>
        <v>708.4</v>
      </c>
      <c r="O643" s="6">
        <f t="shared" ref="O643:O706" si="31">P643/J643*100</f>
        <v>4.7619047619047716</v>
      </c>
      <c r="P643" s="6">
        <f t="shared" ref="P643:P706" si="32">J643-N643</f>
        <v>35.420000000000073</v>
      </c>
      <c r="Q643">
        <f>VALUE(IF(AND(ISERR(FIND(".",'Raw Data'!Q643)),LEN('Raw Data'!Q643)=5), IF(YEAR('Raw Data'!Q643)=2026,CONCATENATE(DAY('Raw Data'!Q643),".",IF(LEN(MONTH('Raw Data'!Q643))=2,MONTH('Raw Data'!Q643),CONCATENATE(MONTH('Raw Data'!Q643)))),CONCATENATE(MONTH('Raw Data'!Q643),".",RIGHT(YEAR('Raw Data'!Q643),2))),'Raw Data'!Q643))</f>
        <v>4.7</v>
      </c>
    </row>
    <row r="644" spans="1:17">
      <c r="A644" t="s">
        <v>731</v>
      </c>
      <c r="B644" t="s">
        <v>34</v>
      </c>
      <c r="C644" t="s">
        <v>35</v>
      </c>
      <c r="D644" t="s">
        <v>20</v>
      </c>
      <c r="E644" t="s">
        <v>30</v>
      </c>
      <c r="F644" t="s">
        <v>28</v>
      </c>
      <c r="G644">
        <f>VALUE(IF(AND(ISERR(FIND(".",'Raw Data'!G644)),LEN('Raw Data'!G644)=5), IF(YEAR('Raw Data'!G644)=2026,CONCATENATE(DAY('Raw Data'!G644),".",IF(LEN(MONTH('Raw Data'!G644))=2,MONTH('Raw Data'!G644),CONCATENATE("0",MONTH('Raw Data'!G644)))),CONCATENATE(MONTH('Raw Data'!G644),".",RIGHT(YEAR('Raw Data'!G644),2))),'Raw Data'!G644))</f>
        <v>55.67</v>
      </c>
      <c r="H644">
        <f>'Raw Data'!H644</f>
        <v>2</v>
      </c>
      <c r="I644" s="6">
        <f t="shared" si="30"/>
        <v>5.5669999999999931</v>
      </c>
      <c r="J644" s="6">
        <f>'Raw Data'!J644</f>
        <v>116.907</v>
      </c>
      <c r="K644" s="1">
        <f>VALUE(IFERROR(VALUE('Raw Data'!K644),CONCATENATE(MID('Raw Data'!K644,3,2),".","0",LEFT('Raw Data'!K644,1),".", RIGHT('Raw Data'!K644,4))))</f>
        <v>43551</v>
      </c>
      <c r="L644" s="2">
        <f>'Raw Data'!L644</f>
        <v>0.63055555555555554</v>
      </c>
      <c r="M644" t="s">
        <v>23</v>
      </c>
      <c r="N644">
        <f>VALUE(IF(AND(ISERR(FIND(".",'Raw Data'!N644)),LEN('Raw Data'!N644)=5), IF(YEAR('Raw Data'!N644)=2026,CONCATENATE(DAY('Raw Data'!N644),".",IF(LEN(MONTH('Raw Data'!N644))=2,MONTH('Raw Data'!N644),CONCATENATE("0",MONTH('Raw Data'!N644)))),CONCATENATE(MONTH('Raw Data'!N644),".",RIGHT(YEAR('Raw Data'!N644),2))),'Raw Data'!N644))</f>
        <v>111.34</v>
      </c>
      <c r="O644" s="6">
        <f t="shared" si="31"/>
        <v>4.7619047619047556</v>
      </c>
      <c r="P644" s="6">
        <f t="shared" si="32"/>
        <v>5.5669999999999931</v>
      </c>
      <c r="Q644">
        <f>VALUE(IF(AND(ISERR(FIND(".",'Raw Data'!Q644)),LEN('Raw Data'!Q644)=5), IF(YEAR('Raw Data'!Q644)=2026,CONCATENATE(DAY('Raw Data'!Q644),".",IF(LEN(MONTH('Raw Data'!Q644))=2,MONTH('Raw Data'!Q644),CONCATENATE(MONTH('Raw Data'!Q644)))),CONCATENATE(MONTH('Raw Data'!Q644),".",RIGHT(YEAR('Raw Data'!Q644),2))),'Raw Data'!Q644))</f>
        <v>6</v>
      </c>
    </row>
    <row r="645" spans="1:17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40</v>
      </c>
      <c r="G645">
        <f>VALUE(IF(AND(ISERR(FIND(".",'Raw Data'!G645)),LEN('Raw Data'!G645)=5), IF(YEAR('Raw Data'!G645)=2026,CONCATENATE(DAY('Raw Data'!G645),".",IF(LEN(MONTH('Raw Data'!G645))=2,MONTH('Raw Data'!G645),CONCATENATE("0",MONTH('Raw Data'!G645)))),CONCATENATE(MONTH('Raw Data'!G645),".",RIGHT(YEAR('Raw Data'!G645),2))),'Raw Data'!G645))</f>
        <v>72.52</v>
      </c>
      <c r="H645">
        <f>'Raw Data'!H645</f>
        <v>8</v>
      </c>
      <c r="I645" s="6">
        <f t="shared" si="30"/>
        <v>29.008000000000038</v>
      </c>
      <c r="J645" s="6">
        <f>'Raw Data'!J645</f>
        <v>609.16800000000001</v>
      </c>
      <c r="K645" s="1">
        <f>VALUE(IFERROR(VALUE('Raw Data'!K645),CONCATENATE(MID('Raw Data'!K645,3,2),".","0",LEFT('Raw Data'!K645,1),".", RIGHT('Raw Data'!K645,4))))</f>
        <v>43554</v>
      </c>
      <c r="L645" s="2">
        <f>'Raw Data'!L645</f>
        <v>0.80972222222222223</v>
      </c>
      <c r="M645" t="s">
        <v>33</v>
      </c>
      <c r="N645">
        <f>VALUE(IF(AND(ISERR(FIND(".",'Raw Data'!N645)),LEN('Raw Data'!N645)=5), IF(YEAR('Raw Data'!N645)=2026,CONCATENATE(DAY('Raw Data'!N645),".",IF(LEN(MONTH('Raw Data'!N645))=2,MONTH('Raw Data'!N645),CONCATENATE("0",MONTH('Raw Data'!N645)))),CONCATENATE(MONTH('Raw Data'!N645),".",RIGHT(YEAR('Raw Data'!N645),2))),'Raw Data'!N645))</f>
        <v>580.16</v>
      </c>
      <c r="O645" s="6">
        <f t="shared" si="31"/>
        <v>4.7619047619047681</v>
      </c>
      <c r="P645" s="6">
        <f t="shared" si="32"/>
        <v>29.008000000000038</v>
      </c>
      <c r="Q645">
        <f>VALUE(IF(AND(ISERR(FIND(".",'Raw Data'!Q645)),LEN('Raw Data'!Q645)=5), IF(YEAR('Raw Data'!Q645)=2026,CONCATENATE(DAY('Raw Data'!Q645),".",IF(LEN(MONTH('Raw Data'!Q645))=2,MONTH('Raw Data'!Q645),CONCATENATE(MONTH('Raw Data'!Q645)))),CONCATENATE(MONTH('Raw Data'!Q645),".",RIGHT(YEAR('Raw Data'!Q645),2))),'Raw Data'!Q645))</f>
        <v>4</v>
      </c>
    </row>
    <row r="646" spans="1:17">
      <c r="A646" t="s">
        <v>733</v>
      </c>
      <c r="B646" t="s">
        <v>25</v>
      </c>
      <c r="C646" t="s">
        <v>26</v>
      </c>
      <c r="D646" t="s">
        <v>20</v>
      </c>
      <c r="E646" t="s">
        <v>30</v>
      </c>
      <c r="F646" t="s">
        <v>28</v>
      </c>
      <c r="G646">
        <f>VALUE(IF(AND(ISERR(FIND(".",'Raw Data'!G646)),LEN('Raw Data'!G646)=5), IF(YEAR('Raw Data'!G646)=2026,CONCATENATE(DAY('Raw Data'!G646),".",IF(LEN(MONTH('Raw Data'!G646))=2,MONTH('Raw Data'!G646),CONCATENATE("0",MONTH('Raw Data'!G646)))),CONCATENATE(MONTH('Raw Data'!G646),".",RIGHT(YEAR('Raw Data'!G646),2))),'Raw Data'!G646))</f>
        <v>12.05</v>
      </c>
      <c r="H646">
        <f>'Raw Data'!H646</f>
        <v>5</v>
      </c>
      <c r="I646" s="6">
        <f t="shared" si="30"/>
        <v>3.0125000000000028</v>
      </c>
      <c r="J646" s="6">
        <f>'Raw Data'!J646</f>
        <v>63.262500000000003</v>
      </c>
      <c r="K646" s="1">
        <f>VALUE(IFERROR(VALUE('Raw Data'!K646),CONCATENATE(MID('Raw Data'!K646,3,2),".","0",LEFT('Raw Data'!K646,1),".", RIGHT('Raw Data'!K646,4))))</f>
        <v>43512</v>
      </c>
      <c r="L646" s="2">
        <f>'Raw Data'!L646</f>
        <v>0.66180555555555554</v>
      </c>
      <c r="M646" t="s">
        <v>23</v>
      </c>
      <c r="N646">
        <f>VALUE(IF(AND(ISERR(FIND(".",'Raw Data'!N646)),LEN('Raw Data'!N646)=5), IF(YEAR('Raw Data'!N646)=2026,CONCATENATE(DAY('Raw Data'!N646),".",IF(LEN(MONTH('Raw Data'!N646))=2,MONTH('Raw Data'!N646),CONCATENATE("0",MONTH('Raw Data'!N646)))),CONCATENATE(MONTH('Raw Data'!N646),".",RIGHT(YEAR('Raw Data'!N646),2))),'Raw Data'!N646))</f>
        <v>60.25</v>
      </c>
      <c r="O646" s="6">
        <f t="shared" si="31"/>
        <v>4.7619047619047663</v>
      </c>
      <c r="P646" s="6">
        <f t="shared" si="32"/>
        <v>3.0125000000000028</v>
      </c>
      <c r="Q646">
        <f>VALUE(IF(AND(ISERR(FIND(".",'Raw Data'!Q646)),LEN('Raw Data'!Q646)=5), IF(YEAR('Raw Data'!Q646)=2026,CONCATENATE(DAY('Raw Data'!Q646),".",IF(LEN(MONTH('Raw Data'!Q646))=2,MONTH('Raw Data'!Q646),CONCATENATE(MONTH('Raw Data'!Q646)))),CONCATENATE(MONTH('Raw Data'!Q646),".",RIGHT(YEAR('Raw Data'!Q646),2))),'Raw Data'!Q646))</f>
        <v>5.5</v>
      </c>
    </row>
    <row r="647" spans="1:17">
      <c r="A647" t="s">
        <v>734</v>
      </c>
      <c r="B647" t="s">
        <v>18</v>
      </c>
      <c r="C647" t="s">
        <v>19</v>
      </c>
      <c r="D647" t="s">
        <v>20</v>
      </c>
      <c r="E647" t="s">
        <v>30</v>
      </c>
      <c r="F647" t="s">
        <v>32</v>
      </c>
      <c r="G647">
        <f>VALUE(IF(AND(ISERR(FIND(".",'Raw Data'!G647)),LEN('Raw Data'!G647)=5), IF(YEAR('Raw Data'!G647)=2026,CONCATENATE(DAY('Raw Data'!G647),".",IF(LEN(MONTH('Raw Data'!G647))=2,MONTH('Raw Data'!G647),CONCATENATE("0",MONTH('Raw Data'!G647)))),CONCATENATE(MONTH('Raw Data'!G647),".",RIGHT(YEAR('Raw Data'!G647),2))),'Raw Data'!G647))</f>
        <v>19.36</v>
      </c>
      <c r="H647">
        <f>'Raw Data'!H647</f>
        <v>9</v>
      </c>
      <c r="I647" s="6">
        <f t="shared" si="30"/>
        <v>8.7119999999999891</v>
      </c>
      <c r="J647" s="6">
        <f>'Raw Data'!J647</f>
        <v>182.952</v>
      </c>
      <c r="K647" s="1">
        <f>VALUE(IFERROR(VALUE('Raw Data'!K647),CONCATENATE(MID('Raw Data'!K647,3,2),".","0",LEFT('Raw Data'!K647,1),".", RIGHT('Raw Data'!K647,4))))</f>
        <v>43483</v>
      </c>
      <c r="L647" s="2">
        <f>'Raw Data'!L647</f>
        <v>0.77986111111111101</v>
      </c>
      <c r="M647" t="s">
        <v>23</v>
      </c>
      <c r="N647">
        <f>VALUE(IF(AND(ISERR(FIND(".",'Raw Data'!N647)),LEN('Raw Data'!N647)=5), IF(YEAR('Raw Data'!N647)=2026,CONCATENATE(DAY('Raw Data'!N647),".",IF(LEN(MONTH('Raw Data'!N647))=2,MONTH('Raw Data'!N647),CONCATENATE("0",MONTH('Raw Data'!N647)))),CONCATENATE(MONTH('Raw Data'!N647),".",RIGHT(YEAR('Raw Data'!N647),2))),'Raw Data'!N647))</f>
        <v>174.24</v>
      </c>
      <c r="O647" s="6">
        <f t="shared" si="31"/>
        <v>4.7619047619047556</v>
      </c>
      <c r="P647" s="6">
        <f t="shared" si="32"/>
        <v>8.7119999999999891</v>
      </c>
      <c r="Q647">
        <f>VALUE(IF(AND(ISERR(FIND(".",'Raw Data'!Q647)),LEN('Raw Data'!Q647)=5), IF(YEAR('Raw Data'!Q647)=2026,CONCATENATE(DAY('Raw Data'!Q647),".",IF(LEN(MONTH('Raw Data'!Q647))=2,MONTH('Raw Data'!Q647),CONCATENATE(MONTH('Raw Data'!Q647)))),CONCATENATE(MONTH('Raw Data'!Q647),".",RIGHT(YEAR('Raw Data'!Q647),2))),'Raw Data'!Q647))</f>
        <v>8.6999999999999993</v>
      </c>
    </row>
    <row r="648" spans="1:17">
      <c r="A648" t="s">
        <v>735</v>
      </c>
      <c r="B648" t="s">
        <v>25</v>
      </c>
      <c r="C648" t="s">
        <v>26</v>
      </c>
      <c r="D648" t="s">
        <v>27</v>
      </c>
      <c r="E648" t="s">
        <v>30</v>
      </c>
      <c r="F648" t="s">
        <v>22</v>
      </c>
      <c r="G648">
        <f>VALUE(IF(AND(ISERR(FIND(".",'Raw Data'!G648)),LEN('Raw Data'!G648)=5), IF(YEAR('Raw Data'!G648)=2026,CONCATENATE(DAY('Raw Data'!G648),".",IF(LEN(MONTH('Raw Data'!G648))=2,MONTH('Raw Data'!G648),CONCATENATE("0",MONTH('Raw Data'!G648)))),CONCATENATE(MONTH('Raw Data'!G648),".",RIGHT(YEAR('Raw Data'!G648),2))),'Raw Data'!G648))</f>
        <v>70.209999999999994</v>
      </c>
      <c r="H648">
        <f>'Raw Data'!H648</f>
        <v>6</v>
      </c>
      <c r="I648" s="6">
        <f t="shared" si="30"/>
        <v>21.062999999999988</v>
      </c>
      <c r="J648" s="6">
        <f>'Raw Data'!J648</f>
        <v>442.32299999999998</v>
      </c>
      <c r="K648" s="1">
        <f>VALUE(IFERROR(VALUE('Raw Data'!K648),CONCATENATE(MID('Raw Data'!K648,3,2),".","0",LEFT('Raw Data'!K648,1),".", RIGHT('Raw Data'!K648,4))))</f>
        <v>43554</v>
      </c>
      <c r="L648" s="2">
        <f>'Raw Data'!L648</f>
        <v>0.62361111111111112</v>
      </c>
      <c r="M648" t="s">
        <v>29</v>
      </c>
      <c r="N648">
        <f>VALUE(IF(AND(ISERR(FIND(".",'Raw Data'!N648)),LEN('Raw Data'!N648)=5), IF(YEAR('Raw Data'!N648)=2026,CONCATENATE(DAY('Raw Data'!N648),".",IF(LEN(MONTH('Raw Data'!N648))=2,MONTH('Raw Data'!N648),CONCATENATE("0",MONTH('Raw Data'!N648)))),CONCATENATE(MONTH('Raw Data'!N648),".",RIGHT(YEAR('Raw Data'!N648),2))),'Raw Data'!N648))</f>
        <v>421.26</v>
      </c>
      <c r="O648" s="6">
        <f t="shared" si="31"/>
        <v>4.7619047619047592</v>
      </c>
      <c r="P648" s="6">
        <f t="shared" si="32"/>
        <v>21.062999999999988</v>
      </c>
      <c r="Q648">
        <f>VALUE(IF(AND(ISERR(FIND(".",'Raw Data'!Q648)),LEN('Raw Data'!Q648)=5), IF(YEAR('Raw Data'!Q648)=2026,CONCATENATE(DAY('Raw Data'!Q648),".",IF(LEN(MONTH('Raw Data'!Q648))=2,MONTH('Raw Data'!Q648),CONCATENATE(MONTH('Raw Data'!Q648)))),CONCATENATE(MONTH('Raw Data'!Q648),".",RIGHT(YEAR('Raw Data'!Q648),2))),'Raw Data'!Q648))</f>
        <v>7.4</v>
      </c>
    </row>
    <row r="649" spans="1:17">
      <c r="A649" t="s">
        <v>736</v>
      </c>
      <c r="B649" t="s">
        <v>34</v>
      </c>
      <c r="C649" t="s">
        <v>35</v>
      </c>
      <c r="D649" t="s">
        <v>20</v>
      </c>
      <c r="E649" t="s">
        <v>30</v>
      </c>
      <c r="F649" t="s">
        <v>43</v>
      </c>
      <c r="G649">
        <f>VALUE(IF(AND(ISERR(FIND(".",'Raw Data'!G649)),LEN('Raw Data'!G649)=5), IF(YEAR('Raw Data'!G649)=2026,CONCATENATE(DAY('Raw Data'!G649),".",IF(LEN(MONTH('Raw Data'!G649))=2,MONTH('Raw Data'!G649),CONCATENATE("0",MONTH('Raw Data'!G649)))),CONCATENATE(MONTH('Raw Data'!G649),".",RIGHT(YEAR('Raw Data'!G649),2))),'Raw Data'!G649))</f>
        <v>33.630000000000003</v>
      </c>
      <c r="H649">
        <f>'Raw Data'!H649</f>
        <v>1</v>
      </c>
      <c r="I649" s="6">
        <f t="shared" si="30"/>
        <v>1.6814999999999998</v>
      </c>
      <c r="J649" s="6">
        <f>'Raw Data'!J649</f>
        <v>35.311500000000002</v>
      </c>
      <c r="K649" s="1">
        <f>VALUE(IFERROR(VALUE('Raw Data'!K649),CONCATENATE(MID('Raw Data'!K649,3,2),".","0",LEFT('Raw Data'!K649,1),".", RIGHT('Raw Data'!K649,4))))</f>
        <v>43544</v>
      </c>
      <c r="L649" s="2">
        <f>'Raw Data'!L649</f>
        <v>0.82986111111111116</v>
      </c>
      <c r="M649" t="s">
        <v>29</v>
      </c>
      <c r="N649">
        <f>VALUE(IF(AND(ISERR(FIND(".",'Raw Data'!N649)),LEN('Raw Data'!N649)=5), IF(YEAR('Raw Data'!N649)=2026,CONCATENATE(DAY('Raw Data'!N649),".",IF(LEN(MONTH('Raw Data'!N649))=2,MONTH('Raw Data'!N649),CONCATENATE("0",MONTH('Raw Data'!N649)))),CONCATENATE(MONTH('Raw Data'!N649),".",RIGHT(YEAR('Raw Data'!N649),2))),'Raw Data'!N649))</f>
        <v>33.630000000000003</v>
      </c>
      <c r="O649" s="6">
        <f t="shared" si="31"/>
        <v>4.761904761904761</v>
      </c>
      <c r="P649" s="6">
        <f t="shared" si="32"/>
        <v>1.6814999999999998</v>
      </c>
      <c r="Q649">
        <f>VALUE(IF(AND(ISERR(FIND(".",'Raw Data'!Q649)),LEN('Raw Data'!Q649)=5), IF(YEAR('Raw Data'!Q649)=2026,CONCATENATE(DAY('Raw Data'!Q649),".",IF(LEN(MONTH('Raw Data'!Q649))=2,MONTH('Raw Data'!Q649),CONCATENATE(MONTH('Raw Data'!Q649)))),CONCATENATE(MONTH('Raw Data'!Q649),".",RIGHT(YEAR('Raw Data'!Q649),2))),'Raw Data'!Q649))</f>
        <v>5.6</v>
      </c>
    </row>
    <row r="650" spans="1:17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38</v>
      </c>
      <c r="G650">
        <f>VALUE(IF(AND(ISERR(FIND(".",'Raw Data'!G650)),LEN('Raw Data'!G650)=5), IF(YEAR('Raw Data'!G650)=2026,CONCATENATE(DAY('Raw Data'!G650),".",IF(LEN(MONTH('Raw Data'!G650))=2,MONTH('Raw Data'!G650),CONCATENATE("0",MONTH('Raw Data'!G650)))),CONCATENATE(MONTH('Raw Data'!G650),".",RIGHT(YEAR('Raw Data'!G650),2))),'Raw Data'!G650))</f>
        <v>15.49</v>
      </c>
      <c r="H650">
        <f>'Raw Data'!H650</f>
        <v>2</v>
      </c>
      <c r="I650" s="6">
        <f t="shared" si="30"/>
        <v>1.549000000000003</v>
      </c>
      <c r="J650" s="6">
        <f>'Raw Data'!J650</f>
        <v>32.529000000000003</v>
      </c>
      <c r="K650" s="1">
        <f>VALUE(IFERROR(VALUE('Raw Data'!K650),CONCATENATE(MID('Raw Data'!K650,3,2),".","0",LEFT('Raw Data'!K650,1),".", RIGHT('Raw Data'!K650,4))))</f>
        <v>43481</v>
      </c>
      <c r="L650" s="2">
        <f>'Raw Data'!L650</f>
        <v>0.63194444444444442</v>
      </c>
      <c r="M650" t="s">
        <v>29</v>
      </c>
      <c r="N650">
        <f>VALUE(IF(AND(ISERR(FIND(".",'Raw Data'!N650)),LEN('Raw Data'!N650)=5), IF(YEAR('Raw Data'!N650)=2026,CONCATENATE(DAY('Raw Data'!N650),".",IF(LEN(MONTH('Raw Data'!N650))=2,MONTH('Raw Data'!N650),CONCATENATE("0",MONTH('Raw Data'!N650)))),CONCATENATE(MONTH('Raw Data'!N650),".",RIGHT(YEAR('Raw Data'!N650),2))),'Raw Data'!N650))</f>
        <v>30.98</v>
      </c>
      <c r="O650" s="6">
        <f t="shared" si="31"/>
        <v>4.7619047619047707</v>
      </c>
      <c r="P650" s="6">
        <f t="shared" si="32"/>
        <v>1.549000000000003</v>
      </c>
      <c r="Q650">
        <f>VALUE(IF(AND(ISERR(FIND(".",'Raw Data'!Q650)),LEN('Raw Data'!Q650)=5), IF(YEAR('Raw Data'!Q650)=2026,CONCATENATE(DAY('Raw Data'!Q650),".",IF(LEN(MONTH('Raw Data'!Q650))=2,MONTH('Raw Data'!Q650),CONCATENATE(MONTH('Raw Data'!Q650)))),CONCATENATE(MONTH('Raw Data'!Q650),".",RIGHT(YEAR('Raw Data'!Q650),2))),'Raw Data'!Q650))</f>
        <v>6.3</v>
      </c>
    </row>
    <row r="651" spans="1:17">
      <c r="A651" t="s">
        <v>738</v>
      </c>
      <c r="B651" t="s">
        <v>25</v>
      </c>
      <c r="C651" t="s">
        <v>26</v>
      </c>
      <c r="D651" t="s">
        <v>27</v>
      </c>
      <c r="E651" t="s">
        <v>30</v>
      </c>
      <c r="F651" t="s">
        <v>28</v>
      </c>
      <c r="G651">
        <f>VALUE(IF(AND(ISERR(FIND(".",'Raw Data'!G651)),LEN('Raw Data'!G651)=5), IF(YEAR('Raw Data'!G651)=2026,CONCATENATE(DAY('Raw Data'!G651),".",IF(LEN(MONTH('Raw Data'!G651))=2,MONTH('Raw Data'!G651),CONCATENATE("0",MONTH('Raw Data'!G651)))),CONCATENATE(MONTH('Raw Data'!G651),".",RIGHT(YEAR('Raw Data'!G651),2))),'Raw Data'!G651))</f>
        <v>24.74</v>
      </c>
      <c r="H651">
        <f>'Raw Data'!H651</f>
        <v>10</v>
      </c>
      <c r="I651" s="6">
        <f t="shared" si="30"/>
        <v>12.370000000000005</v>
      </c>
      <c r="J651" s="6">
        <f>'Raw Data'!J651</f>
        <v>259.77</v>
      </c>
      <c r="K651" s="1">
        <f>VALUE(IFERROR(VALUE('Raw Data'!K651),CONCATENATE(MID('Raw Data'!K651,3,2),".","0",LEFT('Raw Data'!K651,1),".", RIGHT('Raw Data'!K651,4))))</f>
        <v>43520</v>
      </c>
      <c r="L651" s="2">
        <f>'Raw Data'!L651</f>
        <v>0.6972222222222223</v>
      </c>
      <c r="M651" t="s">
        <v>29</v>
      </c>
      <c r="N651">
        <f>VALUE(IF(AND(ISERR(FIND(".",'Raw Data'!N651)),LEN('Raw Data'!N651)=5), IF(YEAR('Raw Data'!N651)=2026,CONCATENATE(DAY('Raw Data'!N651),".",IF(LEN(MONTH('Raw Data'!N651))=2,MONTH('Raw Data'!N651),CONCATENATE("0",MONTH('Raw Data'!N651)))),CONCATENATE(MONTH('Raw Data'!N651),".",RIGHT(YEAR('Raw Data'!N651),2))),'Raw Data'!N651))</f>
        <v>247.4</v>
      </c>
      <c r="O651" s="6">
        <f t="shared" si="31"/>
        <v>4.761904761904753</v>
      </c>
      <c r="P651" s="6">
        <f t="shared" si="32"/>
        <v>12.369999999999976</v>
      </c>
      <c r="Q651">
        <f>VALUE(IF(AND(ISERR(FIND(".",'Raw Data'!Q651)),LEN('Raw Data'!Q651)=5), IF(YEAR('Raw Data'!Q651)=2026,CONCATENATE(DAY('Raw Data'!Q651),".",IF(LEN(MONTH('Raw Data'!Q651))=2,MONTH('Raw Data'!Q651),CONCATENATE(MONTH('Raw Data'!Q651)))),CONCATENATE(MONTH('Raw Data'!Q651),".",RIGHT(YEAR('Raw Data'!Q651),2))),'Raw Data'!Q651))</f>
        <v>7.1</v>
      </c>
    </row>
    <row r="652" spans="1:17">
      <c r="A652" t="s">
        <v>739</v>
      </c>
      <c r="B652" t="s">
        <v>34</v>
      </c>
      <c r="C652" t="s">
        <v>35</v>
      </c>
      <c r="D652" t="s">
        <v>27</v>
      </c>
      <c r="E652" t="s">
        <v>30</v>
      </c>
      <c r="F652" t="s">
        <v>28</v>
      </c>
      <c r="G652">
        <f>VALUE(IF(AND(ISERR(FIND(".",'Raw Data'!G652)),LEN('Raw Data'!G652)=5), IF(YEAR('Raw Data'!G652)=2026,CONCATENATE(DAY('Raw Data'!G652),".",IF(LEN(MONTH('Raw Data'!G652))=2,MONTH('Raw Data'!G652),CONCATENATE("0",MONTH('Raw Data'!G652)))),CONCATENATE(MONTH('Raw Data'!G652),".",RIGHT(YEAR('Raw Data'!G652),2))),'Raw Data'!G652))</f>
        <v>75.66</v>
      </c>
      <c r="H652">
        <f>'Raw Data'!H652</f>
        <v>5</v>
      </c>
      <c r="I652" s="6">
        <f t="shared" si="30"/>
        <v>18.91500000000002</v>
      </c>
      <c r="J652" s="6">
        <f>'Raw Data'!J652</f>
        <v>397.21499999999997</v>
      </c>
      <c r="K652" s="1">
        <f>VALUE(IFERROR(VALUE('Raw Data'!K652),CONCATENATE(MID('Raw Data'!K652,3,2),".","0",LEFT('Raw Data'!K652,1),".", RIGHT('Raw Data'!K652,4))))</f>
        <v>43480</v>
      </c>
      <c r="L652" s="2">
        <f>'Raw Data'!L652</f>
        <v>0.76527777777777783</v>
      </c>
      <c r="M652" t="s">
        <v>23</v>
      </c>
      <c r="N652">
        <f>VALUE(IF(AND(ISERR(FIND(".",'Raw Data'!N652)),LEN('Raw Data'!N652)=5), IF(YEAR('Raw Data'!N652)=2026,CONCATENATE(DAY('Raw Data'!N652),".",IF(LEN(MONTH('Raw Data'!N652))=2,MONTH('Raw Data'!N652),CONCATENATE("0",MONTH('Raw Data'!N652)))),CONCATENATE(MONTH('Raw Data'!N652),".",RIGHT(YEAR('Raw Data'!N652),2))),'Raw Data'!N652))</f>
        <v>378.3</v>
      </c>
      <c r="O652" s="6">
        <f t="shared" si="31"/>
        <v>4.761904761904753</v>
      </c>
      <c r="P652" s="6">
        <f t="shared" si="32"/>
        <v>18.914999999999964</v>
      </c>
      <c r="Q652">
        <f>VALUE(IF(AND(ISERR(FIND(".",'Raw Data'!Q652)),LEN('Raw Data'!Q652)=5), IF(YEAR('Raw Data'!Q652)=2026,CONCATENATE(DAY('Raw Data'!Q652),".",IF(LEN(MONTH('Raw Data'!Q652))=2,MONTH('Raw Data'!Q652),CONCATENATE(MONTH('Raw Data'!Q652)))),CONCATENATE(MONTH('Raw Data'!Q652),".",RIGHT(YEAR('Raw Data'!Q652),2))),'Raw Data'!Q652))</f>
        <v>7.8</v>
      </c>
    </row>
    <row r="653" spans="1:17">
      <c r="A653" t="s">
        <v>740</v>
      </c>
      <c r="B653" t="s">
        <v>34</v>
      </c>
      <c r="C653" t="s">
        <v>35</v>
      </c>
      <c r="D653" t="s">
        <v>27</v>
      </c>
      <c r="E653" t="s">
        <v>21</v>
      </c>
      <c r="F653" t="s">
        <v>22</v>
      </c>
      <c r="G653">
        <f>VALUE(IF(AND(ISERR(FIND(".",'Raw Data'!G653)),LEN('Raw Data'!G653)=5), IF(YEAR('Raw Data'!G653)=2026,CONCATENATE(DAY('Raw Data'!G653),".",IF(LEN(MONTH('Raw Data'!G653))=2,MONTH('Raw Data'!G653),CONCATENATE("0",MONTH('Raw Data'!G653)))),CONCATENATE(MONTH('Raw Data'!G653),".",RIGHT(YEAR('Raw Data'!G653),2))),'Raw Data'!G653))</f>
        <v>55.81</v>
      </c>
      <c r="H653">
        <f>'Raw Data'!H653</f>
        <v>6</v>
      </c>
      <c r="I653" s="6">
        <f t="shared" si="30"/>
        <v>16.742999999999995</v>
      </c>
      <c r="J653" s="6">
        <f>'Raw Data'!J653</f>
        <v>351.60300000000001</v>
      </c>
      <c r="K653" s="1">
        <f>VALUE(IFERROR(VALUE('Raw Data'!K653),CONCATENATE(MID('Raw Data'!K653,3,2),".","0",LEFT('Raw Data'!K653,1),".", RIGHT('Raw Data'!K653,4))))</f>
        <v>43487</v>
      </c>
      <c r="L653" s="2">
        <f>'Raw Data'!L653</f>
        <v>0.49444444444444446</v>
      </c>
      <c r="M653" t="s">
        <v>29</v>
      </c>
      <c r="N653">
        <f>VALUE(IF(AND(ISERR(FIND(".",'Raw Data'!N653)),LEN('Raw Data'!N653)=5), IF(YEAR('Raw Data'!N653)=2026,CONCATENATE(DAY('Raw Data'!N653),".",IF(LEN(MONTH('Raw Data'!N653))=2,MONTH('Raw Data'!N653),CONCATENATE("0",MONTH('Raw Data'!N653)))),CONCATENATE(MONTH('Raw Data'!N653),".",RIGHT(YEAR('Raw Data'!N653),2))),'Raw Data'!N653))</f>
        <v>334.86</v>
      </c>
      <c r="O653" s="6">
        <f t="shared" si="31"/>
        <v>4.7619047619047601</v>
      </c>
      <c r="P653" s="6">
        <f t="shared" si="32"/>
        <v>16.742999999999995</v>
      </c>
      <c r="Q653">
        <f>VALUE(IF(AND(ISERR(FIND(".",'Raw Data'!Q653)),LEN('Raw Data'!Q653)=5), IF(YEAR('Raw Data'!Q653)=2026,CONCATENATE(DAY('Raw Data'!Q653),".",IF(LEN(MONTH('Raw Data'!Q653))=2,MONTH('Raw Data'!Q653),CONCATENATE(MONTH('Raw Data'!Q653)))),CONCATENATE(MONTH('Raw Data'!Q653),".",RIGHT(YEAR('Raw Data'!Q653),2))),'Raw Data'!Q653))</f>
        <v>9.9</v>
      </c>
    </row>
    <row r="654" spans="1:17">
      <c r="A654" t="s">
        <v>741</v>
      </c>
      <c r="B654" t="s">
        <v>18</v>
      </c>
      <c r="C654" t="s">
        <v>19</v>
      </c>
      <c r="D654" t="s">
        <v>20</v>
      </c>
      <c r="E654" t="s">
        <v>30</v>
      </c>
      <c r="F654" t="s">
        <v>32</v>
      </c>
      <c r="G654">
        <f>VALUE(IF(AND(ISERR(FIND(".",'Raw Data'!G654)),LEN('Raw Data'!G654)=5), IF(YEAR('Raw Data'!G654)=2026,CONCATENATE(DAY('Raw Data'!G654),".",IF(LEN(MONTH('Raw Data'!G654))=2,MONTH('Raw Data'!G654),CONCATENATE("0",MONTH('Raw Data'!G654)))),CONCATENATE(MONTH('Raw Data'!G654),".",RIGHT(YEAR('Raw Data'!G654),2))),'Raw Data'!G654))</f>
        <v>72.78</v>
      </c>
      <c r="H654">
        <f>'Raw Data'!H654</f>
        <v>10</v>
      </c>
      <c r="I654" s="6">
        <f t="shared" si="30"/>
        <v>36.3900000000001</v>
      </c>
      <c r="J654" s="6">
        <f>'Raw Data'!J654</f>
        <v>764.19</v>
      </c>
      <c r="K654" s="1">
        <f>VALUE(IFERROR(VALUE('Raw Data'!K654),CONCATENATE(MID('Raw Data'!K654,3,2),".","0",LEFT('Raw Data'!K654,1),".", RIGHT('Raw Data'!K654,4))))</f>
        <v>43526</v>
      </c>
      <c r="L654" s="2">
        <f>'Raw Data'!L654</f>
        <v>0.72499999999999998</v>
      </c>
      <c r="M654" t="s">
        <v>29</v>
      </c>
      <c r="N654">
        <f>VALUE(IF(AND(ISERR(FIND(".",'Raw Data'!N654)),LEN('Raw Data'!N654)=5), IF(YEAR('Raw Data'!N654)=2026,CONCATENATE(DAY('Raw Data'!N654),".",IF(LEN(MONTH('Raw Data'!N654))=2,MONTH('Raw Data'!N654),CONCATENATE("0",MONTH('Raw Data'!N654)))),CONCATENATE(MONTH('Raw Data'!N654),".",RIGHT(YEAR('Raw Data'!N654),2))),'Raw Data'!N654))</f>
        <v>727.8</v>
      </c>
      <c r="O654" s="6">
        <f t="shared" si="31"/>
        <v>4.7619047619047752</v>
      </c>
      <c r="P654" s="6">
        <f t="shared" si="32"/>
        <v>36.3900000000001</v>
      </c>
      <c r="Q654">
        <f>VALUE(IF(AND(ISERR(FIND(".",'Raw Data'!Q654)),LEN('Raw Data'!Q654)=5), IF(YEAR('Raw Data'!Q654)=2026,CONCATENATE(DAY('Raw Data'!Q654),".",IF(LEN(MONTH('Raw Data'!Q654))=2,MONTH('Raw Data'!Q654),CONCATENATE(MONTH('Raw Data'!Q654)))),CONCATENATE(MONTH('Raw Data'!Q654),".",RIGHT(YEAR('Raw Data'!Q654),2))),'Raw Data'!Q654))</f>
        <v>7.3</v>
      </c>
    </row>
    <row r="655" spans="1:17">
      <c r="A655" t="s">
        <v>742</v>
      </c>
      <c r="B655" t="s">
        <v>34</v>
      </c>
      <c r="C655" t="s">
        <v>35</v>
      </c>
      <c r="D655" t="s">
        <v>20</v>
      </c>
      <c r="E655" t="s">
        <v>30</v>
      </c>
      <c r="F655" t="s">
        <v>38</v>
      </c>
      <c r="G655">
        <f>VALUE(IF(AND(ISERR(FIND(".",'Raw Data'!G655)),LEN('Raw Data'!G655)=5), IF(YEAR('Raw Data'!G655)=2026,CONCATENATE(DAY('Raw Data'!G655),".",IF(LEN(MONTH('Raw Data'!G655))=2,MONTH('Raw Data'!G655),CONCATENATE("0",MONTH('Raw Data'!G655)))),CONCATENATE(MONTH('Raw Data'!G655),".",RIGHT(YEAR('Raw Data'!G655),2))),'Raw Data'!G655))</f>
        <v>37.32</v>
      </c>
      <c r="H655">
        <f>'Raw Data'!H655</f>
        <v>9</v>
      </c>
      <c r="I655" s="6">
        <f t="shared" si="30"/>
        <v>16.793999999999983</v>
      </c>
      <c r="J655" s="6">
        <f>'Raw Data'!J655</f>
        <v>352.67399999999998</v>
      </c>
      <c r="K655" s="1">
        <f>VALUE(IFERROR(VALUE('Raw Data'!K655),CONCATENATE(MID('Raw Data'!K655,3,2),".","0",LEFT('Raw Data'!K655,1),".", RIGHT('Raw Data'!K655,4))))</f>
        <v>43619</v>
      </c>
      <c r="L655" s="2">
        <f>'Raw Data'!L655</f>
        <v>0.64652777777777781</v>
      </c>
      <c r="M655" t="s">
        <v>23</v>
      </c>
      <c r="N655">
        <f>VALUE(IF(AND(ISERR(FIND(".",'Raw Data'!N655)),LEN('Raw Data'!N655)=5), IF(YEAR('Raw Data'!N655)=2026,CONCATENATE(DAY('Raw Data'!N655),".",IF(LEN(MONTH('Raw Data'!N655))=2,MONTH('Raw Data'!N655),CONCATENATE("0",MONTH('Raw Data'!N655)))),CONCATENATE(MONTH('Raw Data'!N655),".",RIGHT(YEAR('Raw Data'!N655),2))),'Raw Data'!N655))</f>
        <v>335.88</v>
      </c>
      <c r="O655" s="6">
        <f t="shared" si="31"/>
        <v>4.7619047619047574</v>
      </c>
      <c r="P655" s="6">
        <f t="shared" si="32"/>
        <v>16.793999999999983</v>
      </c>
      <c r="Q655">
        <f>VALUE(IF(AND(ISERR(FIND(".",'Raw Data'!Q655)),LEN('Raw Data'!Q655)=5), IF(YEAR('Raw Data'!Q655)=2026,CONCATENATE(DAY('Raw Data'!Q655),".",IF(LEN(MONTH('Raw Data'!Q655))=2,MONTH('Raw Data'!Q655),CONCATENATE(MONTH('Raw Data'!Q655)))),CONCATENATE(MONTH('Raw Data'!Q655),".",RIGHT(YEAR('Raw Data'!Q655),2))),'Raw Data'!Q655))</f>
        <v>5.0999999999999996</v>
      </c>
    </row>
    <row r="656" spans="1:17">
      <c r="A656" t="s">
        <v>743</v>
      </c>
      <c r="B656" t="s">
        <v>34</v>
      </c>
      <c r="C656" t="s">
        <v>35</v>
      </c>
      <c r="D656" t="s">
        <v>20</v>
      </c>
      <c r="E656" t="s">
        <v>30</v>
      </c>
      <c r="F656" t="s">
        <v>43</v>
      </c>
      <c r="G656">
        <f>VALUE(IF(AND(ISERR(FIND(".",'Raw Data'!G656)),LEN('Raw Data'!G656)=5), IF(YEAR('Raw Data'!G656)=2026,CONCATENATE(DAY('Raw Data'!G656),".",IF(LEN(MONTH('Raw Data'!G656))=2,MONTH('Raw Data'!G656),CONCATENATE("0",MONTH('Raw Data'!G656)))),CONCATENATE(MONTH('Raw Data'!G656),".",RIGHT(YEAR('Raw Data'!G656),2))),'Raw Data'!G656))</f>
        <v>60.18</v>
      </c>
      <c r="H656">
        <f>'Raw Data'!H656</f>
        <v>4</v>
      </c>
      <c r="I656" s="6">
        <f t="shared" si="30"/>
        <v>12.036000000000001</v>
      </c>
      <c r="J656" s="6">
        <f>'Raw Data'!J656</f>
        <v>252.756</v>
      </c>
      <c r="K656" s="1">
        <f>VALUE(IFERROR(VALUE('Raw Data'!K656),CONCATENATE(MID('Raw Data'!K656,3,2),".","0",LEFT('Raw Data'!K656,1),".", RIGHT('Raw Data'!K656,4))))</f>
        <v>43512</v>
      </c>
      <c r="L656" s="2">
        <f>'Raw Data'!L656</f>
        <v>0.75277777777777777</v>
      </c>
      <c r="M656" t="s">
        <v>33</v>
      </c>
      <c r="N656">
        <f>VALUE(IF(AND(ISERR(FIND(".",'Raw Data'!N656)),LEN('Raw Data'!N656)=5), IF(YEAR('Raw Data'!N656)=2026,CONCATENATE(DAY('Raw Data'!N656),".",IF(LEN(MONTH('Raw Data'!N656))=2,MONTH('Raw Data'!N656),CONCATENATE("0",MONTH('Raw Data'!N656)))),CONCATENATE(MONTH('Raw Data'!N656),".",RIGHT(YEAR('Raw Data'!N656),2))),'Raw Data'!N656))</f>
        <v>240.72</v>
      </c>
      <c r="O656" s="6">
        <f t="shared" si="31"/>
        <v>4.7619047619047628</v>
      </c>
      <c r="P656" s="6">
        <f t="shared" si="32"/>
        <v>12.036000000000001</v>
      </c>
      <c r="Q656">
        <f>VALUE(IF(AND(ISERR(FIND(".",'Raw Data'!Q656)),LEN('Raw Data'!Q656)=5), IF(YEAR('Raw Data'!Q656)=2026,CONCATENATE(DAY('Raw Data'!Q656),".",IF(LEN(MONTH('Raw Data'!Q656))=2,MONTH('Raw Data'!Q656),CONCATENATE(MONTH('Raw Data'!Q656)))),CONCATENATE(MONTH('Raw Data'!Q656),".",RIGHT(YEAR('Raw Data'!Q656),2))),'Raw Data'!Q656))</f>
        <v>9.4</v>
      </c>
    </row>
    <row r="657" spans="1:17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f>VALUE(IF(AND(ISERR(FIND(".",'Raw Data'!G657)),LEN('Raw Data'!G657)=5), IF(YEAR('Raw Data'!G657)=2026,CONCATENATE(DAY('Raw Data'!G657),".",IF(LEN(MONTH('Raw Data'!G657))=2,MONTH('Raw Data'!G657),CONCATENATE("0",MONTH('Raw Data'!G657)))),CONCATENATE(MONTH('Raw Data'!G657),".",RIGHT(YEAR('Raw Data'!G657),2))),'Raw Data'!G657))</f>
        <v>15.69</v>
      </c>
      <c r="H657">
        <f>'Raw Data'!H657</f>
        <v>3</v>
      </c>
      <c r="I657" s="6">
        <f t="shared" si="30"/>
        <v>2.3534999999999968</v>
      </c>
      <c r="J657" s="6">
        <f>'Raw Data'!J657</f>
        <v>49.423499999999997</v>
      </c>
      <c r="K657" s="1">
        <f>VALUE(IFERROR(VALUE('Raw Data'!K657),CONCATENATE(MID('Raw Data'!K657,3,2),".","0",LEFT('Raw Data'!K657,1),".", RIGHT('Raw Data'!K657,4))))</f>
        <v>43538</v>
      </c>
      <c r="L657" s="2">
        <f>'Raw Data'!L657</f>
        <v>0.59236111111111112</v>
      </c>
      <c r="M657" t="s">
        <v>33</v>
      </c>
      <c r="N657">
        <f>VALUE(IF(AND(ISERR(FIND(".",'Raw Data'!N657)),LEN('Raw Data'!N657)=5), IF(YEAR('Raw Data'!N657)=2026,CONCATENATE(DAY('Raw Data'!N657),".",IF(LEN(MONTH('Raw Data'!N657))=2,MONTH('Raw Data'!N657),CONCATENATE("0",MONTH('Raw Data'!N657)))),CONCATENATE(MONTH('Raw Data'!N657),".",RIGHT(YEAR('Raw Data'!N657),2))),'Raw Data'!N657))</f>
        <v>47.07</v>
      </c>
      <c r="O657" s="6">
        <f t="shared" si="31"/>
        <v>4.7619047619047556</v>
      </c>
      <c r="P657" s="6">
        <f t="shared" si="32"/>
        <v>2.3534999999999968</v>
      </c>
      <c r="Q657">
        <f>VALUE(IF(AND(ISERR(FIND(".",'Raw Data'!Q657)),LEN('Raw Data'!Q657)=5), IF(YEAR('Raw Data'!Q657)=2026,CONCATENATE(DAY('Raw Data'!Q657),".",IF(LEN(MONTH('Raw Data'!Q657))=2,MONTH('Raw Data'!Q657),CONCATENATE(MONTH('Raw Data'!Q657)))),CONCATENATE(MONTH('Raw Data'!Q657),".",RIGHT(YEAR('Raw Data'!Q657),2))),'Raw Data'!Q657))</f>
        <v>5.8</v>
      </c>
    </row>
    <row r="658" spans="1:17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f>VALUE(IF(AND(ISERR(FIND(".",'Raw Data'!G658)),LEN('Raw Data'!G658)=5), IF(YEAR('Raw Data'!G658)=2026,CONCATENATE(DAY('Raw Data'!G658),".",IF(LEN(MONTH('Raw Data'!G658))=2,MONTH('Raw Data'!G658),CONCATENATE("0",MONTH('Raw Data'!G658)))),CONCATENATE(MONTH('Raw Data'!G658),".",RIGHT(YEAR('Raw Data'!G658),2))),'Raw Data'!G658))</f>
        <v>99.69</v>
      </c>
      <c r="H658">
        <f>'Raw Data'!H658</f>
        <v>1</v>
      </c>
      <c r="I658" s="6">
        <f t="shared" si="30"/>
        <v>4.984499999999997</v>
      </c>
      <c r="J658" s="6">
        <f>'Raw Data'!J658</f>
        <v>104.67449999999999</v>
      </c>
      <c r="K658" s="1">
        <f>VALUE(IFERROR(VALUE('Raw Data'!K658),CONCATENATE(MID('Raw Data'!K658,3,2),".","0",LEFT('Raw Data'!K658,1),".", RIGHT('Raw Data'!K658,4))))</f>
        <v>43523</v>
      </c>
      <c r="L658" s="2">
        <f>'Raw Data'!L658</f>
        <v>0.43263888888888885</v>
      </c>
      <c r="M658" t="s">
        <v>33</v>
      </c>
      <c r="N658">
        <f>VALUE(IF(AND(ISERR(FIND(".",'Raw Data'!N658)),LEN('Raw Data'!N658)=5), IF(YEAR('Raw Data'!N658)=2026,CONCATENATE(DAY('Raw Data'!N658),".",IF(LEN(MONTH('Raw Data'!N658))=2,MONTH('Raw Data'!N658),CONCATENATE("0",MONTH('Raw Data'!N658)))),CONCATENATE(MONTH('Raw Data'!N658),".",RIGHT(YEAR('Raw Data'!N658),2))),'Raw Data'!N658))</f>
        <v>99.69</v>
      </c>
      <c r="O658" s="6">
        <f t="shared" si="31"/>
        <v>4.7619047619047592</v>
      </c>
      <c r="P658" s="6">
        <f t="shared" si="32"/>
        <v>4.984499999999997</v>
      </c>
      <c r="Q658">
        <f>VALUE(IF(AND(ISERR(FIND(".",'Raw Data'!Q658)),LEN('Raw Data'!Q658)=5), IF(YEAR('Raw Data'!Q658)=2026,CONCATENATE(DAY('Raw Data'!Q658),".",IF(LEN(MONTH('Raw Data'!Q658))=2,MONTH('Raw Data'!Q658),CONCATENATE(MONTH('Raw Data'!Q658)))),CONCATENATE(MONTH('Raw Data'!Q658),".",RIGHT(YEAR('Raw Data'!Q658),2))),'Raw Data'!Q658))</f>
        <v>8</v>
      </c>
    </row>
    <row r="659" spans="1:17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43</v>
      </c>
      <c r="G659">
        <f>VALUE(IF(AND(ISERR(FIND(".",'Raw Data'!G659)),LEN('Raw Data'!G659)=5), IF(YEAR('Raw Data'!G659)=2026,CONCATENATE(DAY('Raw Data'!G659),".",IF(LEN(MONTH('Raw Data'!G659))=2,MONTH('Raw Data'!G659),CONCATENATE("0",MONTH('Raw Data'!G659)))),CONCATENATE(MONTH('Raw Data'!G659),".",RIGHT(YEAR('Raw Data'!G659),2))),'Raw Data'!G659))</f>
        <v>88.15</v>
      </c>
      <c r="H659">
        <f>'Raw Data'!H659</f>
        <v>3</v>
      </c>
      <c r="I659" s="6">
        <f t="shared" si="30"/>
        <v>13.222499999999968</v>
      </c>
      <c r="J659" s="6">
        <f>'Raw Data'!J659</f>
        <v>277.67250000000001</v>
      </c>
      <c r="K659" s="1">
        <f>VALUE(IFERROR(VALUE('Raw Data'!K659),CONCATENATE(MID('Raw Data'!K659,3,2),".","0",LEFT('Raw Data'!K659,1),".", RIGHT('Raw Data'!K659,4))))</f>
        <v>43483</v>
      </c>
      <c r="L659" s="2">
        <f>'Raw Data'!L659</f>
        <v>0.42430555555555555</v>
      </c>
      <c r="M659" t="s">
        <v>23</v>
      </c>
      <c r="N659">
        <f>VALUE(IF(AND(ISERR(FIND(".",'Raw Data'!N659)),LEN('Raw Data'!N659)=5), IF(YEAR('Raw Data'!N659)=2026,CONCATENATE(DAY('Raw Data'!N659),".",IF(LEN(MONTH('Raw Data'!N659))=2,MONTH('Raw Data'!N659),CONCATENATE("0",MONTH('Raw Data'!N659)))),CONCATENATE(MONTH('Raw Data'!N659),".",RIGHT(YEAR('Raw Data'!N659),2))),'Raw Data'!N659))</f>
        <v>264.45</v>
      </c>
      <c r="O659" s="6">
        <f t="shared" si="31"/>
        <v>4.7619047619047707</v>
      </c>
      <c r="P659" s="6">
        <f t="shared" si="32"/>
        <v>13.222500000000025</v>
      </c>
      <c r="Q659">
        <f>VALUE(IF(AND(ISERR(FIND(".",'Raw Data'!Q659)),LEN('Raw Data'!Q659)=5), IF(YEAR('Raw Data'!Q659)=2026,CONCATENATE(DAY('Raw Data'!Q659),".",IF(LEN(MONTH('Raw Data'!Q659))=2,MONTH('Raw Data'!Q659),CONCATENATE(MONTH('Raw Data'!Q659)))),CONCATENATE(MONTH('Raw Data'!Q659),".",RIGHT(YEAR('Raw Data'!Q659),2))),'Raw Data'!Q659))</f>
        <v>7.9</v>
      </c>
    </row>
    <row r="660" spans="1:17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38</v>
      </c>
      <c r="G660">
        <f>VALUE(IF(AND(ISERR(FIND(".",'Raw Data'!G660)),LEN('Raw Data'!G660)=5), IF(YEAR('Raw Data'!G660)=2026,CONCATENATE(DAY('Raw Data'!G660),".",IF(LEN(MONTH('Raw Data'!G660))=2,MONTH('Raw Data'!G660),CONCATENATE("0",MONTH('Raw Data'!G660)))),CONCATENATE(MONTH('Raw Data'!G660),".",RIGHT(YEAR('Raw Data'!G660),2))),'Raw Data'!G660))</f>
        <v>27.93</v>
      </c>
      <c r="H660">
        <f>'Raw Data'!H660</f>
        <v>5</v>
      </c>
      <c r="I660" s="6">
        <f t="shared" si="30"/>
        <v>6.9824999999999875</v>
      </c>
      <c r="J660" s="6">
        <f>'Raw Data'!J660</f>
        <v>146.63249999999999</v>
      </c>
      <c r="K660" s="1">
        <f>VALUE(IFERROR(VALUE('Raw Data'!K660),CONCATENATE(MID('Raw Data'!K660,3,2),".","0",LEFT('Raw Data'!K660,1),".", RIGHT('Raw Data'!K660,4))))</f>
        <v>43494</v>
      </c>
      <c r="L660" s="2">
        <f>'Raw Data'!L660</f>
        <v>0.65833333333333333</v>
      </c>
      <c r="M660" t="s">
        <v>29</v>
      </c>
      <c r="N660">
        <f>VALUE(IF(AND(ISERR(FIND(".",'Raw Data'!N660)),LEN('Raw Data'!N660)=5), IF(YEAR('Raw Data'!N660)=2026,CONCATENATE(DAY('Raw Data'!N660),".",IF(LEN(MONTH('Raw Data'!N660))=2,MONTH('Raw Data'!N660),CONCATENATE("0",MONTH('Raw Data'!N660)))),CONCATENATE(MONTH('Raw Data'!N660),".",RIGHT(YEAR('Raw Data'!N660),2))),'Raw Data'!N660))</f>
        <v>139.65</v>
      </c>
      <c r="O660" s="6">
        <f t="shared" si="31"/>
        <v>4.761904761904753</v>
      </c>
      <c r="P660" s="6">
        <f t="shared" si="32"/>
        <v>6.9824999999999875</v>
      </c>
      <c r="Q660">
        <f>VALUE(IF(AND(ISERR(FIND(".",'Raw Data'!Q660)),LEN('Raw Data'!Q660)=5), IF(YEAR('Raw Data'!Q660)=2026,CONCATENATE(DAY('Raw Data'!Q660),".",IF(LEN(MONTH('Raw Data'!Q660))=2,MONTH('Raw Data'!Q660),CONCATENATE(MONTH('Raw Data'!Q660)))),CONCATENATE(MONTH('Raw Data'!Q660),".",RIGHT(YEAR('Raw Data'!Q660),2))),'Raw Data'!Q660))</f>
        <v>5.9</v>
      </c>
    </row>
    <row r="661" spans="1:17">
      <c r="A661" t="s">
        <v>748</v>
      </c>
      <c r="B661" t="s">
        <v>18</v>
      </c>
      <c r="C661" t="s">
        <v>19</v>
      </c>
      <c r="D661" t="s">
        <v>20</v>
      </c>
      <c r="E661" t="s">
        <v>30</v>
      </c>
      <c r="F661" t="s">
        <v>43</v>
      </c>
      <c r="G661">
        <f>VALUE(IF(AND(ISERR(FIND(".",'Raw Data'!G661)),LEN('Raw Data'!G661)=5), IF(YEAR('Raw Data'!G661)=2026,CONCATENATE(DAY('Raw Data'!G661),".",IF(LEN(MONTH('Raw Data'!G661))=2,MONTH('Raw Data'!G661),CONCATENATE("0",MONTH('Raw Data'!G661)))),CONCATENATE(MONTH('Raw Data'!G661),".",RIGHT(YEAR('Raw Data'!G661),2))),'Raw Data'!G661))</f>
        <v>55.45</v>
      </c>
      <c r="H661">
        <f>'Raw Data'!H661</f>
        <v>1</v>
      </c>
      <c r="I661" s="6">
        <f t="shared" si="30"/>
        <v>2.7724999999999937</v>
      </c>
      <c r="J661" s="6">
        <f>'Raw Data'!J661</f>
        <v>58.222499999999997</v>
      </c>
      <c r="K661" s="1">
        <f>VALUE(IFERROR(VALUE('Raw Data'!K661),CONCATENATE(MID('Raw Data'!K661,3,2),".","0",LEFT('Raw Data'!K661,1),".", RIGHT('Raw Data'!K661,4))))</f>
        <v>43522</v>
      </c>
      <c r="L661" s="2">
        <f>'Raw Data'!L661</f>
        <v>0.7402777777777777</v>
      </c>
      <c r="M661" t="s">
        <v>33</v>
      </c>
      <c r="N661">
        <f>VALUE(IF(AND(ISERR(FIND(".",'Raw Data'!N661)),LEN('Raw Data'!N661)=5), IF(YEAR('Raw Data'!N661)=2026,CONCATENATE(DAY('Raw Data'!N661),".",IF(LEN(MONTH('Raw Data'!N661))=2,MONTH('Raw Data'!N661),CONCATENATE("0",MONTH('Raw Data'!N661)))),CONCATENATE(MONTH('Raw Data'!N661),".",RIGHT(YEAR('Raw Data'!N661),2))),'Raw Data'!N661))</f>
        <v>55.45</v>
      </c>
      <c r="O661" s="6">
        <f t="shared" si="31"/>
        <v>4.7619047619047512</v>
      </c>
      <c r="P661" s="6">
        <f t="shared" si="32"/>
        <v>2.7724999999999937</v>
      </c>
      <c r="Q661">
        <f>VALUE(IF(AND(ISERR(FIND(".",'Raw Data'!Q661)),LEN('Raw Data'!Q661)=5), IF(YEAR('Raw Data'!Q661)=2026,CONCATENATE(DAY('Raw Data'!Q661),".",IF(LEN(MONTH('Raw Data'!Q661))=2,MONTH('Raw Data'!Q661),CONCATENATE(MONTH('Raw Data'!Q661)))),CONCATENATE(MONTH('Raw Data'!Q661),".",RIGHT(YEAR('Raw Data'!Q661),2))),'Raw Data'!Q661))</f>
        <v>4.9000000000000004</v>
      </c>
    </row>
    <row r="662" spans="1:17">
      <c r="A662" t="s">
        <v>749</v>
      </c>
      <c r="B662" t="s">
        <v>34</v>
      </c>
      <c r="C662" t="s">
        <v>35</v>
      </c>
      <c r="D662" t="s">
        <v>27</v>
      </c>
      <c r="E662" t="s">
        <v>21</v>
      </c>
      <c r="F662" t="s">
        <v>38</v>
      </c>
      <c r="G662">
        <f>VALUE(IF(AND(ISERR(FIND(".",'Raw Data'!G662)),LEN('Raw Data'!G662)=5), IF(YEAR('Raw Data'!G662)=2026,CONCATENATE(DAY('Raw Data'!G662),".",IF(LEN(MONTH('Raw Data'!G662))=2,MONTH('Raw Data'!G662),CONCATENATE("0",MONTH('Raw Data'!G662)))),CONCATENATE(MONTH('Raw Data'!G662),".",RIGHT(YEAR('Raw Data'!G662),2))),'Raw Data'!G662))</f>
        <v>42.97</v>
      </c>
      <c r="H662">
        <f>'Raw Data'!H662</f>
        <v>3</v>
      </c>
      <c r="I662" s="6">
        <f t="shared" si="30"/>
        <v>6.4455000000000098</v>
      </c>
      <c r="J662" s="6">
        <f>'Raw Data'!J662</f>
        <v>135.35550000000001</v>
      </c>
      <c r="K662" s="1">
        <f>VALUE(IFERROR(VALUE('Raw Data'!K662),CONCATENATE(MID('Raw Data'!K662,3,2),".","0",LEFT('Raw Data'!K662,1),".", RIGHT('Raw Data'!K662,4))))</f>
        <v>43526</v>
      </c>
      <c r="L662" s="2">
        <f>'Raw Data'!L662</f>
        <v>0.49027777777777781</v>
      </c>
      <c r="M662" t="s">
        <v>29</v>
      </c>
      <c r="N662">
        <f>VALUE(IF(AND(ISERR(FIND(".",'Raw Data'!N662)),LEN('Raw Data'!N662)=5), IF(YEAR('Raw Data'!N662)=2026,CONCATENATE(DAY('Raw Data'!N662),".",IF(LEN(MONTH('Raw Data'!N662))=2,MONTH('Raw Data'!N662),CONCATENATE("0",MONTH('Raw Data'!N662)))),CONCATENATE(MONTH('Raw Data'!N662),".",RIGHT(YEAR('Raw Data'!N662),2))),'Raw Data'!N662))</f>
        <v>128.91</v>
      </c>
      <c r="O662" s="6">
        <f t="shared" si="31"/>
        <v>4.761904761904769</v>
      </c>
      <c r="P662" s="6">
        <f t="shared" si="32"/>
        <v>6.4455000000000098</v>
      </c>
      <c r="Q662">
        <f>VALUE(IF(AND(ISERR(FIND(".",'Raw Data'!Q662)),LEN('Raw Data'!Q662)=5), IF(YEAR('Raw Data'!Q662)=2026,CONCATENATE(DAY('Raw Data'!Q662),".",IF(LEN(MONTH('Raw Data'!Q662))=2,MONTH('Raw Data'!Q662),CONCATENATE(MONTH('Raw Data'!Q662)))),CONCATENATE(MONTH('Raw Data'!Q662),".",RIGHT(YEAR('Raw Data'!Q662),2))),'Raw Data'!Q662))</f>
        <v>9.3000000000000007</v>
      </c>
    </row>
    <row r="663" spans="1:17">
      <c r="A663" t="s">
        <v>750</v>
      </c>
      <c r="B663" t="s">
        <v>25</v>
      </c>
      <c r="C663" t="s">
        <v>26</v>
      </c>
      <c r="D663" t="s">
        <v>20</v>
      </c>
      <c r="E663" t="s">
        <v>30</v>
      </c>
      <c r="F663" t="s">
        <v>38</v>
      </c>
      <c r="G663">
        <f>VALUE(IF(AND(ISERR(FIND(".",'Raw Data'!G663)),LEN('Raw Data'!G663)=5), IF(YEAR('Raw Data'!G663)=2026,CONCATENATE(DAY('Raw Data'!G663),".",IF(LEN(MONTH('Raw Data'!G663))=2,MONTH('Raw Data'!G663),CONCATENATE("0",MONTH('Raw Data'!G663)))),CONCATENATE(MONTH('Raw Data'!G663),".",RIGHT(YEAR('Raw Data'!G663),2))),'Raw Data'!G663))</f>
        <v>17.14</v>
      </c>
      <c r="H663">
        <f>'Raw Data'!H663</f>
        <v>7</v>
      </c>
      <c r="I663" s="6">
        <f t="shared" si="30"/>
        <v>5.9989999999999952</v>
      </c>
      <c r="J663" s="6">
        <f>'Raw Data'!J663</f>
        <v>125.979</v>
      </c>
      <c r="K663" s="1">
        <f>VALUE(IFERROR(VALUE('Raw Data'!K663),CONCATENATE(MID('Raw Data'!K663,3,2),".","0",LEFT('Raw Data'!K663,1),".", RIGHT('Raw Data'!K663,4))))</f>
        <v>43481</v>
      </c>
      <c r="L663" s="2">
        <f>'Raw Data'!L663</f>
        <v>0.50486111111111109</v>
      </c>
      <c r="M663" t="s">
        <v>33</v>
      </c>
      <c r="N663">
        <f>VALUE(IF(AND(ISERR(FIND(".",'Raw Data'!N663)),LEN('Raw Data'!N663)=5), IF(YEAR('Raw Data'!N663)=2026,CONCATENATE(DAY('Raw Data'!N663),".",IF(LEN(MONTH('Raw Data'!N663))=2,MONTH('Raw Data'!N663),CONCATENATE("0",MONTH('Raw Data'!N663)))),CONCATENATE(MONTH('Raw Data'!N663),".",RIGHT(YEAR('Raw Data'!N663),2))),'Raw Data'!N663))</f>
        <v>119.98</v>
      </c>
      <c r="O663" s="6">
        <f t="shared" si="31"/>
        <v>4.7619047619047583</v>
      </c>
      <c r="P663" s="6">
        <f t="shared" si="32"/>
        <v>5.9989999999999952</v>
      </c>
      <c r="Q663">
        <f>VALUE(IF(AND(ISERR(FIND(".",'Raw Data'!Q663)),LEN('Raw Data'!Q663)=5), IF(YEAR('Raw Data'!Q663)=2026,CONCATENATE(DAY('Raw Data'!Q663),".",IF(LEN(MONTH('Raw Data'!Q663))=2,MONTH('Raw Data'!Q663),CONCATENATE(MONTH('Raw Data'!Q663)))),CONCATENATE(MONTH('Raw Data'!Q663),".",RIGHT(YEAR('Raw Data'!Q663),2))),'Raw Data'!Q663))</f>
        <v>7.9</v>
      </c>
    </row>
    <row r="664" spans="1:17">
      <c r="A664" t="s">
        <v>751</v>
      </c>
      <c r="B664" t="s">
        <v>34</v>
      </c>
      <c r="C664" t="s">
        <v>35</v>
      </c>
      <c r="D664" t="s">
        <v>20</v>
      </c>
      <c r="E664" t="s">
        <v>21</v>
      </c>
      <c r="F664" t="s">
        <v>43</v>
      </c>
      <c r="G664">
        <f>VALUE(IF(AND(ISERR(FIND(".",'Raw Data'!G664)),LEN('Raw Data'!G664)=5), IF(YEAR('Raw Data'!G664)=2026,CONCATENATE(DAY('Raw Data'!G664),".",IF(LEN(MONTH('Raw Data'!G664))=2,MONTH('Raw Data'!G664),CONCATENATE("0",MONTH('Raw Data'!G664)))),CONCATENATE(MONTH('Raw Data'!G664),".",RIGHT(YEAR('Raw Data'!G664),2))),'Raw Data'!G664))</f>
        <v>58.75</v>
      </c>
      <c r="H664">
        <f>'Raw Data'!H664</f>
        <v>6</v>
      </c>
      <c r="I664" s="6">
        <f t="shared" si="30"/>
        <v>17.625</v>
      </c>
      <c r="J664" s="6">
        <f>'Raw Data'!J664</f>
        <v>370.125</v>
      </c>
      <c r="K664" s="1">
        <f>VALUE(IFERROR(VALUE('Raw Data'!K664),CONCATENATE(MID('Raw Data'!K664,3,2),".","0",LEFT('Raw Data'!K664,1),".", RIGHT('Raw Data'!K664,4))))</f>
        <v>43548</v>
      </c>
      <c r="L664" s="2">
        <f>'Raw Data'!L664</f>
        <v>0.7597222222222223</v>
      </c>
      <c r="M664" t="s">
        <v>33</v>
      </c>
      <c r="N664">
        <f>VALUE(IF(AND(ISERR(FIND(".",'Raw Data'!N664)),LEN('Raw Data'!N664)=5), IF(YEAR('Raw Data'!N664)=2026,CONCATENATE(DAY('Raw Data'!N664),".",IF(LEN(MONTH('Raw Data'!N664))=2,MONTH('Raw Data'!N664),CONCATENATE("0",MONTH('Raw Data'!N664)))),CONCATENATE(MONTH('Raw Data'!N664),".",RIGHT(YEAR('Raw Data'!N664),2))),'Raw Data'!N664))</f>
        <v>352.5</v>
      </c>
      <c r="O664" s="6">
        <f t="shared" si="31"/>
        <v>4.7619047619047619</v>
      </c>
      <c r="P664" s="6">
        <f t="shared" si="32"/>
        <v>17.625</v>
      </c>
      <c r="Q664">
        <f>VALUE(IF(AND(ISERR(FIND(".",'Raw Data'!Q664)),LEN('Raw Data'!Q664)=5), IF(YEAR('Raw Data'!Q664)=2026,CONCATENATE(DAY('Raw Data'!Q664),".",IF(LEN(MONTH('Raw Data'!Q664))=2,MONTH('Raw Data'!Q664),CONCATENATE(MONTH('Raw Data'!Q664)))),CONCATENATE(MONTH('Raw Data'!Q664),".",RIGHT(YEAR('Raw Data'!Q664),2))),'Raw Data'!Q664))</f>
        <v>5.9</v>
      </c>
    </row>
    <row r="665" spans="1:17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40</v>
      </c>
      <c r="G665">
        <f>VALUE(IF(AND(ISERR(FIND(".",'Raw Data'!G665)),LEN('Raw Data'!G665)=5), IF(YEAR('Raw Data'!G665)=2026,CONCATENATE(DAY('Raw Data'!G665),".",IF(LEN(MONTH('Raw Data'!G665))=2,MONTH('Raw Data'!G665),CONCATENATE("0",MONTH('Raw Data'!G665)))),CONCATENATE(MONTH('Raw Data'!G665),".",RIGHT(YEAR('Raw Data'!G665),2))),'Raw Data'!G665))</f>
        <v>87.1</v>
      </c>
      <c r="H665">
        <f>'Raw Data'!H665</f>
        <v>10</v>
      </c>
      <c r="I665" s="6">
        <f t="shared" si="30"/>
        <v>43.549999999999955</v>
      </c>
      <c r="J665" s="6">
        <f>'Raw Data'!J665</f>
        <v>914.55</v>
      </c>
      <c r="K665" s="1">
        <f>VALUE(IFERROR(VALUE('Raw Data'!K665),CONCATENATE(MID('Raw Data'!K665,3,2),".","0",LEFT('Raw Data'!K665,1),".", RIGHT('Raw Data'!K665,4))))</f>
        <v>43801</v>
      </c>
      <c r="L665" s="2">
        <f>'Raw Data'!L665</f>
        <v>0.61458333333333337</v>
      </c>
      <c r="M665" t="s">
        <v>33</v>
      </c>
      <c r="N665">
        <f>VALUE(IF(AND(ISERR(FIND(".",'Raw Data'!N665)),LEN('Raw Data'!N665)=5), IF(YEAR('Raw Data'!N665)=2026,CONCATENATE(DAY('Raw Data'!N665),".",IF(LEN(MONTH('Raw Data'!N665))=2,MONTH('Raw Data'!N665),CONCATENATE("0",MONTH('Raw Data'!N665)))),CONCATENATE(MONTH('Raw Data'!N665),".",RIGHT(YEAR('Raw Data'!N665),2))),'Raw Data'!N665))</f>
        <v>871</v>
      </c>
      <c r="O665" s="6">
        <f t="shared" si="31"/>
        <v>4.7619047619047574</v>
      </c>
      <c r="P665" s="6">
        <f t="shared" si="32"/>
        <v>43.549999999999955</v>
      </c>
      <c r="Q665">
        <f>VALUE(IF(AND(ISERR(FIND(".",'Raw Data'!Q665)),LEN('Raw Data'!Q665)=5), IF(YEAR('Raw Data'!Q665)=2026,CONCATENATE(DAY('Raw Data'!Q665),".",IF(LEN(MONTH('Raw Data'!Q665))=2,MONTH('Raw Data'!Q665),CONCATENATE(MONTH('Raw Data'!Q665)))),CONCATENATE(MONTH('Raw Data'!Q665),".",RIGHT(YEAR('Raw Data'!Q665),2))),'Raw Data'!Q665))</f>
        <v>9.9</v>
      </c>
    </row>
    <row r="666" spans="1:17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38</v>
      </c>
      <c r="G666">
        <f>VALUE(IF(AND(ISERR(FIND(".",'Raw Data'!G666)),LEN('Raw Data'!G666)=5), IF(YEAR('Raw Data'!G666)=2026,CONCATENATE(DAY('Raw Data'!G666),".",IF(LEN(MONTH('Raw Data'!G666))=2,MONTH('Raw Data'!G666),CONCATENATE("0",MONTH('Raw Data'!G666)))),CONCATENATE(MONTH('Raw Data'!G666),".",RIGHT(YEAR('Raw Data'!G666),2))),'Raw Data'!G666))</f>
        <v>98.8</v>
      </c>
      <c r="H666">
        <f>'Raw Data'!H666</f>
        <v>2</v>
      </c>
      <c r="I666" s="6">
        <f t="shared" si="30"/>
        <v>9.8799999999999955</v>
      </c>
      <c r="J666" s="6">
        <f>'Raw Data'!J666</f>
        <v>207.48</v>
      </c>
      <c r="K666" s="1">
        <f>VALUE(IFERROR(VALUE('Raw Data'!K666),CONCATENATE(MID('Raw Data'!K666,3,2),".","0",LEFT('Raw Data'!K666,1),".", RIGHT('Raw Data'!K666,4))))</f>
        <v>43517</v>
      </c>
      <c r="L666" s="2">
        <f>'Raw Data'!L666</f>
        <v>0.48541666666666666</v>
      </c>
      <c r="M666" t="s">
        <v>29</v>
      </c>
      <c r="N666">
        <f>VALUE(IF(AND(ISERR(FIND(".",'Raw Data'!N666)),LEN('Raw Data'!N666)=5), IF(YEAR('Raw Data'!N666)=2026,CONCATENATE(DAY('Raw Data'!N666),".",IF(LEN(MONTH('Raw Data'!N666))=2,MONTH('Raw Data'!N666),CONCATENATE("0",MONTH('Raw Data'!N666)))),CONCATENATE(MONTH('Raw Data'!N666),".",RIGHT(YEAR('Raw Data'!N666),2))),'Raw Data'!N666))</f>
        <v>197.6</v>
      </c>
      <c r="O666" s="6">
        <f t="shared" si="31"/>
        <v>4.7619047619047601</v>
      </c>
      <c r="P666" s="6">
        <f t="shared" si="32"/>
        <v>9.8799999999999955</v>
      </c>
      <c r="Q666">
        <f>VALUE(IF(AND(ISERR(FIND(".",'Raw Data'!Q666)),LEN('Raw Data'!Q666)=5), IF(YEAR('Raw Data'!Q666)=2026,CONCATENATE(DAY('Raw Data'!Q666),".",IF(LEN(MONTH('Raw Data'!Q666))=2,MONTH('Raw Data'!Q666),CONCATENATE(MONTH('Raw Data'!Q666)))),CONCATENATE(MONTH('Raw Data'!Q666),".",RIGHT(YEAR('Raw Data'!Q666),2))),'Raw Data'!Q666))</f>
        <v>7.7</v>
      </c>
    </row>
    <row r="667" spans="1:17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43</v>
      </c>
      <c r="G667">
        <f>VALUE(IF(AND(ISERR(FIND(".",'Raw Data'!G667)),LEN('Raw Data'!G667)=5), IF(YEAR('Raw Data'!G667)=2026,CONCATENATE(DAY('Raw Data'!G667),".",IF(LEN(MONTH('Raw Data'!G667))=2,MONTH('Raw Data'!G667),CONCATENATE("0",MONTH('Raw Data'!G667)))),CONCATENATE(MONTH('Raw Data'!G667),".",RIGHT(YEAR('Raw Data'!G667),2))),'Raw Data'!G667))</f>
        <v>48.63</v>
      </c>
      <c r="H667">
        <f>'Raw Data'!H667</f>
        <v>4</v>
      </c>
      <c r="I667" s="6">
        <f t="shared" si="30"/>
        <v>9.7259999999999991</v>
      </c>
      <c r="J667" s="6">
        <f>'Raw Data'!J667</f>
        <v>204.24600000000001</v>
      </c>
      <c r="K667" s="1">
        <f>VALUE(IFERROR(VALUE('Raw Data'!K667),CONCATENATE(MID('Raw Data'!K667,3,2),".","0",LEFT('Raw Data'!K667,1),".", RIGHT('Raw Data'!K667,4))))</f>
        <v>43557</v>
      </c>
      <c r="L667" s="2">
        <f>'Raw Data'!L667</f>
        <v>0.65555555555555556</v>
      </c>
      <c r="M667" t="s">
        <v>23</v>
      </c>
      <c r="N667">
        <f>VALUE(IF(AND(ISERR(FIND(".",'Raw Data'!N667)),LEN('Raw Data'!N667)=5), IF(YEAR('Raw Data'!N667)=2026,CONCATENATE(DAY('Raw Data'!N667),".",IF(LEN(MONTH('Raw Data'!N667))=2,MONTH('Raw Data'!N667),CONCATENATE("0",MONTH('Raw Data'!N667)))),CONCATENATE(MONTH('Raw Data'!N667),".",RIGHT(YEAR('Raw Data'!N667),2))),'Raw Data'!N667))</f>
        <v>194.52</v>
      </c>
      <c r="O667" s="6">
        <f t="shared" si="31"/>
        <v>4.761904761904761</v>
      </c>
      <c r="P667" s="6">
        <f t="shared" si="32"/>
        <v>9.7259999999999991</v>
      </c>
      <c r="Q667">
        <f>VALUE(IF(AND(ISERR(FIND(".",'Raw Data'!Q667)),LEN('Raw Data'!Q667)=5), IF(YEAR('Raw Data'!Q667)=2026,CONCATENATE(DAY('Raw Data'!Q667),".",IF(LEN(MONTH('Raw Data'!Q667))=2,MONTH('Raw Data'!Q667),CONCATENATE(MONTH('Raw Data'!Q667)))),CONCATENATE(MONTH('Raw Data'!Q667),".",RIGHT(YEAR('Raw Data'!Q667),2))),'Raw Data'!Q667))</f>
        <v>7.6</v>
      </c>
    </row>
    <row r="668" spans="1:17">
      <c r="A668" t="s">
        <v>755</v>
      </c>
      <c r="B668" t="s">
        <v>34</v>
      </c>
      <c r="C668" t="s">
        <v>35</v>
      </c>
      <c r="D668" t="s">
        <v>20</v>
      </c>
      <c r="E668" t="s">
        <v>30</v>
      </c>
      <c r="F668" t="s">
        <v>40</v>
      </c>
      <c r="G668">
        <f>VALUE(IF(AND(ISERR(FIND(".",'Raw Data'!G668)),LEN('Raw Data'!G668)=5), IF(YEAR('Raw Data'!G668)=2026,CONCATENATE(DAY('Raw Data'!G668),".",IF(LEN(MONTH('Raw Data'!G668))=2,MONTH('Raw Data'!G668),CONCATENATE("0",MONTH('Raw Data'!G668)))),CONCATENATE(MONTH('Raw Data'!G668),".",RIGHT(YEAR('Raw Data'!G668),2))),'Raw Data'!G668))</f>
        <v>57.74</v>
      </c>
      <c r="H668">
        <f>'Raw Data'!H668</f>
        <v>3</v>
      </c>
      <c r="I668" s="6">
        <f t="shared" si="30"/>
        <v>8.6610000000000014</v>
      </c>
      <c r="J668" s="6">
        <f>'Raw Data'!J668</f>
        <v>181.881</v>
      </c>
      <c r="K668" s="1">
        <f>VALUE(IFERROR(VALUE('Raw Data'!K668),CONCATENATE(MID('Raw Data'!K668,3,2),".","0",LEFT('Raw Data'!K668,1),".", RIGHT('Raw Data'!K668,4))))</f>
        <v>43516</v>
      </c>
      <c r="L668" s="2">
        <f>'Raw Data'!L668</f>
        <v>0.54583333333333328</v>
      </c>
      <c r="M668" t="s">
        <v>23</v>
      </c>
      <c r="N668">
        <f>VALUE(IF(AND(ISERR(FIND(".",'Raw Data'!N668)),LEN('Raw Data'!N668)=5), IF(YEAR('Raw Data'!N668)=2026,CONCATENATE(DAY('Raw Data'!N668),".",IF(LEN(MONTH('Raw Data'!N668))=2,MONTH('Raw Data'!N668),CONCATENATE("0",MONTH('Raw Data'!N668)))),CONCATENATE(MONTH('Raw Data'!N668),".",RIGHT(YEAR('Raw Data'!N668),2))),'Raw Data'!N668))</f>
        <v>173.22</v>
      </c>
      <c r="O668" s="6">
        <f t="shared" si="31"/>
        <v>4.7619047619047628</v>
      </c>
      <c r="P668" s="6">
        <f t="shared" si="32"/>
        <v>8.6610000000000014</v>
      </c>
      <c r="Q668">
        <f>VALUE(IF(AND(ISERR(FIND(".",'Raw Data'!Q668)),LEN('Raw Data'!Q668)=5), IF(YEAR('Raw Data'!Q668)=2026,CONCATENATE(DAY('Raw Data'!Q668),".",IF(LEN(MONTH('Raw Data'!Q668))=2,MONTH('Raw Data'!Q668),CONCATENATE(MONTH('Raw Data'!Q668)))),CONCATENATE(MONTH('Raw Data'!Q668),".",RIGHT(YEAR('Raw Data'!Q668),2))),'Raw Data'!Q668))</f>
        <v>7.7</v>
      </c>
    </row>
    <row r="669" spans="1:17">
      <c r="A669" t="s">
        <v>756</v>
      </c>
      <c r="B669" t="s">
        <v>34</v>
      </c>
      <c r="C669" t="s">
        <v>35</v>
      </c>
      <c r="D669" t="s">
        <v>27</v>
      </c>
      <c r="E669" t="s">
        <v>21</v>
      </c>
      <c r="F669" t="s">
        <v>22</v>
      </c>
      <c r="G669">
        <f>VALUE(IF(AND(ISERR(FIND(".",'Raw Data'!G669)),LEN('Raw Data'!G669)=5), IF(YEAR('Raw Data'!G669)=2026,CONCATENATE(DAY('Raw Data'!G669),".",IF(LEN(MONTH('Raw Data'!G669))=2,MONTH('Raw Data'!G669),CONCATENATE("0",MONTH('Raw Data'!G669)))),CONCATENATE(MONTH('Raw Data'!G669),".",RIGHT(YEAR('Raw Data'!G669),2))),'Raw Data'!G669))</f>
        <v>17.97</v>
      </c>
      <c r="H669">
        <f>'Raw Data'!H669</f>
        <v>4</v>
      </c>
      <c r="I669" s="6">
        <f t="shared" si="30"/>
        <v>3.5940000000000083</v>
      </c>
      <c r="J669" s="6">
        <f>'Raw Data'!J669</f>
        <v>75.474000000000004</v>
      </c>
      <c r="K669" s="1">
        <f>VALUE(IFERROR(VALUE('Raw Data'!K669),CONCATENATE(MID('Raw Data'!K669,3,2),".","0",LEFT('Raw Data'!K669,1),".", RIGHT('Raw Data'!K669,4))))</f>
        <v>43519</v>
      </c>
      <c r="L669" s="2">
        <f>'Raw Data'!L669</f>
        <v>0.86319444444444438</v>
      </c>
      <c r="M669" t="s">
        <v>23</v>
      </c>
      <c r="N669">
        <f>VALUE(IF(AND(ISERR(FIND(".",'Raw Data'!N669)),LEN('Raw Data'!N669)=5), IF(YEAR('Raw Data'!N669)=2026,CONCATENATE(DAY('Raw Data'!N669),".",IF(LEN(MONTH('Raw Data'!N669))=2,MONTH('Raw Data'!N669),CONCATENATE("0",MONTH('Raw Data'!N669)))),CONCATENATE(MONTH('Raw Data'!N669),".",RIGHT(YEAR('Raw Data'!N669),2))),'Raw Data'!N669))</f>
        <v>71.88</v>
      </c>
      <c r="O669" s="6">
        <f t="shared" si="31"/>
        <v>4.7619047619047725</v>
      </c>
      <c r="P669" s="6">
        <f t="shared" si="32"/>
        <v>3.5940000000000083</v>
      </c>
      <c r="Q669">
        <f>VALUE(IF(AND(ISERR(FIND(".",'Raw Data'!Q669)),LEN('Raw Data'!Q669)=5), IF(YEAR('Raw Data'!Q669)=2026,CONCATENATE(DAY('Raw Data'!Q669),".",IF(LEN(MONTH('Raw Data'!Q669))=2,MONTH('Raw Data'!Q669),CONCATENATE(MONTH('Raw Data'!Q669)))),CONCATENATE(MONTH('Raw Data'!Q669),".",RIGHT(YEAR('Raw Data'!Q669),2))),'Raw Data'!Q669))</f>
        <v>6.4</v>
      </c>
    </row>
    <row r="670" spans="1:17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f>VALUE(IF(AND(ISERR(FIND(".",'Raw Data'!G670)),LEN('Raw Data'!G670)=5), IF(YEAR('Raw Data'!G670)=2026,CONCATENATE(DAY('Raw Data'!G670),".",IF(LEN(MONTH('Raw Data'!G670))=2,MONTH('Raw Data'!G670),CONCATENATE("0",MONTH('Raw Data'!G670)))),CONCATENATE(MONTH('Raw Data'!G670),".",RIGHT(YEAR('Raw Data'!G670),2))),'Raw Data'!G670))</f>
        <v>47.71</v>
      </c>
      <c r="H670">
        <f>'Raw Data'!H670</f>
        <v>6</v>
      </c>
      <c r="I670" s="6">
        <f t="shared" si="30"/>
        <v>14.312999999999988</v>
      </c>
      <c r="J670" s="6">
        <f>'Raw Data'!J670</f>
        <v>300.57299999999998</v>
      </c>
      <c r="K670" s="1">
        <f>VALUE(IFERROR(VALUE('Raw Data'!K670),CONCATENATE(MID('Raw Data'!K670,3,2),".","0",LEFT('Raw Data'!K670,1),".", RIGHT('Raw Data'!K670,4))))</f>
        <v>43512</v>
      </c>
      <c r="L670" s="2">
        <f>'Raw Data'!L670</f>
        <v>0.59652777777777777</v>
      </c>
      <c r="M670" t="s">
        <v>23</v>
      </c>
      <c r="N670">
        <f>VALUE(IF(AND(ISERR(FIND(".",'Raw Data'!N670)),LEN('Raw Data'!N670)=5), IF(YEAR('Raw Data'!N670)=2026,CONCATENATE(DAY('Raw Data'!N670),".",IF(LEN(MONTH('Raw Data'!N670))=2,MONTH('Raw Data'!N670),CONCATENATE("0",MONTH('Raw Data'!N670)))),CONCATENATE(MONTH('Raw Data'!N670),".",RIGHT(YEAR('Raw Data'!N670),2))),'Raw Data'!N670))</f>
        <v>286.26</v>
      </c>
      <c r="O670" s="6">
        <f t="shared" si="31"/>
        <v>4.7619047619047583</v>
      </c>
      <c r="P670" s="6">
        <f t="shared" si="32"/>
        <v>14.312999999999988</v>
      </c>
      <c r="Q670">
        <f>VALUE(IF(AND(ISERR(FIND(".",'Raw Data'!Q670)),LEN('Raw Data'!Q670)=5), IF(YEAR('Raw Data'!Q670)=2026,CONCATENATE(DAY('Raw Data'!Q670),".",IF(LEN(MONTH('Raw Data'!Q670))=2,MONTH('Raw Data'!Q670),CONCATENATE(MONTH('Raw Data'!Q670)))),CONCATENATE(MONTH('Raw Data'!Q670),".",RIGHT(YEAR('Raw Data'!Q670),2))),'Raw Data'!Q670))</f>
        <v>4.4000000000000004</v>
      </c>
    </row>
    <row r="671" spans="1:17">
      <c r="A671" t="s">
        <v>758</v>
      </c>
      <c r="B671" t="s">
        <v>34</v>
      </c>
      <c r="C671" t="s">
        <v>35</v>
      </c>
      <c r="D671" t="s">
        <v>27</v>
      </c>
      <c r="E671" t="s">
        <v>21</v>
      </c>
      <c r="F671" t="s">
        <v>38</v>
      </c>
      <c r="G671">
        <f>VALUE(IF(AND(ISERR(FIND(".",'Raw Data'!G671)),LEN('Raw Data'!G671)=5), IF(YEAR('Raw Data'!G671)=2026,CONCATENATE(DAY('Raw Data'!G671),".",IF(LEN(MONTH('Raw Data'!G671))=2,MONTH('Raw Data'!G671),CONCATENATE("0",MONTH('Raw Data'!G671)))),CONCATENATE(MONTH('Raw Data'!G671),".",RIGHT(YEAR('Raw Data'!G671),2))),'Raw Data'!G671))</f>
        <v>40.619999999999997</v>
      </c>
      <c r="H671">
        <f>'Raw Data'!H671</f>
        <v>2</v>
      </c>
      <c r="I671" s="6">
        <f t="shared" si="30"/>
        <v>4.0620000000000118</v>
      </c>
      <c r="J671" s="6">
        <f>'Raw Data'!J671</f>
        <v>85.302000000000007</v>
      </c>
      <c r="K671" s="1">
        <f>VALUE(IFERROR(VALUE('Raw Data'!K671),CONCATENATE(MID('Raw Data'!K671,3,2),".","0",LEFT('Raw Data'!K671,1),".", RIGHT('Raw Data'!K671,4))))</f>
        <v>43482</v>
      </c>
      <c r="L671" s="2">
        <f>'Raw Data'!L671</f>
        <v>0.41736111111111113</v>
      </c>
      <c r="M671" t="s">
        <v>33</v>
      </c>
      <c r="N671">
        <f>VALUE(IF(AND(ISERR(FIND(".",'Raw Data'!N671)),LEN('Raw Data'!N671)=5), IF(YEAR('Raw Data'!N671)=2026,CONCATENATE(DAY('Raw Data'!N671),".",IF(LEN(MONTH('Raw Data'!N671))=2,MONTH('Raw Data'!N671),CONCATENATE("0",MONTH('Raw Data'!N671)))),CONCATENATE(MONTH('Raw Data'!N671),".",RIGHT(YEAR('Raw Data'!N671),2))),'Raw Data'!N671))</f>
        <v>81.239999999999995</v>
      </c>
      <c r="O671" s="6">
        <f t="shared" si="31"/>
        <v>4.7619047619047752</v>
      </c>
      <c r="P671" s="6">
        <f t="shared" si="32"/>
        <v>4.0620000000000118</v>
      </c>
      <c r="Q671">
        <f>VALUE(IF(AND(ISERR(FIND(".",'Raw Data'!Q671)),LEN('Raw Data'!Q671)=5), IF(YEAR('Raw Data'!Q671)=2026,CONCATENATE(DAY('Raw Data'!Q671),".",IF(LEN(MONTH('Raw Data'!Q671))=2,MONTH('Raw Data'!Q671),CONCATENATE(MONTH('Raw Data'!Q671)))),CONCATENATE(MONTH('Raw Data'!Q671),".",RIGHT(YEAR('Raw Data'!Q671),2))),'Raw Data'!Q671))</f>
        <v>4.0999999999999996</v>
      </c>
    </row>
    <row r="672" spans="1:17">
      <c r="A672" t="s">
        <v>759</v>
      </c>
      <c r="B672" t="s">
        <v>18</v>
      </c>
      <c r="C672" t="s">
        <v>19</v>
      </c>
      <c r="D672" t="s">
        <v>20</v>
      </c>
      <c r="E672" t="s">
        <v>30</v>
      </c>
      <c r="F672" t="s">
        <v>43</v>
      </c>
      <c r="G672">
        <f>VALUE(IF(AND(ISERR(FIND(".",'Raw Data'!G672)),LEN('Raw Data'!G672)=5), IF(YEAR('Raw Data'!G672)=2026,CONCATENATE(DAY('Raw Data'!G672),".",IF(LEN(MONTH('Raw Data'!G672))=2,MONTH('Raw Data'!G672),CONCATENATE("0",MONTH('Raw Data'!G672)))),CONCATENATE(MONTH('Raw Data'!G672),".",RIGHT(YEAR('Raw Data'!G672),2))),'Raw Data'!G672))</f>
        <v>56.04</v>
      </c>
      <c r="H672">
        <f>'Raw Data'!H672</f>
        <v>10</v>
      </c>
      <c r="I672" s="6">
        <f t="shared" si="30"/>
        <v>28.019999999999982</v>
      </c>
      <c r="J672" s="6">
        <f>'Raw Data'!J672</f>
        <v>588.41999999999996</v>
      </c>
      <c r="K672" s="1">
        <f>VALUE(IFERROR(VALUE('Raw Data'!K672),CONCATENATE(MID('Raw Data'!K672,3,2),".","0",LEFT('Raw Data'!K672,1),".", RIGHT('Raw Data'!K672,4))))</f>
        <v>43479</v>
      </c>
      <c r="L672" s="2">
        <f>'Raw Data'!L672</f>
        <v>0.8125</v>
      </c>
      <c r="M672" t="s">
        <v>23</v>
      </c>
      <c r="N672">
        <f>VALUE(IF(AND(ISERR(FIND(".",'Raw Data'!N672)),LEN('Raw Data'!N672)=5), IF(YEAR('Raw Data'!N672)=2026,CONCATENATE(DAY('Raw Data'!N672),".",IF(LEN(MONTH('Raw Data'!N672))=2,MONTH('Raw Data'!N672),CONCATENATE("0",MONTH('Raw Data'!N672)))),CONCATENATE(MONTH('Raw Data'!N672),".",RIGHT(YEAR('Raw Data'!N672),2))),'Raw Data'!N672))</f>
        <v>560.4</v>
      </c>
      <c r="O672" s="6">
        <f t="shared" si="31"/>
        <v>4.7619047619047592</v>
      </c>
      <c r="P672" s="6">
        <f t="shared" si="32"/>
        <v>28.019999999999982</v>
      </c>
      <c r="Q672">
        <f>VALUE(IF(AND(ISERR(FIND(".",'Raw Data'!Q672)),LEN('Raw Data'!Q672)=5), IF(YEAR('Raw Data'!Q672)=2026,CONCATENATE(DAY('Raw Data'!Q672),".",IF(LEN(MONTH('Raw Data'!Q672))=2,MONTH('Raw Data'!Q672),CONCATENATE(MONTH('Raw Data'!Q672)))),CONCATENATE(MONTH('Raw Data'!Q672),".",RIGHT(YEAR('Raw Data'!Q672),2))),'Raw Data'!Q672))</f>
        <v>4.4000000000000004</v>
      </c>
    </row>
    <row r="673" spans="1:17">
      <c r="A673" t="s">
        <v>760</v>
      </c>
      <c r="B673" t="s">
        <v>34</v>
      </c>
      <c r="C673" t="s">
        <v>35</v>
      </c>
      <c r="D673" t="s">
        <v>20</v>
      </c>
      <c r="E673" t="s">
        <v>30</v>
      </c>
      <c r="F673" t="s">
        <v>40</v>
      </c>
      <c r="G673">
        <f>VALUE(IF(AND(ISERR(FIND(".",'Raw Data'!G673)),LEN('Raw Data'!G673)=5), IF(YEAR('Raw Data'!G673)=2026,CONCATENATE(DAY('Raw Data'!G673),".",IF(LEN(MONTH('Raw Data'!G673))=2,MONTH('Raw Data'!G673),CONCATENATE("0",MONTH('Raw Data'!G673)))),CONCATENATE(MONTH('Raw Data'!G673),".",RIGHT(YEAR('Raw Data'!G673),2))),'Raw Data'!G673))</f>
        <v>93.4</v>
      </c>
      <c r="H673">
        <f>'Raw Data'!H673</f>
        <v>2</v>
      </c>
      <c r="I673" s="6">
        <f t="shared" si="30"/>
        <v>9.339999999999975</v>
      </c>
      <c r="J673" s="6">
        <f>'Raw Data'!J673</f>
        <v>196.14</v>
      </c>
      <c r="K673" s="1">
        <f>VALUE(IFERROR(VALUE('Raw Data'!K673),CONCATENATE(MID('Raw Data'!K673,3,2),".","0",LEFT('Raw Data'!K673,1),".", RIGHT('Raw Data'!K673,4))))</f>
        <v>43554</v>
      </c>
      <c r="L673" s="2">
        <f>'Raw Data'!L673</f>
        <v>0.69027777777777777</v>
      </c>
      <c r="M673" t="s">
        <v>29</v>
      </c>
      <c r="N673">
        <f>VALUE(IF(AND(ISERR(FIND(".",'Raw Data'!N673)),LEN('Raw Data'!N673)=5), IF(YEAR('Raw Data'!N673)=2026,CONCATENATE(DAY('Raw Data'!N673),".",IF(LEN(MONTH('Raw Data'!N673))=2,MONTH('Raw Data'!N673),CONCATENATE("0",MONTH('Raw Data'!N673)))),CONCATENATE(MONTH('Raw Data'!N673),".",RIGHT(YEAR('Raw Data'!N673),2))),'Raw Data'!N673))</f>
        <v>186.8</v>
      </c>
      <c r="O673" s="6">
        <f t="shared" si="31"/>
        <v>4.7619047619047494</v>
      </c>
      <c r="P673" s="6">
        <f t="shared" si="32"/>
        <v>9.339999999999975</v>
      </c>
      <c r="Q673">
        <f>VALUE(IF(AND(ISERR(FIND(".",'Raw Data'!Q673)),LEN('Raw Data'!Q673)=5), IF(YEAR('Raw Data'!Q673)=2026,CONCATENATE(DAY('Raw Data'!Q673),".",IF(LEN(MONTH('Raw Data'!Q673))=2,MONTH('Raw Data'!Q673),CONCATENATE(MONTH('Raw Data'!Q673)))),CONCATENATE(MONTH('Raw Data'!Q673),".",RIGHT(YEAR('Raw Data'!Q673),2))),'Raw Data'!Q673))</f>
        <v>5.5</v>
      </c>
    </row>
    <row r="674" spans="1:17">
      <c r="A674" t="s">
        <v>761</v>
      </c>
      <c r="B674" t="s">
        <v>34</v>
      </c>
      <c r="C674" t="s">
        <v>35</v>
      </c>
      <c r="D674" t="s">
        <v>27</v>
      </c>
      <c r="E674" t="s">
        <v>21</v>
      </c>
      <c r="F674" t="s">
        <v>22</v>
      </c>
      <c r="G674">
        <f>VALUE(IF(AND(ISERR(FIND(".",'Raw Data'!G674)),LEN('Raw Data'!G674)=5), IF(YEAR('Raw Data'!G674)=2026,CONCATENATE(DAY('Raw Data'!G674),".",IF(LEN(MONTH('Raw Data'!G674))=2,MONTH('Raw Data'!G674),CONCATENATE("0",MONTH('Raw Data'!G674)))),CONCATENATE(MONTH('Raw Data'!G674),".",RIGHT(YEAR('Raw Data'!G674),2))),'Raw Data'!G674))</f>
        <v>73.41</v>
      </c>
      <c r="H674">
        <f>'Raw Data'!H674</f>
        <v>3</v>
      </c>
      <c r="I674" s="6">
        <f t="shared" si="30"/>
        <v>11.011500000000012</v>
      </c>
      <c r="J674" s="6">
        <f>'Raw Data'!J674</f>
        <v>231.2415</v>
      </c>
      <c r="K674" s="1">
        <f>VALUE(IFERROR(VALUE('Raw Data'!K674),CONCATENATE(MID('Raw Data'!K674,3,2),".","0",LEFT('Raw Data'!K674,1),".", RIGHT('Raw Data'!K674,4))))</f>
        <v>43499</v>
      </c>
      <c r="L674" s="2">
        <f>'Raw Data'!L674</f>
        <v>0.54861111111111105</v>
      </c>
      <c r="M674" t="s">
        <v>23</v>
      </c>
      <c r="N674">
        <f>VALUE(IF(AND(ISERR(FIND(".",'Raw Data'!N674)),LEN('Raw Data'!N674)=5), IF(YEAR('Raw Data'!N674)=2026,CONCATENATE(DAY('Raw Data'!N674),".",IF(LEN(MONTH('Raw Data'!N674))=2,MONTH('Raw Data'!N674),CONCATENATE("0",MONTH('Raw Data'!N674)))),CONCATENATE(MONTH('Raw Data'!N674),".",RIGHT(YEAR('Raw Data'!N674),2))),'Raw Data'!N674))</f>
        <v>220.23</v>
      </c>
      <c r="O674" s="6">
        <f t="shared" si="31"/>
        <v>4.7619047619047672</v>
      </c>
      <c r="P674" s="6">
        <f t="shared" si="32"/>
        <v>11.011500000000012</v>
      </c>
      <c r="Q674">
        <f>VALUE(IF(AND(ISERR(FIND(".",'Raw Data'!Q674)),LEN('Raw Data'!Q674)=5), IF(YEAR('Raw Data'!Q674)=2026,CONCATENATE(DAY('Raw Data'!Q674),".",IF(LEN(MONTH('Raw Data'!Q674))=2,MONTH('Raw Data'!Q674),CONCATENATE(MONTH('Raw Data'!Q674)))),CONCATENATE(MONTH('Raw Data'!Q674),".",RIGHT(YEAR('Raw Data'!Q674),2))),'Raw Data'!Q674))</f>
        <v>4</v>
      </c>
    </row>
    <row r="675" spans="1:17">
      <c r="A675" t="s">
        <v>762</v>
      </c>
      <c r="B675" t="s">
        <v>25</v>
      </c>
      <c r="C675" t="s">
        <v>26</v>
      </c>
      <c r="D675" t="s">
        <v>27</v>
      </c>
      <c r="E675" t="s">
        <v>30</v>
      </c>
      <c r="F675" t="s">
        <v>22</v>
      </c>
      <c r="G675">
        <f>VALUE(IF(AND(ISERR(FIND(".",'Raw Data'!G675)),LEN('Raw Data'!G675)=5), IF(YEAR('Raw Data'!G675)=2026,CONCATENATE(DAY('Raw Data'!G675),".",IF(LEN(MONTH('Raw Data'!G675))=2,MONTH('Raw Data'!G675),CONCATENATE("0",MONTH('Raw Data'!G675)))),CONCATENATE(MONTH('Raw Data'!G675),".",RIGHT(YEAR('Raw Data'!G675),2))),'Raw Data'!G675))</f>
        <v>33.64</v>
      </c>
      <c r="H675">
        <f>'Raw Data'!H675</f>
        <v>8</v>
      </c>
      <c r="I675" s="6">
        <f t="shared" si="30"/>
        <v>13.456000000000017</v>
      </c>
      <c r="J675" s="6">
        <f>'Raw Data'!J675</f>
        <v>282.57600000000002</v>
      </c>
      <c r="K675" s="1">
        <f>VALUE(IFERROR(VALUE('Raw Data'!K675),CONCATENATE(MID('Raw Data'!K675,3,2),".","0",LEFT('Raw Data'!K675,1),".", RIGHT('Raw Data'!K675,4))))</f>
        <v>43511</v>
      </c>
      <c r="L675" s="2">
        <f>'Raw Data'!L675</f>
        <v>0.71527777777777779</v>
      </c>
      <c r="M675" t="s">
        <v>33</v>
      </c>
      <c r="N675">
        <f>VALUE(IF(AND(ISERR(FIND(".",'Raw Data'!N675)),LEN('Raw Data'!N675)=5), IF(YEAR('Raw Data'!N675)=2026,CONCATENATE(DAY('Raw Data'!N675),".",IF(LEN(MONTH('Raw Data'!N675))=2,MONTH('Raw Data'!N675),CONCATENATE("0",MONTH('Raw Data'!N675)))),CONCATENATE(MONTH('Raw Data'!N675),".",RIGHT(YEAR('Raw Data'!N675),2))),'Raw Data'!N675))</f>
        <v>269.12</v>
      </c>
      <c r="O675" s="6">
        <f t="shared" si="31"/>
        <v>4.7619047619047681</v>
      </c>
      <c r="P675" s="6">
        <f t="shared" si="32"/>
        <v>13.456000000000017</v>
      </c>
      <c r="Q675">
        <f>VALUE(IF(AND(ISERR(FIND(".",'Raw Data'!Q675)),LEN('Raw Data'!Q675)=5), IF(YEAR('Raw Data'!Q675)=2026,CONCATENATE(DAY('Raw Data'!Q675),".",IF(LEN(MONTH('Raw Data'!Q675))=2,MONTH('Raw Data'!Q675),CONCATENATE(MONTH('Raw Data'!Q675)))),CONCATENATE(MONTH('Raw Data'!Q675),".",RIGHT(YEAR('Raw Data'!Q675),2))),'Raw Data'!Q675))</f>
        <v>9.3000000000000007</v>
      </c>
    </row>
    <row r="676" spans="1:17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f>VALUE(IF(AND(ISERR(FIND(".",'Raw Data'!G676)),LEN('Raw Data'!G676)=5), IF(YEAR('Raw Data'!G676)=2026,CONCATENATE(DAY('Raw Data'!G676),".",IF(LEN(MONTH('Raw Data'!G676))=2,MONTH('Raw Data'!G676),CONCATENATE("0",MONTH('Raw Data'!G676)))),CONCATENATE(MONTH('Raw Data'!G676),".",RIGHT(YEAR('Raw Data'!G676),2))),'Raw Data'!G676))</f>
        <v>45.48</v>
      </c>
      <c r="H676">
        <f>'Raw Data'!H676</f>
        <v>10</v>
      </c>
      <c r="I676" s="6">
        <f t="shared" si="30"/>
        <v>22.740000000000066</v>
      </c>
      <c r="J676" s="6">
        <f>'Raw Data'!J676</f>
        <v>477.54</v>
      </c>
      <c r="K676" s="1">
        <f>VALUE(IFERROR(VALUE('Raw Data'!K676),CONCATENATE(MID('Raw Data'!K676,3,2),".","0",LEFT('Raw Data'!K676,1),".", RIGHT('Raw Data'!K676,4))))</f>
        <v>43468</v>
      </c>
      <c r="L676" s="2">
        <f>'Raw Data'!L676</f>
        <v>0.43194444444444446</v>
      </c>
      <c r="M676" t="s">
        <v>33</v>
      </c>
      <c r="N676">
        <f>VALUE(IF(AND(ISERR(FIND(".",'Raw Data'!N676)),LEN('Raw Data'!N676)=5), IF(YEAR('Raw Data'!N676)=2026,CONCATENATE(DAY('Raw Data'!N676),".",IF(LEN(MONTH('Raw Data'!N676))=2,MONTH('Raw Data'!N676),CONCATENATE("0",MONTH('Raw Data'!N676)))),CONCATENATE(MONTH('Raw Data'!N676),".",RIGHT(YEAR('Raw Data'!N676),2))),'Raw Data'!N676))</f>
        <v>454.8</v>
      </c>
      <c r="O676" s="6">
        <f t="shared" si="31"/>
        <v>4.7619047619047636</v>
      </c>
      <c r="P676" s="6">
        <f t="shared" si="32"/>
        <v>22.740000000000009</v>
      </c>
      <c r="Q676">
        <f>VALUE(IF(AND(ISERR(FIND(".",'Raw Data'!Q676)),LEN('Raw Data'!Q676)=5), IF(YEAR('Raw Data'!Q676)=2026,CONCATENATE(DAY('Raw Data'!Q676),".",IF(LEN(MONTH('Raw Data'!Q676))=2,MONTH('Raw Data'!Q676),CONCATENATE(MONTH('Raw Data'!Q676)))),CONCATENATE(MONTH('Raw Data'!Q676),".",RIGHT(YEAR('Raw Data'!Q676),2))),'Raw Data'!Q676))</f>
        <v>4.8</v>
      </c>
    </row>
    <row r="677" spans="1:17">
      <c r="A677" t="s">
        <v>764</v>
      </c>
      <c r="B677" t="s">
        <v>34</v>
      </c>
      <c r="C677" t="s">
        <v>35</v>
      </c>
      <c r="D677" t="s">
        <v>20</v>
      </c>
      <c r="E677" t="s">
        <v>30</v>
      </c>
      <c r="F677" t="s">
        <v>43</v>
      </c>
      <c r="G677">
        <f>VALUE(IF(AND(ISERR(FIND(".",'Raw Data'!G677)),LEN('Raw Data'!G677)=5), IF(YEAR('Raw Data'!G677)=2026,CONCATENATE(DAY('Raw Data'!G677),".",IF(LEN(MONTH('Raw Data'!G677))=2,MONTH('Raw Data'!G677),CONCATENATE("0",MONTH('Raw Data'!G677)))),CONCATENATE(MONTH('Raw Data'!G677),".",RIGHT(YEAR('Raw Data'!G677),2))),'Raw Data'!G677))</f>
        <v>83.77</v>
      </c>
      <c r="H677">
        <f>'Raw Data'!H677</f>
        <v>2</v>
      </c>
      <c r="I677" s="6">
        <f t="shared" si="30"/>
        <v>8.3770000000000095</v>
      </c>
      <c r="J677" s="6">
        <f>'Raw Data'!J677</f>
        <v>175.917</v>
      </c>
      <c r="K677" s="1">
        <f>VALUE(IFERROR(VALUE('Raw Data'!K677),CONCATENATE(MID('Raw Data'!K677,3,2),".","0",LEFT('Raw Data'!K677,1),".", RIGHT('Raw Data'!K677,4))))</f>
        <v>43520</v>
      </c>
      <c r="L677" s="2">
        <f>'Raw Data'!L677</f>
        <v>0.83124999999999993</v>
      </c>
      <c r="M677" t="s">
        <v>29</v>
      </c>
      <c r="N677">
        <f>VALUE(IF(AND(ISERR(FIND(".",'Raw Data'!N677)),LEN('Raw Data'!N677)=5), IF(YEAR('Raw Data'!N677)=2026,CONCATENATE(DAY('Raw Data'!N677),".",IF(LEN(MONTH('Raw Data'!N677))=2,MONTH('Raw Data'!N677),CONCATENATE("0",MONTH('Raw Data'!N677)))),CONCATENATE(MONTH('Raw Data'!N677),".",RIGHT(YEAR('Raw Data'!N677),2))),'Raw Data'!N677))</f>
        <v>167.54</v>
      </c>
      <c r="O677" s="6">
        <f t="shared" si="31"/>
        <v>4.7619047619047672</v>
      </c>
      <c r="P677" s="6">
        <f t="shared" si="32"/>
        <v>8.3770000000000095</v>
      </c>
      <c r="Q677">
        <f>VALUE(IF(AND(ISERR(FIND(".",'Raw Data'!Q677)),LEN('Raw Data'!Q677)=5), IF(YEAR('Raw Data'!Q677)=2026,CONCATENATE(DAY('Raw Data'!Q677),".",IF(LEN(MONTH('Raw Data'!Q677))=2,MONTH('Raw Data'!Q677),CONCATENATE(MONTH('Raw Data'!Q677)))),CONCATENATE(MONTH('Raw Data'!Q677),".",RIGHT(YEAR('Raw Data'!Q677),2))),'Raw Data'!Q677))</f>
        <v>4.5999999999999996</v>
      </c>
    </row>
    <row r="678" spans="1:17">
      <c r="A678" t="s">
        <v>765</v>
      </c>
      <c r="B678" t="s">
        <v>34</v>
      </c>
      <c r="C678" t="s">
        <v>35</v>
      </c>
      <c r="D678" t="s">
        <v>20</v>
      </c>
      <c r="E678" t="s">
        <v>21</v>
      </c>
      <c r="F678" t="s">
        <v>38</v>
      </c>
      <c r="G678">
        <f>VALUE(IF(AND(ISERR(FIND(".",'Raw Data'!G678)),LEN('Raw Data'!G678)=5), IF(YEAR('Raw Data'!G678)=2026,CONCATENATE(DAY('Raw Data'!G678),".",IF(LEN(MONTH('Raw Data'!G678))=2,MONTH('Raw Data'!G678),CONCATENATE("0",MONTH('Raw Data'!G678)))),CONCATENATE(MONTH('Raw Data'!G678),".",RIGHT(YEAR('Raw Data'!G678),2))),'Raw Data'!G678))</f>
        <v>64.08</v>
      </c>
      <c r="H678">
        <f>'Raw Data'!H678</f>
        <v>7</v>
      </c>
      <c r="I678" s="6">
        <f t="shared" si="30"/>
        <v>22.427999999999997</v>
      </c>
      <c r="J678" s="6">
        <f>'Raw Data'!J678</f>
        <v>470.988</v>
      </c>
      <c r="K678" s="1">
        <f>VALUE(IFERROR(VALUE('Raw Data'!K678),CONCATENATE(MID('Raw Data'!K678,3,2),".","0",LEFT('Raw Data'!K678,1),".", RIGHT('Raw Data'!K678,4))))</f>
        <v>43515</v>
      </c>
      <c r="L678" s="2">
        <f>'Raw Data'!L678</f>
        <v>0.81180555555555556</v>
      </c>
      <c r="M678" t="s">
        <v>33</v>
      </c>
      <c r="N678">
        <f>VALUE(IF(AND(ISERR(FIND(".",'Raw Data'!N678)),LEN('Raw Data'!N678)=5), IF(YEAR('Raw Data'!N678)=2026,CONCATENATE(DAY('Raw Data'!N678),".",IF(LEN(MONTH('Raw Data'!N678))=2,MONTH('Raw Data'!N678),CONCATENATE("0",MONTH('Raw Data'!N678)))),CONCATENATE(MONTH('Raw Data'!N678),".",RIGHT(YEAR('Raw Data'!N678),2))),'Raw Data'!N678))</f>
        <v>448.56</v>
      </c>
      <c r="O678" s="6">
        <f t="shared" si="31"/>
        <v>4.7619047619047619</v>
      </c>
      <c r="P678" s="6">
        <f t="shared" si="32"/>
        <v>22.427999999999997</v>
      </c>
      <c r="Q678">
        <f>VALUE(IF(AND(ISERR(FIND(".",'Raw Data'!Q678)),LEN('Raw Data'!Q678)=5), IF(YEAR('Raw Data'!Q678)=2026,CONCATENATE(DAY('Raw Data'!Q678),".",IF(LEN(MONTH('Raw Data'!Q678))=2,MONTH('Raw Data'!Q678),CONCATENATE(MONTH('Raw Data'!Q678)))),CONCATENATE(MONTH('Raw Data'!Q678),".",RIGHT(YEAR('Raw Data'!Q678),2))),'Raw Data'!Q678))</f>
        <v>7.3</v>
      </c>
    </row>
    <row r="679" spans="1:17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40</v>
      </c>
      <c r="G679">
        <f>VALUE(IF(AND(ISERR(FIND(".",'Raw Data'!G679)),LEN('Raw Data'!G679)=5), IF(YEAR('Raw Data'!G679)=2026,CONCATENATE(DAY('Raw Data'!G679),".",IF(LEN(MONTH('Raw Data'!G679))=2,MONTH('Raw Data'!G679),CONCATENATE("0",MONTH('Raw Data'!G679)))),CONCATENATE(MONTH('Raw Data'!G679),".",RIGHT(YEAR('Raw Data'!G679),2))),'Raw Data'!G679))</f>
        <v>73.47</v>
      </c>
      <c r="H679">
        <f>'Raw Data'!H679</f>
        <v>4</v>
      </c>
      <c r="I679" s="6">
        <f t="shared" si="30"/>
        <v>14.694000000000017</v>
      </c>
      <c r="J679" s="6">
        <f>'Raw Data'!J679</f>
        <v>308.57400000000001</v>
      </c>
      <c r="K679" s="1">
        <f>VALUE(IFERROR(VALUE('Raw Data'!K679),CONCATENATE(MID('Raw Data'!K679,3,2),".","0",LEFT('Raw Data'!K679,1),".", RIGHT('Raw Data'!K679,4))))</f>
        <v>43519</v>
      </c>
      <c r="L679" s="2">
        <f>'Raw Data'!L679</f>
        <v>0.77083333333333337</v>
      </c>
      <c r="M679" t="s">
        <v>29</v>
      </c>
      <c r="N679">
        <f>VALUE(IF(AND(ISERR(FIND(".",'Raw Data'!N679)),LEN('Raw Data'!N679)=5), IF(YEAR('Raw Data'!N679)=2026,CONCATENATE(DAY('Raw Data'!N679),".",IF(LEN(MONTH('Raw Data'!N679))=2,MONTH('Raw Data'!N679),CONCATENATE("0",MONTH('Raw Data'!N679)))),CONCATENATE(MONTH('Raw Data'!N679),".",RIGHT(YEAR('Raw Data'!N679),2))),'Raw Data'!N679))</f>
        <v>293.88</v>
      </c>
      <c r="O679" s="6">
        <f t="shared" si="31"/>
        <v>4.7619047619047672</v>
      </c>
      <c r="P679" s="6">
        <f t="shared" si="32"/>
        <v>14.694000000000017</v>
      </c>
      <c r="Q679">
        <f>VALUE(IF(AND(ISERR(FIND(".",'Raw Data'!Q679)),LEN('Raw Data'!Q679)=5), IF(YEAR('Raw Data'!Q679)=2026,CONCATENATE(DAY('Raw Data'!Q679),".",IF(LEN(MONTH('Raw Data'!Q679))=2,MONTH('Raw Data'!Q679),CONCATENATE(MONTH('Raw Data'!Q679)))),CONCATENATE(MONTH('Raw Data'!Q679),".",RIGHT(YEAR('Raw Data'!Q679),2))),'Raw Data'!Q679))</f>
        <v>6</v>
      </c>
    </row>
    <row r="680" spans="1:17">
      <c r="A680" t="s">
        <v>767</v>
      </c>
      <c r="B680" t="s">
        <v>25</v>
      </c>
      <c r="C680" t="s">
        <v>26</v>
      </c>
      <c r="D680" t="s">
        <v>27</v>
      </c>
      <c r="E680" t="s">
        <v>30</v>
      </c>
      <c r="F680" t="s">
        <v>22</v>
      </c>
      <c r="G680">
        <f>VALUE(IF(AND(ISERR(FIND(".",'Raw Data'!G680)),LEN('Raw Data'!G680)=5), IF(YEAR('Raw Data'!G680)=2026,CONCATENATE(DAY('Raw Data'!G680),".",IF(LEN(MONTH('Raw Data'!G680))=2,MONTH('Raw Data'!G680),CONCATENATE("0",MONTH('Raw Data'!G680)))),CONCATENATE(MONTH('Raw Data'!G680),".",RIGHT(YEAR('Raw Data'!G680),2))),'Raw Data'!G680))</f>
        <v>58.95</v>
      </c>
      <c r="H680">
        <f>'Raw Data'!H680</f>
        <v>10</v>
      </c>
      <c r="I680" s="6">
        <f t="shared" si="30"/>
        <v>29.475000000000023</v>
      </c>
      <c r="J680" s="6">
        <f>'Raw Data'!J680</f>
        <v>618.97500000000002</v>
      </c>
      <c r="K680" s="1">
        <f>VALUE(IFERROR(VALUE('Raw Data'!K680),CONCATENATE(MID('Raw Data'!K680,3,2),".","0",LEFT('Raw Data'!K680,1),".", RIGHT('Raw Data'!K680,4))))</f>
        <v>43648</v>
      </c>
      <c r="L680" s="2">
        <f>'Raw Data'!L680</f>
        <v>0.6020833333333333</v>
      </c>
      <c r="M680" t="s">
        <v>23</v>
      </c>
      <c r="N680">
        <f>VALUE(IF(AND(ISERR(FIND(".",'Raw Data'!N680)),LEN('Raw Data'!N680)=5), IF(YEAR('Raw Data'!N680)=2026,CONCATENATE(DAY('Raw Data'!N680),".",IF(LEN(MONTH('Raw Data'!N680))=2,MONTH('Raw Data'!N680),CONCATENATE("0",MONTH('Raw Data'!N680)))),CONCATENATE(MONTH('Raw Data'!N680),".",RIGHT(YEAR('Raw Data'!N680),2))),'Raw Data'!N680))</f>
        <v>589.5</v>
      </c>
      <c r="O680" s="6">
        <f t="shared" si="31"/>
        <v>4.7619047619047654</v>
      </c>
      <c r="P680" s="6">
        <f t="shared" si="32"/>
        <v>29.475000000000023</v>
      </c>
      <c r="Q680">
        <f>VALUE(IF(AND(ISERR(FIND(".",'Raw Data'!Q680)),LEN('Raw Data'!Q680)=5), IF(YEAR('Raw Data'!Q680)=2026,CONCATENATE(DAY('Raw Data'!Q680),".",IF(LEN(MONTH('Raw Data'!Q680))=2,MONTH('Raw Data'!Q680),CONCATENATE(MONTH('Raw Data'!Q680)))),CONCATENATE(MONTH('Raw Data'!Q680),".",RIGHT(YEAR('Raw Data'!Q680),2))),'Raw Data'!Q680))</f>
        <v>8.1</v>
      </c>
    </row>
    <row r="681" spans="1:17">
      <c r="A681" t="s">
        <v>768</v>
      </c>
      <c r="B681" t="s">
        <v>18</v>
      </c>
      <c r="C681" t="s">
        <v>19</v>
      </c>
      <c r="D681" t="s">
        <v>20</v>
      </c>
      <c r="E681" t="s">
        <v>30</v>
      </c>
      <c r="F681" t="s">
        <v>40</v>
      </c>
      <c r="G681">
        <f>VALUE(IF(AND(ISERR(FIND(".",'Raw Data'!G681)),LEN('Raw Data'!G681)=5), IF(YEAR('Raw Data'!G681)=2026,CONCATENATE(DAY('Raw Data'!G681),".",IF(LEN(MONTH('Raw Data'!G681))=2,MONTH('Raw Data'!G681),CONCATENATE("0",MONTH('Raw Data'!G681)))),CONCATENATE(MONTH('Raw Data'!G681),".",RIGHT(YEAR('Raw Data'!G681),2))),'Raw Data'!G681))</f>
        <v>48.5</v>
      </c>
      <c r="H681">
        <f>'Raw Data'!H681</f>
        <v>6</v>
      </c>
      <c r="I681" s="6">
        <f t="shared" si="30"/>
        <v>14.550000000000011</v>
      </c>
      <c r="J681" s="6">
        <f>'Raw Data'!J681</f>
        <v>305.55</v>
      </c>
      <c r="K681" s="1">
        <f>VALUE(IFERROR(VALUE('Raw Data'!K681),CONCATENATE(MID('Raw Data'!K681,3,2),".","0",LEFT('Raw Data'!K681,1),".", RIGHT('Raw Data'!K681,4))))</f>
        <v>43770</v>
      </c>
      <c r="L681" s="2">
        <f>'Raw Data'!L681</f>
        <v>0.58124999999999993</v>
      </c>
      <c r="M681" t="s">
        <v>23</v>
      </c>
      <c r="N681">
        <f>VALUE(IF(AND(ISERR(FIND(".",'Raw Data'!N681)),LEN('Raw Data'!N681)=5), IF(YEAR('Raw Data'!N681)=2026,CONCATENATE(DAY('Raw Data'!N681),".",IF(LEN(MONTH('Raw Data'!N681))=2,MONTH('Raw Data'!N681),CONCATENATE("0",MONTH('Raw Data'!N681)))),CONCATENATE(MONTH('Raw Data'!N681),".",RIGHT(YEAR('Raw Data'!N681),2))),'Raw Data'!N681))</f>
        <v>291</v>
      </c>
      <c r="O681" s="6">
        <f t="shared" si="31"/>
        <v>4.7619047619047654</v>
      </c>
      <c r="P681" s="6">
        <f t="shared" si="32"/>
        <v>14.550000000000011</v>
      </c>
      <c r="Q681">
        <f>VALUE(IF(AND(ISERR(FIND(".",'Raw Data'!Q681)),LEN('Raw Data'!Q681)=5), IF(YEAR('Raw Data'!Q681)=2026,CONCATENATE(DAY('Raw Data'!Q681),".",IF(LEN(MONTH('Raw Data'!Q681))=2,MONTH('Raw Data'!Q681),CONCATENATE(MONTH('Raw Data'!Q681)))),CONCATENATE(MONTH('Raw Data'!Q681),".",RIGHT(YEAR('Raw Data'!Q681),2))),'Raw Data'!Q681))</f>
        <v>9.4</v>
      </c>
    </row>
    <row r="682" spans="1:17">
      <c r="A682" t="s">
        <v>769</v>
      </c>
      <c r="B682" t="s">
        <v>34</v>
      </c>
      <c r="C682" t="s">
        <v>35</v>
      </c>
      <c r="D682" t="s">
        <v>20</v>
      </c>
      <c r="E682" t="s">
        <v>21</v>
      </c>
      <c r="F682" t="s">
        <v>28</v>
      </c>
      <c r="G682">
        <f>VALUE(IF(AND(ISERR(FIND(".",'Raw Data'!G682)),LEN('Raw Data'!G682)=5), IF(YEAR('Raw Data'!G682)=2026,CONCATENATE(DAY('Raw Data'!G682),".",IF(LEN(MONTH('Raw Data'!G682))=2,MONTH('Raw Data'!G682),CONCATENATE("0",MONTH('Raw Data'!G682)))),CONCATENATE(MONTH('Raw Data'!G682),".",RIGHT(YEAR('Raw Data'!G682),2))),'Raw Data'!G682))</f>
        <v>39.479999999999997</v>
      </c>
      <c r="H682">
        <f>'Raw Data'!H682</f>
        <v>1</v>
      </c>
      <c r="I682" s="6">
        <f t="shared" si="30"/>
        <v>1.9740000000000038</v>
      </c>
      <c r="J682" s="6">
        <f>'Raw Data'!J682</f>
        <v>41.454000000000001</v>
      </c>
      <c r="K682" s="1">
        <f>VALUE(IFERROR(VALUE('Raw Data'!K682),CONCATENATE(MID('Raw Data'!K682,3,2),".","0",LEFT('Raw Data'!K682,1),".", RIGHT('Raw Data'!K682,4))))</f>
        <v>43801</v>
      </c>
      <c r="L682" s="2">
        <f>'Raw Data'!L682</f>
        <v>0.82152777777777775</v>
      </c>
      <c r="M682" t="s">
        <v>29</v>
      </c>
      <c r="N682">
        <f>VALUE(IF(AND(ISERR(FIND(".",'Raw Data'!N682)),LEN('Raw Data'!N682)=5), IF(YEAR('Raw Data'!N682)=2026,CONCATENATE(DAY('Raw Data'!N682),".",IF(LEN(MONTH('Raw Data'!N682))=2,MONTH('Raw Data'!N682),CONCATENATE("0",MONTH('Raw Data'!N682)))),CONCATENATE(MONTH('Raw Data'!N682),".",RIGHT(YEAR('Raw Data'!N682),2))),'Raw Data'!N682))</f>
        <v>39.479999999999997</v>
      </c>
      <c r="O682" s="6">
        <f t="shared" si="31"/>
        <v>4.7619047619047707</v>
      </c>
      <c r="P682" s="6">
        <f t="shared" si="32"/>
        <v>1.9740000000000038</v>
      </c>
      <c r="Q682">
        <f>VALUE(IF(AND(ISERR(FIND(".",'Raw Data'!Q682)),LEN('Raw Data'!Q682)=5), IF(YEAR('Raw Data'!Q682)=2026,CONCATENATE(DAY('Raw Data'!Q682),".",IF(LEN(MONTH('Raw Data'!Q682))=2,MONTH('Raw Data'!Q682),CONCATENATE(MONTH('Raw Data'!Q682)))),CONCATENATE(MONTH('Raw Data'!Q682),".",RIGHT(YEAR('Raw Data'!Q682),2))),'Raw Data'!Q682))</f>
        <v>6.5</v>
      </c>
    </row>
    <row r="683" spans="1:17">
      <c r="A683" t="s">
        <v>770</v>
      </c>
      <c r="B683" t="s">
        <v>34</v>
      </c>
      <c r="C683" t="s">
        <v>35</v>
      </c>
      <c r="D683" t="s">
        <v>27</v>
      </c>
      <c r="E683" t="s">
        <v>21</v>
      </c>
      <c r="F683" t="s">
        <v>38</v>
      </c>
      <c r="G683">
        <f>VALUE(IF(AND(ISERR(FIND(".",'Raw Data'!G683)),LEN('Raw Data'!G683)=5), IF(YEAR('Raw Data'!G683)=2026,CONCATENATE(DAY('Raw Data'!G683),".",IF(LEN(MONTH('Raw Data'!G683))=2,MONTH('Raw Data'!G683),CONCATENATE("0",MONTH('Raw Data'!G683)))),CONCATENATE(MONTH('Raw Data'!G683),".",RIGHT(YEAR('Raw Data'!G683),2))),'Raw Data'!G683))</f>
        <v>34.81</v>
      </c>
      <c r="H683">
        <f>'Raw Data'!H683</f>
        <v>1</v>
      </c>
      <c r="I683" s="6">
        <f t="shared" si="30"/>
        <v>1.7404999999999973</v>
      </c>
      <c r="J683" s="6">
        <f>'Raw Data'!J683</f>
        <v>36.5505</v>
      </c>
      <c r="K683" s="1">
        <f>VALUE(IFERROR(VALUE('Raw Data'!K683),CONCATENATE(MID('Raw Data'!K683,3,2),".","0",LEFT('Raw Data'!K683,1),".", RIGHT('Raw Data'!K683,4))))</f>
        <v>43479</v>
      </c>
      <c r="L683" s="2">
        <f>'Raw Data'!L683</f>
        <v>0.42430555555555555</v>
      </c>
      <c r="M683" t="s">
        <v>33</v>
      </c>
      <c r="N683">
        <f>VALUE(IF(AND(ISERR(FIND(".",'Raw Data'!N683)),LEN('Raw Data'!N683)=5), IF(YEAR('Raw Data'!N683)=2026,CONCATENATE(DAY('Raw Data'!N683),".",IF(LEN(MONTH('Raw Data'!N683))=2,MONTH('Raw Data'!N683),CONCATENATE("0",MONTH('Raw Data'!N683)))),CONCATENATE(MONTH('Raw Data'!N683),".",RIGHT(YEAR('Raw Data'!N683),2))),'Raw Data'!N683))</f>
        <v>34.81</v>
      </c>
      <c r="O683" s="6">
        <f t="shared" si="31"/>
        <v>4.7619047619047548</v>
      </c>
      <c r="P683" s="6">
        <f t="shared" si="32"/>
        <v>1.7404999999999973</v>
      </c>
      <c r="Q683">
        <f>VALUE(IF(AND(ISERR(FIND(".",'Raw Data'!Q683)),LEN('Raw Data'!Q683)=5), IF(YEAR('Raw Data'!Q683)=2026,CONCATENATE(DAY('Raw Data'!Q683),".",IF(LEN(MONTH('Raw Data'!Q683))=2,MONTH('Raw Data'!Q683),CONCATENATE(MONTH('Raw Data'!Q683)))),CONCATENATE(MONTH('Raw Data'!Q683),".",RIGHT(YEAR('Raw Data'!Q683),2))),'Raw Data'!Q683))</f>
        <v>7</v>
      </c>
    </row>
    <row r="684" spans="1:17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43</v>
      </c>
      <c r="G684">
        <f>VALUE(IF(AND(ISERR(FIND(".",'Raw Data'!G684)),LEN('Raw Data'!G684)=5), IF(YEAR('Raw Data'!G684)=2026,CONCATENATE(DAY('Raw Data'!G684),".",IF(LEN(MONTH('Raw Data'!G684))=2,MONTH('Raw Data'!G684),CONCATENATE("0",MONTH('Raw Data'!G684)))),CONCATENATE(MONTH('Raw Data'!G684),".",RIGHT(YEAR('Raw Data'!G684),2))),'Raw Data'!G684))</f>
        <v>49.32</v>
      </c>
      <c r="H684">
        <f>'Raw Data'!H684</f>
        <v>6</v>
      </c>
      <c r="I684" s="6">
        <f t="shared" si="30"/>
        <v>14.795999999999992</v>
      </c>
      <c r="J684" s="6">
        <f>'Raw Data'!J684</f>
        <v>310.71600000000001</v>
      </c>
      <c r="K684" s="1">
        <f>VALUE(IFERROR(VALUE('Raw Data'!K684),CONCATENATE(MID('Raw Data'!K684,3,2),".","0",LEFT('Raw Data'!K684,1),".", RIGHT('Raw Data'!K684,4))))</f>
        <v>43709</v>
      </c>
      <c r="L684" s="2">
        <f>'Raw Data'!L684</f>
        <v>0.57361111111111118</v>
      </c>
      <c r="M684" t="s">
        <v>23</v>
      </c>
      <c r="N684">
        <f>VALUE(IF(AND(ISERR(FIND(".",'Raw Data'!N684)),LEN('Raw Data'!N684)=5), IF(YEAR('Raw Data'!N684)=2026,CONCATENATE(DAY('Raw Data'!N684),".",IF(LEN(MONTH('Raw Data'!N684))=2,MONTH('Raw Data'!N684),CONCATENATE("0",MONTH('Raw Data'!N684)))),CONCATENATE(MONTH('Raw Data'!N684),".",RIGHT(YEAR('Raw Data'!N684),2))),'Raw Data'!N684))</f>
        <v>295.92</v>
      </c>
      <c r="O684" s="6">
        <f t="shared" si="31"/>
        <v>4.7619047619047592</v>
      </c>
      <c r="P684" s="6">
        <f t="shared" si="32"/>
        <v>14.795999999999992</v>
      </c>
      <c r="Q684">
        <f>VALUE(IF(AND(ISERR(FIND(".",'Raw Data'!Q684)),LEN('Raw Data'!Q684)=5), IF(YEAR('Raw Data'!Q684)=2026,CONCATENATE(DAY('Raw Data'!Q684),".",IF(LEN(MONTH('Raw Data'!Q684))=2,MONTH('Raw Data'!Q684),CONCATENATE(MONTH('Raw Data'!Q684)))),CONCATENATE(MONTH('Raw Data'!Q684),".",RIGHT(YEAR('Raw Data'!Q684),2))),'Raw Data'!Q684))</f>
        <v>7.1</v>
      </c>
    </row>
    <row r="685" spans="1:17">
      <c r="A685" t="s">
        <v>772</v>
      </c>
      <c r="B685" t="s">
        <v>18</v>
      </c>
      <c r="C685" t="s">
        <v>19</v>
      </c>
      <c r="D685" t="s">
        <v>20</v>
      </c>
      <c r="E685" t="s">
        <v>30</v>
      </c>
      <c r="F685" t="s">
        <v>43</v>
      </c>
      <c r="G685">
        <f>VALUE(IF(AND(ISERR(FIND(".",'Raw Data'!G685)),LEN('Raw Data'!G685)=5), IF(YEAR('Raw Data'!G685)=2026,CONCATENATE(DAY('Raw Data'!G685),".",IF(LEN(MONTH('Raw Data'!G685))=2,MONTH('Raw Data'!G685),CONCATENATE("0",MONTH('Raw Data'!G685)))),CONCATENATE(MONTH('Raw Data'!G685),".",RIGHT(YEAR('Raw Data'!G685),2))),'Raw Data'!G685))</f>
        <v>21.48</v>
      </c>
      <c r="H685">
        <f>'Raw Data'!H685</f>
        <v>2</v>
      </c>
      <c r="I685" s="6">
        <f t="shared" si="30"/>
        <v>2.1479999999999961</v>
      </c>
      <c r="J685" s="6">
        <f>'Raw Data'!J685</f>
        <v>45.107999999999997</v>
      </c>
      <c r="K685" s="1">
        <f>VALUE(IFERROR(VALUE('Raw Data'!K685),CONCATENATE(MID('Raw Data'!K685,3,2),".","0",LEFT('Raw Data'!K685,1),".", RIGHT('Raw Data'!K685,4))))</f>
        <v>43523</v>
      </c>
      <c r="L685" s="2">
        <f>'Raw Data'!L685</f>
        <v>0.51527777777777783</v>
      </c>
      <c r="M685" t="s">
        <v>23</v>
      </c>
      <c r="N685">
        <f>VALUE(IF(AND(ISERR(FIND(".",'Raw Data'!N685)),LEN('Raw Data'!N685)=5), IF(YEAR('Raw Data'!N685)=2026,CONCATENATE(DAY('Raw Data'!N685),".",IF(LEN(MONTH('Raw Data'!N685))=2,MONTH('Raw Data'!N685),CONCATENATE("0",MONTH('Raw Data'!N685)))),CONCATENATE(MONTH('Raw Data'!N685),".",RIGHT(YEAR('Raw Data'!N685),2))),'Raw Data'!N685))</f>
        <v>42.96</v>
      </c>
      <c r="O685" s="6">
        <f t="shared" si="31"/>
        <v>4.761904761904753</v>
      </c>
      <c r="P685" s="6">
        <f t="shared" si="32"/>
        <v>2.1479999999999961</v>
      </c>
      <c r="Q685">
        <f>VALUE(IF(AND(ISERR(FIND(".",'Raw Data'!Q685)),LEN('Raw Data'!Q685)=5), IF(YEAR('Raw Data'!Q685)=2026,CONCATENATE(DAY('Raw Data'!Q685),".",IF(LEN(MONTH('Raw Data'!Q685))=2,MONTH('Raw Data'!Q685),CONCATENATE(MONTH('Raw Data'!Q685)))),CONCATENATE(MONTH('Raw Data'!Q685),".",RIGHT(YEAR('Raw Data'!Q685),2))),'Raw Data'!Q685))</f>
        <v>6.6</v>
      </c>
    </row>
    <row r="686" spans="1:17">
      <c r="A686" t="s">
        <v>773</v>
      </c>
      <c r="B686" t="s">
        <v>34</v>
      </c>
      <c r="C686" t="s">
        <v>35</v>
      </c>
      <c r="D686" t="s">
        <v>20</v>
      </c>
      <c r="E686" t="s">
        <v>21</v>
      </c>
      <c r="F686" t="s">
        <v>38</v>
      </c>
      <c r="G686">
        <f>VALUE(IF(AND(ISERR(FIND(".",'Raw Data'!G686)),LEN('Raw Data'!G686)=5), IF(YEAR('Raw Data'!G686)=2026,CONCATENATE(DAY('Raw Data'!G686),".",IF(LEN(MONTH('Raw Data'!G686))=2,MONTH('Raw Data'!G686),CONCATENATE("0",MONTH('Raw Data'!G686)))),CONCATENATE(MONTH('Raw Data'!G686),".",RIGHT(YEAR('Raw Data'!G686),2))),'Raw Data'!G686))</f>
        <v>23.08</v>
      </c>
      <c r="H686">
        <f>'Raw Data'!H686</f>
        <v>6</v>
      </c>
      <c r="I686" s="6">
        <f t="shared" si="30"/>
        <v>6.9240000000000066</v>
      </c>
      <c r="J686" s="6">
        <f>'Raw Data'!J686</f>
        <v>145.404</v>
      </c>
      <c r="K686" s="1">
        <f>VALUE(IFERROR(VALUE('Raw Data'!K686),CONCATENATE(MID('Raw Data'!K686,3,2),".","0",LEFT('Raw Data'!K686,1),".", RIGHT('Raw Data'!K686,4))))</f>
        <v>43489</v>
      </c>
      <c r="L686" s="2">
        <f>'Raw Data'!L686</f>
        <v>0.80555555555555547</v>
      </c>
      <c r="M686" t="s">
        <v>23</v>
      </c>
      <c r="N686">
        <f>VALUE(IF(AND(ISERR(FIND(".",'Raw Data'!N686)),LEN('Raw Data'!N686)=5), IF(YEAR('Raw Data'!N686)=2026,CONCATENATE(DAY('Raw Data'!N686),".",IF(LEN(MONTH('Raw Data'!N686))=2,MONTH('Raw Data'!N686),CONCATENATE("0",MONTH('Raw Data'!N686)))),CONCATENATE(MONTH('Raw Data'!N686),".",RIGHT(YEAR('Raw Data'!N686),2))),'Raw Data'!N686))</f>
        <v>138.47999999999999</v>
      </c>
      <c r="O686" s="6">
        <f t="shared" si="31"/>
        <v>4.7619047619047663</v>
      </c>
      <c r="P686" s="6">
        <f t="shared" si="32"/>
        <v>6.9240000000000066</v>
      </c>
      <c r="Q686">
        <f>VALUE(IF(AND(ISERR(FIND(".",'Raw Data'!Q686)),LEN('Raw Data'!Q686)=5), IF(YEAR('Raw Data'!Q686)=2026,CONCATENATE(DAY('Raw Data'!Q686),".",IF(LEN(MONTH('Raw Data'!Q686))=2,MONTH('Raw Data'!Q686),CONCATENATE(MONTH('Raw Data'!Q686)))),CONCATENATE(MONTH('Raw Data'!Q686),".",RIGHT(YEAR('Raw Data'!Q686),2))),'Raw Data'!Q686))</f>
        <v>4.9000000000000004</v>
      </c>
    </row>
    <row r="687" spans="1:17">
      <c r="A687" t="s">
        <v>774</v>
      </c>
      <c r="B687" t="s">
        <v>34</v>
      </c>
      <c r="C687" t="s">
        <v>35</v>
      </c>
      <c r="D687" t="s">
        <v>20</v>
      </c>
      <c r="E687" t="s">
        <v>21</v>
      </c>
      <c r="F687" t="s">
        <v>32</v>
      </c>
      <c r="G687">
        <f>VALUE(IF(AND(ISERR(FIND(".",'Raw Data'!G687)),LEN('Raw Data'!G687)=5), IF(YEAR('Raw Data'!G687)=2026,CONCATENATE(DAY('Raw Data'!G687),".",IF(LEN(MONTH('Raw Data'!G687))=2,MONTH('Raw Data'!G687),CONCATENATE("0",MONTH('Raw Data'!G687)))),CONCATENATE(MONTH('Raw Data'!G687),".",RIGHT(YEAR('Raw Data'!G687),2))),'Raw Data'!G687))</f>
        <v>49.1</v>
      </c>
      <c r="H687">
        <f>'Raw Data'!H687</f>
        <v>2</v>
      </c>
      <c r="I687" s="6">
        <f t="shared" si="30"/>
        <v>4.9099999999999966</v>
      </c>
      <c r="J687" s="6">
        <f>'Raw Data'!J687</f>
        <v>103.11</v>
      </c>
      <c r="K687" s="1">
        <f>VALUE(IFERROR(VALUE('Raw Data'!K687),CONCATENATE(MID('Raw Data'!K687,3,2),".","0",LEFT('Raw Data'!K687,1),".", RIGHT('Raw Data'!K687,4))))</f>
        <v>43678</v>
      </c>
      <c r="L687" s="2">
        <f>'Raw Data'!L687</f>
        <v>0.54027777777777775</v>
      </c>
      <c r="M687" t="s">
        <v>33</v>
      </c>
      <c r="N687">
        <f>VALUE(IF(AND(ISERR(FIND(".",'Raw Data'!N687)),LEN('Raw Data'!N687)=5), IF(YEAR('Raw Data'!N687)=2026,CONCATENATE(DAY('Raw Data'!N687),".",IF(LEN(MONTH('Raw Data'!N687))=2,MONTH('Raw Data'!N687),CONCATENATE("0",MONTH('Raw Data'!N687)))),CONCATENATE(MONTH('Raw Data'!N687),".",RIGHT(YEAR('Raw Data'!N687),2))),'Raw Data'!N687))</f>
        <v>98.2</v>
      </c>
      <c r="O687" s="6">
        <f t="shared" si="31"/>
        <v>4.7619047619047592</v>
      </c>
      <c r="P687" s="6">
        <f t="shared" si="32"/>
        <v>4.9099999999999966</v>
      </c>
      <c r="Q687">
        <f>VALUE(IF(AND(ISERR(FIND(".",'Raw Data'!Q687)),LEN('Raw Data'!Q687)=5), IF(YEAR('Raw Data'!Q687)=2026,CONCATENATE(DAY('Raw Data'!Q687),".",IF(LEN(MONTH('Raw Data'!Q687))=2,MONTH('Raw Data'!Q687),CONCATENATE(MONTH('Raw Data'!Q687)))),CONCATENATE(MONTH('Raw Data'!Q687),".",RIGHT(YEAR('Raw Data'!Q687),2))),'Raw Data'!Q687))</f>
        <v>6.4</v>
      </c>
    </row>
    <row r="688" spans="1:17">
      <c r="A688" t="s">
        <v>775</v>
      </c>
      <c r="B688" t="s">
        <v>34</v>
      </c>
      <c r="C688" t="s">
        <v>35</v>
      </c>
      <c r="D688" t="s">
        <v>20</v>
      </c>
      <c r="E688" t="s">
        <v>21</v>
      </c>
      <c r="F688" t="s">
        <v>38</v>
      </c>
      <c r="G688">
        <f>VALUE(IF(AND(ISERR(FIND(".",'Raw Data'!G688)),LEN('Raw Data'!G688)=5), IF(YEAR('Raw Data'!G688)=2026,CONCATENATE(DAY('Raw Data'!G688),".",IF(LEN(MONTH('Raw Data'!G688))=2,MONTH('Raw Data'!G688),CONCATENATE("0",MONTH('Raw Data'!G688)))),CONCATENATE(MONTH('Raw Data'!G688),".",RIGHT(YEAR('Raw Data'!G688),2))),'Raw Data'!G688))</f>
        <v>64.83</v>
      </c>
      <c r="H688">
        <f>'Raw Data'!H688</f>
        <v>2</v>
      </c>
      <c r="I688" s="6">
        <f t="shared" si="30"/>
        <v>6.4830000000000041</v>
      </c>
      <c r="J688" s="6">
        <f>'Raw Data'!J688</f>
        <v>136.143</v>
      </c>
      <c r="K688" s="1">
        <f>VALUE(IFERROR(VALUE('Raw Data'!K688),CONCATENATE(MID('Raw Data'!K688,3,2),".","0",LEFT('Raw Data'!K688,1),".", RIGHT('Raw Data'!K688,4))))</f>
        <v>43678</v>
      </c>
      <c r="L688" s="2">
        <f>'Raw Data'!L688</f>
        <v>0.4993055555555555</v>
      </c>
      <c r="M688" t="s">
        <v>33</v>
      </c>
      <c r="N688">
        <f>VALUE(IF(AND(ISERR(FIND(".",'Raw Data'!N688)),LEN('Raw Data'!N688)=5), IF(YEAR('Raw Data'!N688)=2026,CONCATENATE(DAY('Raw Data'!N688),".",IF(LEN(MONTH('Raw Data'!N688))=2,MONTH('Raw Data'!N688),CONCATENATE("0",MONTH('Raw Data'!N688)))),CONCATENATE(MONTH('Raw Data'!N688),".",RIGHT(YEAR('Raw Data'!N688),2))),'Raw Data'!N688))</f>
        <v>129.66</v>
      </c>
      <c r="O688" s="6">
        <f t="shared" si="31"/>
        <v>4.7619047619047654</v>
      </c>
      <c r="P688" s="6">
        <f t="shared" si="32"/>
        <v>6.4830000000000041</v>
      </c>
      <c r="Q688">
        <f>VALUE(IF(AND(ISERR(FIND(".",'Raw Data'!Q688)),LEN('Raw Data'!Q688)=5), IF(YEAR('Raw Data'!Q688)=2026,CONCATENATE(DAY('Raw Data'!Q688),".",IF(LEN(MONTH('Raw Data'!Q688))=2,MONTH('Raw Data'!Q688),CONCATENATE(MONTH('Raw Data'!Q688)))),CONCATENATE(MONTH('Raw Data'!Q688),".",RIGHT(YEAR('Raw Data'!Q688),2))),'Raw Data'!Q688))</f>
        <v>8</v>
      </c>
    </row>
    <row r="689" spans="1:17">
      <c r="A689" t="s">
        <v>776</v>
      </c>
      <c r="B689" t="s">
        <v>18</v>
      </c>
      <c r="C689" t="s">
        <v>19</v>
      </c>
      <c r="D689" t="s">
        <v>20</v>
      </c>
      <c r="E689" t="s">
        <v>30</v>
      </c>
      <c r="F689" t="s">
        <v>32</v>
      </c>
      <c r="G689">
        <f>VALUE(IF(AND(ISERR(FIND(".",'Raw Data'!G689)),LEN('Raw Data'!G689)=5), IF(YEAR('Raw Data'!G689)=2026,CONCATENATE(DAY('Raw Data'!G689),".",IF(LEN(MONTH('Raw Data'!G689))=2,MONTH('Raw Data'!G689),CONCATENATE("0",MONTH('Raw Data'!G689)))),CONCATENATE(MONTH('Raw Data'!G689),".",RIGHT(YEAR('Raw Data'!G689),2))),'Raw Data'!G689))</f>
        <v>63.56</v>
      </c>
      <c r="H689">
        <f>'Raw Data'!H689</f>
        <v>10</v>
      </c>
      <c r="I689" s="6">
        <f t="shared" si="30"/>
        <v>31.779999999999973</v>
      </c>
      <c r="J689" s="6">
        <f>'Raw Data'!J689</f>
        <v>667.38</v>
      </c>
      <c r="K689" s="1">
        <f>VALUE(IFERROR(VALUE('Raw Data'!K689),CONCATENATE(MID('Raw Data'!K689,3,2),".","0",LEFT('Raw Data'!K689,1),".", RIGHT('Raw Data'!K689,4))))</f>
        <v>43481</v>
      </c>
      <c r="L689" s="2">
        <f>'Raw Data'!L689</f>
        <v>0.74930555555555556</v>
      </c>
      <c r="M689" t="s">
        <v>29</v>
      </c>
      <c r="N689">
        <f>VALUE(IF(AND(ISERR(FIND(".",'Raw Data'!N689)),LEN('Raw Data'!N689)=5), IF(YEAR('Raw Data'!N689)=2026,CONCATENATE(DAY('Raw Data'!N689),".",IF(LEN(MONTH('Raw Data'!N689))=2,MONTH('Raw Data'!N689),CONCATENATE("0",MONTH('Raw Data'!N689)))),CONCATENATE(MONTH('Raw Data'!N689),".",RIGHT(YEAR('Raw Data'!N689),2))),'Raw Data'!N689))</f>
        <v>635.6</v>
      </c>
      <c r="O689" s="6">
        <f t="shared" si="31"/>
        <v>4.7619047619047583</v>
      </c>
      <c r="P689" s="6">
        <f t="shared" si="32"/>
        <v>31.779999999999973</v>
      </c>
      <c r="Q689">
        <f>VALUE(IF(AND(ISERR(FIND(".",'Raw Data'!Q689)),LEN('Raw Data'!Q689)=5), IF(YEAR('Raw Data'!Q689)=2026,CONCATENATE(DAY('Raw Data'!Q689),".",IF(LEN(MONTH('Raw Data'!Q689))=2,MONTH('Raw Data'!Q689),CONCATENATE(MONTH('Raw Data'!Q689)))),CONCATENATE(MONTH('Raw Data'!Q689),".",RIGHT(YEAR('Raw Data'!Q689),2))),'Raw Data'!Q689))</f>
        <v>4.3</v>
      </c>
    </row>
    <row r="690" spans="1:17">
      <c r="A690" t="s">
        <v>777</v>
      </c>
      <c r="B690" t="s">
        <v>25</v>
      </c>
      <c r="C690" t="s">
        <v>26</v>
      </c>
      <c r="D690" t="s">
        <v>20</v>
      </c>
      <c r="E690" t="s">
        <v>30</v>
      </c>
      <c r="F690" t="s">
        <v>38</v>
      </c>
      <c r="G690">
        <f>VALUE(IF(AND(ISERR(FIND(".",'Raw Data'!G690)),LEN('Raw Data'!G690)=5), IF(YEAR('Raw Data'!G690)=2026,CONCATENATE(DAY('Raw Data'!G690),".",IF(LEN(MONTH('Raw Data'!G690))=2,MONTH('Raw Data'!G690),CONCATENATE("0",MONTH('Raw Data'!G690)))),CONCATENATE(MONTH('Raw Data'!G690),".",RIGHT(YEAR('Raw Data'!G690),2))),'Raw Data'!G690))</f>
        <v>72.88</v>
      </c>
      <c r="H690">
        <f>'Raw Data'!H690</f>
        <v>2</v>
      </c>
      <c r="I690" s="6">
        <f t="shared" si="30"/>
        <v>7.2880000000000109</v>
      </c>
      <c r="J690" s="6">
        <f>'Raw Data'!J690</f>
        <v>153.048</v>
      </c>
      <c r="K690" s="1">
        <f>VALUE(IFERROR(VALUE('Raw Data'!K690),CONCATENATE(MID('Raw Data'!K690,3,2),".","0",LEFT('Raw Data'!K690,1),".", RIGHT('Raw Data'!K690,4))))</f>
        <v>43537</v>
      </c>
      <c r="L690" s="2">
        <f>'Raw Data'!L690</f>
        <v>0.53541666666666665</v>
      </c>
      <c r="M690" t="s">
        <v>29</v>
      </c>
      <c r="N690">
        <f>VALUE(IF(AND(ISERR(FIND(".",'Raw Data'!N690)),LEN('Raw Data'!N690)=5), IF(YEAR('Raw Data'!N690)=2026,CONCATENATE(DAY('Raw Data'!N690),".",IF(LEN(MONTH('Raw Data'!N690))=2,MONTH('Raw Data'!N690),CONCATENATE("0",MONTH('Raw Data'!N690)))),CONCATENATE(MONTH('Raw Data'!N690),".",RIGHT(YEAR('Raw Data'!N690),2))),'Raw Data'!N690))</f>
        <v>145.76</v>
      </c>
      <c r="O690" s="6">
        <f t="shared" si="31"/>
        <v>4.761904761904769</v>
      </c>
      <c r="P690" s="6">
        <f t="shared" si="32"/>
        <v>7.2880000000000109</v>
      </c>
      <c r="Q690">
        <f>VALUE(IF(AND(ISERR(FIND(".",'Raw Data'!Q690)),LEN('Raw Data'!Q690)=5), IF(YEAR('Raw Data'!Q690)=2026,CONCATENATE(DAY('Raw Data'!Q690),".",IF(LEN(MONTH('Raw Data'!Q690))=2,MONTH('Raw Data'!Q690),CONCATENATE(MONTH('Raw Data'!Q690)))),CONCATENATE(MONTH('Raw Data'!Q690),".",RIGHT(YEAR('Raw Data'!Q690),2))),'Raw Data'!Q690))</f>
        <v>6.1</v>
      </c>
    </row>
    <row r="691" spans="1:17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40</v>
      </c>
      <c r="G691">
        <f>VALUE(IF(AND(ISERR(FIND(".",'Raw Data'!G691)),LEN('Raw Data'!G691)=5), IF(YEAR('Raw Data'!G691)=2026,CONCATENATE(DAY('Raw Data'!G691),".",IF(LEN(MONTH('Raw Data'!G691))=2,MONTH('Raw Data'!G691),CONCATENATE("0",MONTH('Raw Data'!G691)))),CONCATENATE(MONTH('Raw Data'!G691),".",RIGHT(YEAR('Raw Data'!G691),2))),'Raw Data'!G691))</f>
        <v>67.099999999999994</v>
      </c>
      <c r="H691">
        <f>'Raw Data'!H691</f>
        <v>3</v>
      </c>
      <c r="I691" s="6">
        <f t="shared" si="30"/>
        <v>10.065000000000026</v>
      </c>
      <c r="J691" s="6">
        <f>'Raw Data'!J691</f>
        <v>211.36500000000001</v>
      </c>
      <c r="K691" s="1">
        <f>VALUE(IFERROR(VALUE('Raw Data'!K691),CONCATENATE(MID('Raw Data'!K691,3,2),".","0",LEFT('Raw Data'!K691,1),".", RIGHT('Raw Data'!K691,4))))</f>
        <v>43511</v>
      </c>
      <c r="L691" s="2">
        <f>'Raw Data'!L691</f>
        <v>0.44166666666666665</v>
      </c>
      <c r="M691" t="s">
        <v>29</v>
      </c>
      <c r="N691">
        <f>VALUE(IF(AND(ISERR(FIND(".",'Raw Data'!N691)),LEN('Raw Data'!N691)=5), IF(YEAR('Raw Data'!N691)=2026,CONCATENATE(DAY('Raw Data'!N691),".",IF(LEN(MONTH('Raw Data'!N691))=2,MONTH('Raw Data'!N691),CONCATENATE("0",MONTH('Raw Data'!N691)))),CONCATENATE(MONTH('Raw Data'!N691),".",RIGHT(YEAR('Raw Data'!N691),2))),'Raw Data'!N691))</f>
        <v>201.3</v>
      </c>
      <c r="O691" s="6">
        <f t="shared" si="31"/>
        <v>4.761904761904761</v>
      </c>
      <c r="P691" s="6">
        <f t="shared" si="32"/>
        <v>10.064999999999998</v>
      </c>
      <c r="Q691">
        <f>VALUE(IF(AND(ISERR(FIND(".",'Raw Data'!Q691)),LEN('Raw Data'!Q691)=5), IF(YEAR('Raw Data'!Q691)=2026,CONCATENATE(DAY('Raw Data'!Q691),".",IF(LEN(MONTH('Raw Data'!Q691))=2,MONTH('Raw Data'!Q691),CONCATENATE(MONTH('Raw Data'!Q691)))),CONCATENATE(MONTH('Raw Data'!Q691),".",RIGHT(YEAR('Raw Data'!Q691),2))),'Raw Data'!Q691))</f>
        <v>7.5</v>
      </c>
    </row>
    <row r="692" spans="1:17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38</v>
      </c>
      <c r="G692">
        <f>VALUE(IF(AND(ISERR(FIND(".",'Raw Data'!G692)),LEN('Raw Data'!G692)=5), IF(YEAR('Raw Data'!G692)=2026,CONCATENATE(DAY('Raw Data'!G692),".",IF(LEN(MONTH('Raw Data'!G692))=2,MONTH('Raw Data'!G692),CONCATENATE("0",MONTH('Raw Data'!G692)))),CONCATENATE(MONTH('Raw Data'!G692),".",RIGHT(YEAR('Raw Data'!G692),2))),'Raw Data'!G692))</f>
        <v>70.19</v>
      </c>
      <c r="H692">
        <f>'Raw Data'!H692</f>
        <v>9</v>
      </c>
      <c r="I692" s="6">
        <f t="shared" si="30"/>
        <v>31.585499999999911</v>
      </c>
      <c r="J692" s="6">
        <f>'Raw Data'!J692</f>
        <v>663.29549999999995</v>
      </c>
      <c r="K692" s="1">
        <f>VALUE(IFERROR(VALUE('Raw Data'!K692),CONCATENATE(MID('Raw Data'!K692,3,2),".","0",LEFT('Raw Data'!K692,1),".", RIGHT('Raw Data'!K692,4))))</f>
        <v>43490</v>
      </c>
      <c r="L692" s="2">
        <f>'Raw Data'!L692</f>
        <v>0.56805555555555554</v>
      </c>
      <c r="M692" t="s">
        <v>29</v>
      </c>
      <c r="N692">
        <f>VALUE(IF(AND(ISERR(FIND(".",'Raw Data'!N692)),LEN('Raw Data'!N692)=5), IF(YEAR('Raw Data'!N692)=2026,CONCATENATE(DAY('Raw Data'!N692),".",IF(LEN(MONTH('Raw Data'!N692))=2,MONTH('Raw Data'!N692),CONCATENATE("0",MONTH('Raw Data'!N692)))),CONCATENATE(MONTH('Raw Data'!N692),".",RIGHT(YEAR('Raw Data'!N692),2))),'Raw Data'!N692))</f>
        <v>631.71</v>
      </c>
      <c r="O692" s="6">
        <f t="shared" si="31"/>
        <v>4.7619047619047494</v>
      </c>
      <c r="P692" s="6">
        <f t="shared" si="32"/>
        <v>31.585499999999911</v>
      </c>
      <c r="Q692">
        <f>VALUE(IF(AND(ISERR(FIND(".",'Raw Data'!Q692)),LEN('Raw Data'!Q692)=5), IF(YEAR('Raw Data'!Q692)=2026,CONCATENATE(DAY('Raw Data'!Q692),".",IF(LEN(MONTH('Raw Data'!Q692))=2,MONTH('Raw Data'!Q692),CONCATENATE(MONTH('Raw Data'!Q692)))),CONCATENATE(MONTH('Raw Data'!Q692),".",RIGHT(YEAR('Raw Data'!Q692),2))),'Raw Data'!Q692))</f>
        <v>6.7</v>
      </c>
    </row>
    <row r="693" spans="1:17">
      <c r="A693" t="s">
        <v>780</v>
      </c>
      <c r="B693" t="s">
        <v>25</v>
      </c>
      <c r="C693" t="s">
        <v>26</v>
      </c>
      <c r="D693" t="s">
        <v>20</v>
      </c>
      <c r="E693" t="s">
        <v>30</v>
      </c>
      <c r="F693" t="s">
        <v>40</v>
      </c>
      <c r="G693">
        <f>VALUE(IF(AND(ISERR(FIND(".",'Raw Data'!G693)),LEN('Raw Data'!G693)=5), IF(YEAR('Raw Data'!G693)=2026,CONCATENATE(DAY('Raw Data'!G693),".",IF(LEN(MONTH('Raw Data'!G693))=2,MONTH('Raw Data'!G693),CONCATENATE("0",MONTH('Raw Data'!G693)))),CONCATENATE(MONTH('Raw Data'!G693),".",RIGHT(YEAR('Raw Data'!G693),2))),'Raw Data'!G693))</f>
        <v>55.04</v>
      </c>
      <c r="H693">
        <f>'Raw Data'!H693</f>
        <v>7</v>
      </c>
      <c r="I693" s="6">
        <f t="shared" si="30"/>
        <v>19.26400000000001</v>
      </c>
      <c r="J693" s="6">
        <f>'Raw Data'!J693</f>
        <v>404.54399999999998</v>
      </c>
      <c r="K693" s="1">
        <f>VALUE(IFERROR(VALUE('Raw Data'!K693),CONCATENATE(MID('Raw Data'!K693,3,2),".","0",LEFT('Raw Data'!K693,1),".", RIGHT('Raw Data'!K693,4))))</f>
        <v>43802</v>
      </c>
      <c r="L693" s="2">
        <f>'Raw Data'!L693</f>
        <v>0.81874999999999998</v>
      </c>
      <c r="M693" t="s">
        <v>23</v>
      </c>
      <c r="N693">
        <f>VALUE(IF(AND(ISERR(FIND(".",'Raw Data'!N693)),LEN('Raw Data'!N693)=5), IF(YEAR('Raw Data'!N693)=2026,CONCATENATE(DAY('Raw Data'!N693),".",IF(LEN(MONTH('Raw Data'!N693))=2,MONTH('Raw Data'!N693),CONCATENATE("0",MONTH('Raw Data'!N693)))),CONCATENATE(MONTH('Raw Data'!N693),".",RIGHT(YEAR('Raw Data'!N693),2))),'Raw Data'!N693))</f>
        <v>385.28</v>
      </c>
      <c r="O693" s="6">
        <f t="shared" si="31"/>
        <v>4.7619047619047645</v>
      </c>
      <c r="P693" s="6">
        <f t="shared" si="32"/>
        <v>19.26400000000001</v>
      </c>
      <c r="Q693">
        <f>VALUE(IF(AND(ISERR(FIND(".",'Raw Data'!Q693)),LEN('Raw Data'!Q693)=5), IF(YEAR('Raw Data'!Q693)=2026,CONCATENATE(DAY('Raw Data'!Q693),".",IF(LEN(MONTH('Raw Data'!Q693))=2,MONTH('Raw Data'!Q693),CONCATENATE(MONTH('Raw Data'!Q693)))),CONCATENATE(MONTH('Raw Data'!Q693),".",RIGHT(YEAR('Raw Data'!Q693),2))),'Raw Data'!Q693))</f>
        <v>5.2</v>
      </c>
    </row>
    <row r="694" spans="1:17">
      <c r="A694" t="s">
        <v>781</v>
      </c>
      <c r="B694" t="s">
        <v>18</v>
      </c>
      <c r="C694" t="s">
        <v>19</v>
      </c>
      <c r="D694" t="s">
        <v>20</v>
      </c>
      <c r="E694" t="s">
        <v>30</v>
      </c>
      <c r="F694" t="s">
        <v>22</v>
      </c>
      <c r="G694">
        <f>VALUE(IF(AND(ISERR(FIND(".",'Raw Data'!G694)),LEN('Raw Data'!G694)=5), IF(YEAR('Raw Data'!G694)=2026,CONCATENATE(DAY('Raw Data'!G694),".",IF(LEN(MONTH('Raw Data'!G694))=2,MONTH('Raw Data'!G694),CONCATENATE("0",MONTH('Raw Data'!G694)))),CONCATENATE(MONTH('Raw Data'!G694),".",RIGHT(YEAR('Raw Data'!G694),2))),'Raw Data'!G694))</f>
        <v>48.63</v>
      </c>
      <c r="H694">
        <f>'Raw Data'!H694</f>
        <v>10</v>
      </c>
      <c r="I694" s="6">
        <f t="shared" si="30"/>
        <v>24.314999999999998</v>
      </c>
      <c r="J694" s="6">
        <f>'Raw Data'!J694</f>
        <v>510.61500000000001</v>
      </c>
      <c r="K694" s="1">
        <f>VALUE(IFERROR(VALUE('Raw Data'!K694),CONCATENATE(MID('Raw Data'!K694,3,2),".","0",LEFT('Raw Data'!K694,1),".", RIGHT('Raw Data'!K694,4))))</f>
        <v>43558</v>
      </c>
      <c r="L694" s="2">
        <f>'Raw Data'!L694</f>
        <v>0.53055555555555556</v>
      </c>
      <c r="M694" t="s">
        <v>29</v>
      </c>
      <c r="N694">
        <f>VALUE(IF(AND(ISERR(FIND(".",'Raw Data'!N694)),LEN('Raw Data'!N694)=5), IF(YEAR('Raw Data'!N694)=2026,CONCATENATE(DAY('Raw Data'!N694),".",IF(LEN(MONTH('Raw Data'!N694))=2,MONTH('Raw Data'!N694),CONCATENATE("0",MONTH('Raw Data'!N694)))),CONCATENATE(MONTH('Raw Data'!N694),".",RIGHT(YEAR('Raw Data'!N694),2))),'Raw Data'!N694))</f>
        <v>486.3</v>
      </c>
      <c r="O694" s="6">
        <f t="shared" si="31"/>
        <v>4.7619047619047619</v>
      </c>
      <c r="P694" s="6">
        <f t="shared" si="32"/>
        <v>24.314999999999998</v>
      </c>
      <c r="Q694">
        <f>VALUE(IF(AND(ISERR(FIND(".",'Raw Data'!Q694)),LEN('Raw Data'!Q694)=5), IF(YEAR('Raw Data'!Q694)=2026,CONCATENATE(DAY('Raw Data'!Q694),".",IF(LEN(MONTH('Raw Data'!Q694))=2,MONTH('Raw Data'!Q694),CONCATENATE(MONTH('Raw Data'!Q694)))),CONCATENATE(MONTH('Raw Data'!Q694),".",RIGHT(YEAR('Raw Data'!Q694),2))),'Raw Data'!Q694))</f>
        <v>8.8000000000000007</v>
      </c>
    </row>
    <row r="695" spans="1:17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43</v>
      </c>
      <c r="G695">
        <f>VALUE(IF(AND(ISERR(FIND(".",'Raw Data'!G695)),LEN('Raw Data'!G695)=5), IF(YEAR('Raw Data'!G695)=2026,CONCATENATE(DAY('Raw Data'!G695),".",IF(LEN(MONTH('Raw Data'!G695))=2,MONTH('Raw Data'!G695),CONCATENATE("0",MONTH('Raw Data'!G695)))),CONCATENATE(MONTH('Raw Data'!G695),".",RIGHT(YEAR('Raw Data'!G695),2))),'Raw Data'!G695))</f>
        <v>73.38</v>
      </c>
      <c r="H695">
        <f>'Raw Data'!H695</f>
        <v>7</v>
      </c>
      <c r="I695" s="6">
        <f t="shared" si="30"/>
        <v>25.682999999999993</v>
      </c>
      <c r="J695" s="6">
        <f>'Raw Data'!J695</f>
        <v>539.34299999999996</v>
      </c>
      <c r="K695" s="1">
        <f>VALUE(IFERROR(VALUE('Raw Data'!K695),CONCATENATE(MID('Raw Data'!K695,3,2),".","0",LEFT('Raw Data'!K695,1),".", RIGHT('Raw Data'!K695,4))))</f>
        <v>43740</v>
      </c>
      <c r="L695" s="2">
        <f>'Raw Data'!L695</f>
        <v>0.5805555555555556</v>
      </c>
      <c r="M695" t="s">
        <v>29</v>
      </c>
      <c r="N695">
        <f>VALUE(IF(AND(ISERR(FIND(".",'Raw Data'!N695)),LEN('Raw Data'!N695)=5), IF(YEAR('Raw Data'!N695)=2026,CONCATENATE(DAY('Raw Data'!N695),".",IF(LEN(MONTH('Raw Data'!N695))=2,MONTH('Raw Data'!N695),CONCATENATE("0",MONTH('Raw Data'!N695)))),CONCATENATE(MONTH('Raw Data'!N695),".",RIGHT(YEAR('Raw Data'!N695),2))),'Raw Data'!N695))</f>
        <v>513.66</v>
      </c>
      <c r="O695" s="6">
        <f t="shared" si="31"/>
        <v>4.761904761904761</v>
      </c>
      <c r="P695" s="6">
        <f t="shared" si="32"/>
        <v>25.682999999999993</v>
      </c>
      <c r="Q695">
        <f>VALUE(IF(AND(ISERR(FIND(".",'Raw Data'!Q695)),LEN('Raw Data'!Q695)=5), IF(YEAR('Raw Data'!Q695)=2026,CONCATENATE(DAY('Raw Data'!Q695),".",IF(LEN(MONTH('Raw Data'!Q695))=2,MONTH('Raw Data'!Q695),CONCATENATE(MONTH('Raw Data'!Q695)))),CONCATENATE(MONTH('Raw Data'!Q695),".",RIGHT(YEAR('Raw Data'!Q695),2))),'Raw Data'!Q695))</f>
        <v>9.5</v>
      </c>
    </row>
    <row r="696" spans="1:17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40</v>
      </c>
      <c r="G696">
        <f>VALUE(IF(AND(ISERR(FIND(".",'Raw Data'!G696)),LEN('Raw Data'!G696)=5), IF(YEAR('Raw Data'!G696)=2026,CONCATENATE(DAY('Raw Data'!G696),".",IF(LEN(MONTH('Raw Data'!G696))=2,MONTH('Raw Data'!G696),CONCATENATE("0",MONTH('Raw Data'!G696)))),CONCATENATE(MONTH('Raw Data'!G696),".",RIGHT(YEAR('Raw Data'!G696),2))),'Raw Data'!G696))</f>
        <v>52.6</v>
      </c>
      <c r="H696">
        <f>'Raw Data'!H696</f>
        <v>9</v>
      </c>
      <c r="I696" s="6">
        <f t="shared" si="30"/>
        <v>23.669999999999959</v>
      </c>
      <c r="J696" s="6">
        <f>'Raw Data'!J696</f>
        <v>497.07</v>
      </c>
      <c r="K696" s="1">
        <f>VALUE(IFERROR(VALUE('Raw Data'!K696),CONCATENATE(MID('Raw Data'!K696,3,2),".","0",LEFT('Raw Data'!K696,1),".", RIGHT('Raw Data'!K696,4))))</f>
        <v>43481</v>
      </c>
      <c r="L696" s="2">
        <f>'Raw Data'!L696</f>
        <v>0.61249999999999993</v>
      </c>
      <c r="M696" t="s">
        <v>29</v>
      </c>
      <c r="N696">
        <f>VALUE(IF(AND(ISERR(FIND(".",'Raw Data'!N696)),LEN('Raw Data'!N696)=5), IF(YEAR('Raw Data'!N696)=2026,CONCATENATE(DAY('Raw Data'!N696),".",IF(LEN(MONTH('Raw Data'!N696))=2,MONTH('Raw Data'!N696),CONCATENATE("0",MONTH('Raw Data'!N696)))),CONCATENATE(MONTH('Raw Data'!N696),".",RIGHT(YEAR('Raw Data'!N696),2))),'Raw Data'!N696))</f>
        <v>473.4</v>
      </c>
      <c r="O696" s="6">
        <f t="shared" si="31"/>
        <v>4.7619047619047654</v>
      </c>
      <c r="P696" s="6">
        <f t="shared" si="32"/>
        <v>23.670000000000016</v>
      </c>
      <c r="Q696">
        <f>VALUE(IF(AND(ISERR(FIND(".",'Raw Data'!Q696)),LEN('Raw Data'!Q696)=5), IF(YEAR('Raw Data'!Q696)=2026,CONCATENATE(DAY('Raw Data'!Q696),".",IF(LEN(MONTH('Raw Data'!Q696))=2,MONTH('Raw Data'!Q696),CONCATENATE(MONTH('Raw Data'!Q696)))),CONCATENATE(MONTH('Raw Data'!Q696),".",RIGHT(YEAR('Raw Data'!Q696),2))),'Raw Data'!Q696))</f>
        <v>7.6</v>
      </c>
    </row>
    <row r="697" spans="1:17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f>VALUE(IF(AND(ISERR(FIND(".",'Raw Data'!G697)),LEN('Raw Data'!G697)=5), IF(YEAR('Raw Data'!G697)=2026,CONCATENATE(DAY('Raw Data'!G697),".",IF(LEN(MONTH('Raw Data'!G697))=2,MONTH('Raw Data'!G697),CONCATENATE("0",MONTH('Raw Data'!G697)))),CONCATENATE(MONTH('Raw Data'!G697),".",RIGHT(YEAR('Raw Data'!G697),2))),'Raw Data'!G697))</f>
        <v>87.37</v>
      </c>
      <c r="H697">
        <f>'Raw Data'!H697</f>
        <v>5</v>
      </c>
      <c r="I697" s="6">
        <f t="shared" si="30"/>
        <v>21.842499999999973</v>
      </c>
      <c r="J697" s="6">
        <f>'Raw Data'!J697</f>
        <v>458.6925</v>
      </c>
      <c r="K697" s="1">
        <f>VALUE(IFERROR(VALUE('Raw Data'!K697),CONCATENATE(MID('Raw Data'!K697,3,2),".","0",LEFT('Raw Data'!K697,1),".", RIGHT('Raw Data'!K697,4))))</f>
        <v>43494</v>
      </c>
      <c r="L697" s="2">
        <f>'Raw Data'!L697</f>
        <v>0.82291666666666663</v>
      </c>
      <c r="M697" t="s">
        <v>29</v>
      </c>
      <c r="N697">
        <f>VALUE(IF(AND(ISERR(FIND(".",'Raw Data'!N697)),LEN('Raw Data'!N697)=5), IF(YEAR('Raw Data'!N697)=2026,CONCATENATE(DAY('Raw Data'!N697),".",IF(LEN(MONTH('Raw Data'!N697))=2,MONTH('Raw Data'!N697),CONCATENATE("0",MONTH('Raw Data'!N697)))),CONCATENATE(MONTH('Raw Data'!N697),".",RIGHT(YEAR('Raw Data'!N697),2))),'Raw Data'!N697))</f>
        <v>436.85</v>
      </c>
      <c r="O697" s="6">
        <f t="shared" si="31"/>
        <v>4.7619047619047556</v>
      </c>
      <c r="P697" s="6">
        <f t="shared" si="32"/>
        <v>21.842499999999973</v>
      </c>
      <c r="Q697">
        <f>VALUE(IF(AND(ISERR(FIND(".",'Raw Data'!Q697)),LEN('Raw Data'!Q697)=5), IF(YEAR('Raw Data'!Q697)=2026,CONCATENATE(DAY('Raw Data'!Q697),".",IF(LEN(MONTH('Raw Data'!Q697))=2,MONTH('Raw Data'!Q697),CONCATENATE(MONTH('Raw Data'!Q697)))),CONCATENATE(MONTH('Raw Data'!Q697),".",RIGHT(YEAR('Raw Data'!Q697),2))),'Raw Data'!Q697))</f>
        <v>6.6</v>
      </c>
    </row>
    <row r="698" spans="1:17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38</v>
      </c>
      <c r="G698">
        <f>VALUE(IF(AND(ISERR(FIND(".",'Raw Data'!G698)),LEN('Raw Data'!G698)=5), IF(YEAR('Raw Data'!G698)=2026,CONCATENATE(DAY('Raw Data'!G698),".",IF(LEN(MONTH('Raw Data'!G698))=2,MONTH('Raw Data'!G698),CONCATENATE("0",MONTH('Raw Data'!G698)))),CONCATENATE(MONTH('Raw Data'!G698),".",RIGHT(YEAR('Raw Data'!G698),2))),'Raw Data'!G698))</f>
        <v>27.04</v>
      </c>
      <c r="H698">
        <f>'Raw Data'!H698</f>
        <v>4</v>
      </c>
      <c r="I698" s="6">
        <f t="shared" si="30"/>
        <v>5.4080000000000013</v>
      </c>
      <c r="J698" s="6">
        <f>'Raw Data'!J698</f>
        <v>113.568</v>
      </c>
      <c r="K698" s="1">
        <f>VALUE(IFERROR(VALUE('Raw Data'!K698),CONCATENATE(MID('Raw Data'!K698,3,2),".","0",LEFT('Raw Data'!K698,1),".", RIGHT('Raw Data'!K698,4))))</f>
        <v>43466</v>
      </c>
      <c r="L698" s="2">
        <f>'Raw Data'!L698</f>
        <v>0.85138888888888886</v>
      </c>
      <c r="M698" t="s">
        <v>23</v>
      </c>
      <c r="N698">
        <f>VALUE(IF(AND(ISERR(FIND(".",'Raw Data'!N698)),LEN('Raw Data'!N698)=5), IF(YEAR('Raw Data'!N698)=2026,CONCATENATE(DAY('Raw Data'!N698),".",IF(LEN(MONTH('Raw Data'!N698))=2,MONTH('Raw Data'!N698),CONCATENATE("0",MONTH('Raw Data'!N698)))),CONCATENATE(MONTH('Raw Data'!N698),".",RIGHT(YEAR('Raw Data'!N698),2))),'Raw Data'!N698))</f>
        <v>108.16</v>
      </c>
      <c r="O698" s="6">
        <f t="shared" si="31"/>
        <v>4.7619047619047628</v>
      </c>
      <c r="P698" s="6">
        <f t="shared" si="32"/>
        <v>5.4080000000000013</v>
      </c>
      <c r="Q698">
        <f>VALUE(IF(AND(ISERR(FIND(".",'Raw Data'!Q698)),LEN('Raw Data'!Q698)=5), IF(YEAR('Raw Data'!Q698)=2026,CONCATENATE(DAY('Raw Data'!Q698),".",IF(LEN(MONTH('Raw Data'!Q698))=2,MONTH('Raw Data'!Q698),CONCATENATE(MONTH('Raw Data'!Q698)))),CONCATENATE(MONTH('Raw Data'!Q698),".",RIGHT(YEAR('Raw Data'!Q698),2))),'Raw Data'!Q698))</f>
        <v>6.9</v>
      </c>
    </row>
    <row r="699" spans="1:17">
      <c r="A699" t="s">
        <v>786</v>
      </c>
      <c r="B699" t="s">
        <v>34</v>
      </c>
      <c r="C699" t="s">
        <v>35</v>
      </c>
      <c r="D699" t="s">
        <v>27</v>
      </c>
      <c r="E699" t="s">
        <v>30</v>
      </c>
      <c r="F699" t="s">
        <v>32</v>
      </c>
      <c r="G699">
        <f>VALUE(IF(AND(ISERR(FIND(".",'Raw Data'!G699)),LEN('Raw Data'!G699)=5), IF(YEAR('Raw Data'!G699)=2026,CONCATENATE(DAY('Raw Data'!G699),".",IF(LEN(MONTH('Raw Data'!G699))=2,MONTH('Raw Data'!G699),CONCATENATE("0",MONTH('Raw Data'!G699)))),CONCATENATE(MONTH('Raw Data'!G699),".",RIGHT(YEAR('Raw Data'!G699),2))),'Raw Data'!G699))</f>
        <v>62.19</v>
      </c>
      <c r="H699">
        <f>'Raw Data'!H699</f>
        <v>4</v>
      </c>
      <c r="I699" s="6">
        <f t="shared" si="30"/>
        <v>12.437999999999988</v>
      </c>
      <c r="J699" s="6">
        <f>'Raw Data'!J699</f>
        <v>261.19799999999998</v>
      </c>
      <c r="K699" s="1">
        <f>VALUE(IFERROR(VALUE('Raw Data'!K699),CONCATENATE(MID('Raw Data'!K699,3,2),".","0",LEFT('Raw Data'!K699,1),".", RIGHT('Raw Data'!K699,4))))</f>
        <v>43617</v>
      </c>
      <c r="L699" s="2">
        <f>'Raw Data'!L699</f>
        <v>0.82361111111111107</v>
      </c>
      <c r="M699" t="s">
        <v>23</v>
      </c>
      <c r="N699">
        <f>VALUE(IF(AND(ISERR(FIND(".",'Raw Data'!N699)),LEN('Raw Data'!N699)=5), IF(YEAR('Raw Data'!N699)=2026,CONCATENATE(DAY('Raw Data'!N699),".",IF(LEN(MONTH('Raw Data'!N699))=2,MONTH('Raw Data'!N699),CONCATENATE("0",MONTH('Raw Data'!N699)))),CONCATENATE(MONTH('Raw Data'!N699),".",RIGHT(YEAR('Raw Data'!N699),2))),'Raw Data'!N699))</f>
        <v>248.76</v>
      </c>
      <c r="O699" s="6">
        <f t="shared" si="31"/>
        <v>4.7619047619047574</v>
      </c>
      <c r="P699" s="6">
        <f t="shared" si="32"/>
        <v>12.437999999999988</v>
      </c>
      <c r="Q699">
        <f>VALUE(IF(AND(ISERR(FIND(".",'Raw Data'!Q699)),LEN('Raw Data'!Q699)=5), IF(YEAR('Raw Data'!Q699)=2026,CONCATENATE(DAY('Raw Data'!Q699),".",IF(LEN(MONTH('Raw Data'!Q699))=2,MONTH('Raw Data'!Q699),CONCATENATE(MONTH('Raw Data'!Q699)))),CONCATENATE(MONTH('Raw Data'!Q699),".",RIGHT(YEAR('Raw Data'!Q699),2))),'Raw Data'!Q699))</f>
        <v>4.3</v>
      </c>
    </row>
    <row r="700" spans="1:17">
      <c r="A700" t="s">
        <v>787</v>
      </c>
      <c r="B700" t="s">
        <v>18</v>
      </c>
      <c r="C700" t="s">
        <v>19</v>
      </c>
      <c r="D700" t="s">
        <v>20</v>
      </c>
      <c r="E700" t="s">
        <v>30</v>
      </c>
      <c r="F700" t="s">
        <v>28</v>
      </c>
      <c r="G700">
        <f>VALUE(IF(AND(ISERR(FIND(".",'Raw Data'!G700)),LEN('Raw Data'!G700)=5), IF(YEAR('Raw Data'!G700)=2026,CONCATENATE(DAY('Raw Data'!G700),".",IF(LEN(MONTH('Raw Data'!G700))=2,MONTH('Raw Data'!G700),CONCATENATE("0",MONTH('Raw Data'!G700)))),CONCATENATE(MONTH('Raw Data'!G700),".",RIGHT(YEAR('Raw Data'!G700),2))),'Raw Data'!G700))</f>
        <v>69.58</v>
      </c>
      <c r="H700">
        <f>'Raw Data'!H700</f>
        <v>9</v>
      </c>
      <c r="I700" s="6">
        <f t="shared" si="30"/>
        <v>31.310999999999922</v>
      </c>
      <c r="J700" s="6">
        <f>'Raw Data'!J700</f>
        <v>657.53099999999995</v>
      </c>
      <c r="K700" s="1">
        <f>VALUE(IFERROR(VALUE('Raw Data'!K700),CONCATENATE(MID('Raw Data'!K700,3,2),".","0",LEFT('Raw Data'!K700,1),".", RIGHT('Raw Data'!K700,4))))</f>
        <v>43515</v>
      </c>
      <c r="L700" s="2">
        <f>'Raw Data'!L700</f>
        <v>0.81805555555555554</v>
      </c>
      <c r="M700" t="s">
        <v>33</v>
      </c>
      <c r="N700">
        <f>VALUE(IF(AND(ISERR(FIND(".",'Raw Data'!N700)),LEN('Raw Data'!N700)=5), IF(YEAR('Raw Data'!N700)=2026,CONCATENATE(DAY('Raw Data'!N700),".",IF(LEN(MONTH('Raw Data'!N700))=2,MONTH('Raw Data'!N700),CONCATENATE("0",MONTH('Raw Data'!N700)))),CONCATENATE(MONTH('Raw Data'!N700),".",RIGHT(YEAR('Raw Data'!N700),2))),'Raw Data'!N700))</f>
        <v>626.22</v>
      </c>
      <c r="O700" s="6">
        <f t="shared" si="31"/>
        <v>4.7619047619047503</v>
      </c>
      <c r="P700" s="6">
        <f t="shared" si="32"/>
        <v>31.310999999999922</v>
      </c>
      <c r="Q700">
        <f>VALUE(IF(AND(ISERR(FIND(".",'Raw Data'!Q700)),LEN('Raw Data'!Q700)=5), IF(YEAR('Raw Data'!Q700)=2026,CONCATENATE(DAY('Raw Data'!Q700),".",IF(LEN(MONTH('Raw Data'!Q700))=2,MONTH('Raw Data'!Q700),CONCATENATE(MONTH('Raw Data'!Q700)))),CONCATENATE(MONTH('Raw Data'!Q700),".",RIGHT(YEAR('Raw Data'!Q700),2))),'Raw Data'!Q700))</f>
        <v>7.8</v>
      </c>
    </row>
    <row r="701" spans="1:17">
      <c r="A701" t="s">
        <v>788</v>
      </c>
      <c r="B701" t="s">
        <v>25</v>
      </c>
      <c r="C701" t="s">
        <v>26</v>
      </c>
      <c r="D701" t="s">
        <v>27</v>
      </c>
      <c r="E701" t="s">
        <v>30</v>
      </c>
      <c r="F701" t="s">
        <v>32</v>
      </c>
      <c r="G701">
        <f>VALUE(IF(AND(ISERR(FIND(".",'Raw Data'!G701)),LEN('Raw Data'!G701)=5), IF(YEAR('Raw Data'!G701)=2026,CONCATENATE(DAY('Raw Data'!G701),".",IF(LEN(MONTH('Raw Data'!G701))=2,MONTH('Raw Data'!G701),CONCATENATE("0",MONTH('Raw Data'!G701)))),CONCATENATE(MONTH('Raw Data'!G701),".",RIGHT(YEAR('Raw Data'!G701),2))),'Raw Data'!G701))</f>
        <v>97.5</v>
      </c>
      <c r="H701">
        <f>'Raw Data'!H701</f>
        <v>10</v>
      </c>
      <c r="I701" s="6">
        <f t="shared" si="30"/>
        <v>48.75</v>
      </c>
      <c r="J701" s="6">
        <f>'Raw Data'!J701</f>
        <v>1023.75</v>
      </c>
      <c r="K701" s="1">
        <f>VALUE(IFERROR(VALUE('Raw Data'!K701),CONCATENATE(MID('Raw Data'!K701,3,2),".","0",LEFT('Raw Data'!K701,1),".", RIGHT('Raw Data'!K701,4))))</f>
        <v>43800</v>
      </c>
      <c r="L701" s="2">
        <f>'Raw Data'!L701</f>
        <v>0.6791666666666667</v>
      </c>
      <c r="M701" t="s">
        <v>23</v>
      </c>
      <c r="N701">
        <f>VALUE(IF(AND(ISERR(FIND(".",'Raw Data'!N701)),LEN('Raw Data'!N701)=5), IF(YEAR('Raw Data'!N701)=2026,CONCATENATE(DAY('Raw Data'!N701),".",IF(LEN(MONTH('Raw Data'!N701))=2,MONTH('Raw Data'!N701),CONCATENATE("0",MONTH('Raw Data'!N701)))),CONCATENATE(MONTH('Raw Data'!N701),".",RIGHT(YEAR('Raw Data'!N701),2))),'Raw Data'!N701))</f>
        <v>975</v>
      </c>
      <c r="O701" s="6">
        <f t="shared" si="31"/>
        <v>4.7619047619047619</v>
      </c>
      <c r="P701" s="6">
        <f t="shared" si="32"/>
        <v>48.75</v>
      </c>
      <c r="Q701">
        <f>VALUE(IF(AND(ISERR(FIND(".",'Raw Data'!Q701)),LEN('Raw Data'!Q701)=5), IF(YEAR('Raw Data'!Q701)=2026,CONCATENATE(DAY('Raw Data'!Q701),".",IF(LEN(MONTH('Raw Data'!Q701))=2,MONTH('Raw Data'!Q701),CONCATENATE(MONTH('Raw Data'!Q701)))),CONCATENATE(MONTH('Raw Data'!Q701),".",RIGHT(YEAR('Raw Data'!Q701),2))),'Raw Data'!Q701))</f>
        <v>8</v>
      </c>
    </row>
    <row r="702" spans="1:17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43</v>
      </c>
      <c r="G702">
        <f>VALUE(IF(AND(ISERR(FIND(".",'Raw Data'!G702)),LEN('Raw Data'!G702)=5), IF(YEAR('Raw Data'!G702)=2026,CONCATENATE(DAY('Raw Data'!G702),".",IF(LEN(MONTH('Raw Data'!G702))=2,MONTH('Raw Data'!G702),CONCATENATE("0",MONTH('Raw Data'!G702)))),CONCATENATE(MONTH('Raw Data'!G702),".",RIGHT(YEAR('Raw Data'!G702),2))),'Raw Data'!G702))</f>
        <v>60.41</v>
      </c>
      <c r="H702">
        <f>'Raw Data'!H702</f>
        <v>8</v>
      </c>
      <c r="I702" s="6">
        <f t="shared" si="30"/>
        <v>24.164000000000044</v>
      </c>
      <c r="J702" s="6">
        <f>'Raw Data'!J702</f>
        <v>507.44400000000002</v>
      </c>
      <c r="K702" s="1">
        <f>VALUE(IFERROR(VALUE('Raw Data'!K702),CONCATENATE(MID('Raw Data'!K702,3,2),".","0",LEFT('Raw Data'!K702,1),".", RIGHT('Raw Data'!K702,4))))</f>
        <v>43648</v>
      </c>
      <c r="L702" s="2">
        <f>'Raw Data'!L702</f>
        <v>0.51597222222222217</v>
      </c>
      <c r="M702" t="s">
        <v>23</v>
      </c>
      <c r="N702">
        <f>VALUE(IF(AND(ISERR(FIND(".",'Raw Data'!N702)),LEN('Raw Data'!N702)=5), IF(YEAR('Raw Data'!N702)=2026,CONCATENATE(DAY('Raw Data'!N702),".",IF(LEN(MONTH('Raw Data'!N702))=2,MONTH('Raw Data'!N702),CONCATENATE("0",MONTH('Raw Data'!N702)))),CONCATENATE(MONTH('Raw Data'!N702),".",RIGHT(YEAR('Raw Data'!N702),2))),'Raw Data'!N702))</f>
        <v>483.28</v>
      </c>
      <c r="O702" s="6">
        <f t="shared" si="31"/>
        <v>4.7619047619047707</v>
      </c>
      <c r="P702" s="6">
        <f t="shared" si="32"/>
        <v>24.164000000000044</v>
      </c>
      <c r="Q702">
        <f>VALUE(IF(AND(ISERR(FIND(".",'Raw Data'!Q702)),LEN('Raw Data'!Q702)=5), IF(YEAR('Raw Data'!Q702)=2026,CONCATENATE(DAY('Raw Data'!Q702),".",IF(LEN(MONTH('Raw Data'!Q702))=2,MONTH('Raw Data'!Q702),CONCATENATE(MONTH('Raw Data'!Q702)))),CONCATENATE(MONTH('Raw Data'!Q702),".",RIGHT(YEAR('Raw Data'!Q702),2))),'Raw Data'!Q702))</f>
        <v>9.6</v>
      </c>
    </row>
    <row r="703" spans="1:17">
      <c r="A703" t="s">
        <v>790</v>
      </c>
      <c r="B703" t="s">
        <v>34</v>
      </c>
      <c r="C703" t="s">
        <v>35</v>
      </c>
      <c r="D703" t="s">
        <v>27</v>
      </c>
      <c r="E703" t="s">
        <v>30</v>
      </c>
      <c r="F703" t="s">
        <v>40</v>
      </c>
      <c r="G703">
        <f>VALUE(IF(AND(ISERR(FIND(".",'Raw Data'!G703)),LEN('Raw Data'!G703)=5), IF(YEAR('Raw Data'!G703)=2026,CONCATENATE(DAY('Raw Data'!G703),".",IF(LEN(MONTH('Raw Data'!G703))=2,MONTH('Raw Data'!G703),CONCATENATE("0",MONTH('Raw Data'!G703)))),CONCATENATE(MONTH('Raw Data'!G703),".",RIGHT(YEAR('Raw Data'!G703),2))),'Raw Data'!G703))</f>
        <v>32.32</v>
      </c>
      <c r="H703">
        <f>'Raw Data'!H703</f>
        <v>3</v>
      </c>
      <c r="I703" s="6">
        <f t="shared" si="30"/>
        <v>4.847999999999999</v>
      </c>
      <c r="J703" s="6">
        <f>'Raw Data'!J703</f>
        <v>101.80800000000001</v>
      </c>
      <c r="K703" s="1">
        <f>VALUE(IFERROR(VALUE('Raw Data'!K703),CONCATENATE(MID('Raw Data'!K703,3,2),".","0",LEFT('Raw Data'!K703,1),".", RIGHT('Raw Data'!K703,4))))</f>
        <v>43551</v>
      </c>
      <c r="L703" s="2">
        <f>'Raw Data'!L703</f>
        <v>0.7993055555555556</v>
      </c>
      <c r="M703" t="s">
        <v>33</v>
      </c>
      <c r="N703">
        <f>VALUE(IF(AND(ISERR(FIND(".",'Raw Data'!N703)),LEN('Raw Data'!N703)=5), IF(YEAR('Raw Data'!N703)=2026,CONCATENATE(DAY('Raw Data'!N703),".",IF(LEN(MONTH('Raw Data'!N703))=2,MONTH('Raw Data'!N703),CONCATENATE("0",MONTH('Raw Data'!N703)))),CONCATENATE(MONTH('Raw Data'!N703),".",RIGHT(YEAR('Raw Data'!N703),2))),'Raw Data'!N703))</f>
        <v>96.96</v>
      </c>
      <c r="O703" s="6">
        <f t="shared" si="31"/>
        <v>4.7619047619047752</v>
      </c>
      <c r="P703" s="6">
        <f t="shared" si="32"/>
        <v>4.8480000000000132</v>
      </c>
      <c r="Q703">
        <f>VALUE(IF(AND(ISERR(FIND(".",'Raw Data'!Q703)),LEN('Raw Data'!Q703)=5), IF(YEAR('Raw Data'!Q703)=2026,CONCATENATE(DAY('Raw Data'!Q703),".",IF(LEN(MONTH('Raw Data'!Q703))=2,MONTH('Raw Data'!Q703),CONCATENATE(MONTH('Raw Data'!Q703)))),CONCATENATE(MONTH('Raw Data'!Q703),".",RIGHT(YEAR('Raw Data'!Q703),2))),'Raw Data'!Q703))</f>
        <v>4.3</v>
      </c>
    </row>
    <row r="704" spans="1:17">
      <c r="A704" t="s">
        <v>791</v>
      </c>
      <c r="B704" t="s">
        <v>34</v>
      </c>
      <c r="C704" t="s">
        <v>35</v>
      </c>
      <c r="D704" t="s">
        <v>20</v>
      </c>
      <c r="E704" t="s">
        <v>21</v>
      </c>
      <c r="F704" t="s">
        <v>43</v>
      </c>
      <c r="G704">
        <f>VALUE(IF(AND(ISERR(FIND(".",'Raw Data'!G704)),LEN('Raw Data'!G704)=5), IF(YEAR('Raw Data'!G704)=2026,CONCATENATE(DAY('Raw Data'!G704),".",IF(LEN(MONTH('Raw Data'!G704))=2,MONTH('Raw Data'!G704),CONCATENATE("0",MONTH('Raw Data'!G704)))),CONCATENATE(MONTH('Raw Data'!G704),".",RIGHT(YEAR('Raw Data'!G704),2))),'Raw Data'!G704))</f>
        <v>19.77</v>
      </c>
      <c r="H704">
        <f>'Raw Data'!H704</f>
        <v>10</v>
      </c>
      <c r="I704" s="6">
        <f t="shared" si="30"/>
        <v>9.8850000000000193</v>
      </c>
      <c r="J704" s="6">
        <f>'Raw Data'!J704</f>
        <v>207.58500000000001</v>
      </c>
      <c r="K704" s="1">
        <f>VALUE(IFERROR(VALUE('Raw Data'!K704),CONCATENATE(MID('Raw Data'!K704,3,2),".","0",LEFT('Raw Data'!K704,1),".", RIGHT('Raw Data'!K704,4))))</f>
        <v>43523</v>
      </c>
      <c r="L704" s="2">
        <f>'Raw Data'!L704</f>
        <v>0.7895833333333333</v>
      </c>
      <c r="M704" t="s">
        <v>33</v>
      </c>
      <c r="N704">
        <f>VALUE(IF(AND(ISERR(FIND(".",'Raw Data'!N704)),LEN('Raw Data'!N704)=5), IF(YEAR('Raw Data'!N704)=2026,CONCATENATE(DAY('Raw Data'!N704),".",IF(LEN(MONTH('Raw Data'!N704))=2,MONTH('Raw Data'!N704),CONCATENATE("0",MONTH('Raw Data'!N704)))),CONCATENATE(MONTH('Raw Data'!N704),".",RIGHT(YEAR('Raw Data'!N704),2))),'Raw Data'!N704))</f>
        <v>197.7</v>
      </c>
      <c r="O704" s="6">
        <f t="shared" si="31"/>
        <v>4.7619047619047716</v>
      </c>
      <c r="P704" s="6">
        <f t="shared" si="32"/>
        <v>9.8850000000000193</v>
      </c>
      <c r="Q704">
        <f>VALUE(IF(AND(ISERR(FIND(".",'Raw Data'!Q704)),LEN('Raw Data'!Q704)=5), IF(YEAR('Raw Data'!Q704)=2026,CONCATENATE(DAY('Raw Data'!Q704),".",IF(LEN(MONTH('Raw Data'!Q704))=2,MONTH('Raw Data'!Q704),CONCATENATE(MONTH('Raw Data'!Q704)))),CONCATENATE(MONTH('Raw Data'!Q704),".",RIGHT(YEAR('Raw Data'!Q704),2))),'Raw Data'!Q704))</f>
        <v>5</v>
      </c>
    </row>
    <row r="705" spans="1:17">
      <c r="A705" t="s">
        <v>792</v>
      </c>
      <c r="B705" t="s">
        <v>34</v>
      </c>
      <c r="C705" t="s">
        <v>35</v>
      </c>
      <c r="D705" t="s">
        <v>20</v>
      </c>
      <c r="E705" t="s">
        <v>30</v>
      </c>
      <c r="F705" t="s">
        <v>22</v>
      </c>
      <c r="G705">
        <f>VALUE(IF(AND(ISERR(FIND(".",'Raw Data'!G705)),LEN('Raw Data'!G705)=5), IF(YEAR('Raw Data'!G705)=2026,CONCATENATE(DAY('Raw Data'!G705),".",IF(LEN(MONTH('Raw Data'!G705))=2,MONTH('Raw Data'!G705),CONCATENATE("0",MONTH('Raw Data'!G705)))),CONCATENATE(MONTH('Raw Data'!G705),".",RIGHT(YEAR('Raw Data'!G705),2))),'Raw Data'!G705))</f>
        <v>80.47</v>
      </c>
      <c r="H705">
        <f>'Raw Data'!H705</f>
        <v>9</v>
      </c>
      <c r="I705" s="6">
        <f t="shared" si="30"/>
        <v>36.211500000000001</v>
      </c>
      <c r="J705" s="6">
        <f>'Raw Data'!J705</f>
        <v>760.44150000000002</v>
      </c>
      <c r="K705" s="1">
        <f>VALUE(IFERROR(VALUE('Raw Data'!K705),CONCATENATE(MID('Raw Data'!K705,3,2),".","0",LEFT('Raw Data'!K705,1),".", RIGHT('Raw Data'!K705,4))))</f>
        <v>43617</v>
      </c>
      <c r="L705" s="2">
        <f>'Raw Data'!L705</f>
        <v>0.47083333333333338</v>
      </c>
      <c r="M705" t="s">
        <v>29</v>
      </c>
      <c r="N705">
        <f>VALUE(IF(AND(ISERR(FIND(".",'Raw Data'!N705)),LEN('Raw Data'!N705)=5), IF(YEAR('Raw Data'!N705)=2026,CONCATENATE(DAY('Raw Data'!N705),".",IF(LEN(MONTH('Raw Data'!N705))=2,MONTH('Raw Data'!N705),CONCATENATE("0",MONTH('Raw Data'!N705)))),CONCATENATE(MONTH('Raw Data'!N705),".",RIGHT(YEAR('Raw Data'!N705),2))),'Raw Data'!N705))</f>
        <v>724.23</v>
      </c>
      <c r="O705" s="6">
        <f t="shared" si="31"/>
        <v>4.7619047619047619</v>
      </c>
      <c r="P705" s="6">
        <f t="shared" si="32"/>
        <v>36.211500000000001</v>
      </c>
      <c r="Q705">
        <f>VALUE(IF(AND(ISERR(FIND(".",'Raw Data'!Q705)),LEN('Raw Data'!Q705)=5), IF(YEAR('Raw Data'!Q705)=2026,CONCATENATE(DAY('Raw Data'!Q705),".",IF(LEN(MONTH('Raw Data'!Q705))=2,MONTH('Raw Data'!Q705),CONCATENATE(MONTH('Raw Data'!Q705)))),CONCATENATE(MONTH('Raw Data'!Q705),".",RIGHT(YEAR('Raw Data'!Q705),2))),'Raw Data'!Q705))</f>
        <v>9.1999999999999993</v>
      </c>
    </row>
    <row r="706" spans="1:17">
      <c r="A706" t="s">
        <v>793</v>
      </c>
      <c r="B706" t="s">
        <v>34</v>
      </c>
      <c r="C706" t="s">
        <v>35</v>
      </c>
      <c r="D706" t="s">
        <v>20</v>
      </c>
      <c r="E706" t="s">
        <v>21</v>
      </c>
      <c r="F706" t="s">
        <v>32</v>
      </c>
      <c r="G706">
        <f>VALUE(IF(AND(ISERR(FIND(".",'Raw Data'!G706)),LEN('Raw Data'!G706)=5), IF(YEAR('Raw Data'!G706)=2026,CONCATENATE(DAY('Raw Data'!G706),".",IF(LEN(MONTH('Raw Data'!G706))=2,MONTH('Raw Data'!G706),CONCATENATE("0",MONTH('Raw Data'!G706)))),CONCATENATE(MONTH('Raw Data'!G706),".",RIGHT(YEAR('Raw Data'!G706),2))),'Raw Data'!G706))</f>
        <v>88.39</v>
      </c>
      <c r="H706">
        <f>'Raw Data'!H706</f>
        <v>9</v>
      </c>
      <c r="I706" s="6">
        <f t="shared" si="30"/>
        <v>39.775499999999965</v>
      </c>
      <c r="J706" s="6">
        <f>'Raw Data'!J706</f>
        <v>835.28549999999996</v>
      </c>
      <c r="K706" s="1">
        <f>VALUE(IFERROR(VALUE('Raw Data'!K706),CONCATENATE(MID('Raw Data'!K706,3,2),".","0",LEFT('Raw Data'!K706,1),".", RIGHT('Raw Data'!K706,4))))</f>
        <v>43499</v>
      </c>
      <c r="L706" s="2">
        <f>'Raw Data'!L706</f>
        <v>0.52777777777777779</v>
      </c>
      <c r="M706" t="s">
        <v>29</v>
      </c>
      <c r="N706">
        <f>VALUE(IF(AND(ISERR(FIND(".",'Raw Data'!N706)),LEN('Raw Data'!N706)=5), IF(YEAR('Raw Data'!N706)=2026,CONCATENATE(DAY('Raw Data'!N706),".",IF(LEN(MONTH('Raw Data'!N706))=2,MONTH('Raw Data'!N706),CONCATENATE("0",MONTH('Raw Data'!N706)))),CONCATENATE(MONTH('Raw Data'!N706),".",RIGHT(YEAR('Raw Data'!N706),2))),'Raw Data'!N706))</f>
        <v>795.51</v>
      </c>
      <c r="O706" s="6">
        <f t="shared" si="31"/>
        <v>4.7619047619047583</v>
      </c>
      <c r="P706" s="6">
        <f t="shared" si="32"/>
        <v>39.775499999999965</v>
      </c>
      <c r="Q706">
        <f>VALUE(IF(AND(ISERR(FIND(".",'Raw Data'!Q706)),LEN('Raw Data'!Q706)=5), IF(YEAR('Raw Data'!Q706)=2026,CONCATENATE(DAY('Raw Data'!Q706),".",IF(LEN(MONTH('Raw Data'!Q706))=2,MONTH('Raw Data'!Q706),CONCATENATE(MONTH('Raw Data'!Q706)))),CONCATENATE(MONTH('Raw Data'!Q706),".",RIGHT(YEAR('Raw Data'!Q706),2))),'Raw Data'!Q706))</f>
        <v>6.3</v>
      </c>
    </row>
    <row r="707" spans="1:17">
      <c r="A707" t="s">
        <v>794</v>
      </c>
      <c r="B707" t="s">
        <v>34</v>
      </c>
      <c r="C707" t="s">
        <v>35</v>
      </c>
      <c r="D707" t="s">
        <v>27</v>
      </c>
      <c r="E707" t="s">
        <v>30</v>
      </c>
      <c r="F707" t="s">
        <v>22</v>
      </c>
      <c r="G707">
        <f>VALUE(IF(AND(ISERR(FIND(".",'Raw Data'!G707)),LEN('Raw Data'!G707)=5), IF(YEAR('Raw Data'!G707)=2026,CONCATENATE(DAY('Raw Data'!G707),".",IF(LEN(MONTH('Raw Data'!G707))=2,MONTH('Raw Data'!G707),CONCATENATE("0",MONTH('Raw Data'!G707)))),CONCATENATE(MONTH('Raw Data'!G707),".",RIGHT(YEAR('Raw Data'!G707),2))),'Raw Data'!G707))</f>
        <v>71.77</v>
      </c>
      <c r="H707">
        <f>'Raw Data'!H707</f>
        <v>7</v>
      </c>
      <c r="I707" s="6">
        <f t="shared" ref="I707:I770" si="33">J707-G707*H707</f>
        <v>25.119500000000016</v>
      </c>
      <c r="J707" s="6">
        <f>'Raw Data'!J707</f>
        <v>527.5095</v>
      </c>
      <c r="K707" s="1">
        <f>VALUE(IFERROR(VALUE('Raw Data'!K707),CONCATENATE(MID('Raw Data'!K707,3,2),".","0",LEFT('Raw Data'!K707,1),".", RIGHT('Raw Data'!K707,4))))</f>
        <v>43553</v>
      </c>
      <c r="L707" s="2">
        <f>'Raw Data'!L707</f>
        <v>0.58750000000000002</v>
      </c>
      <c r="M707" t="s">
        <v>29</v>
      </c>
      <c r="N707">
        <f>VALUE(IF(AND(ISERR(FIND(".",'Raw Data'!N707)),LEN('Raw Data'!N707)=5), IF(YEAR('Raw Data'!N707)=2026,CONCATENATE(DAY('Raw Data'!N707),".",IF(LEN(MONTH('Raw Data'!N707))=2,MONTH('Raw Data'!N707),CONCATENATE("0",MONTH('Raw Data'!N707)))),CONCATENATE(MONTH('Raw Data'!N707),".",RIGHT(YEAR('Raw Data'!N707),2))),'Raw Data'!N707))</f>
        <v>502.39</v>
      </c>
      <c r="O707" s="6">
        <f t="shared" ref="O707:O770" si="34">P707/J707*100</f>
        <v>4.7619047619047654</v>
      </c>
      <c r="P707" s="6">
        <f t="shared" ref="P707:P770" si="35">J707-N707</f>
        <v>25.119500000000016</v>
      </c>
      <c r="Q707">
        <f>VALUE(IF(AND(ISERR(FIND(".",'Raw Data'!Q707)),LEN('Raw Data'!Q707)=5), IF(YEAR('Raw Data'!Q707)=2026,CONCATENATE(DAY('Raw Data'!Q707),".",IF(LEN(MONTH('Raw Data'!Q707))=2,MONTH('Raw Data'!Q707),CONCATENATE(MONTH('Raw Data'!Q707)))),CONCATENATE(MONTH('Raw Data'!Q707),".",RIGHT(YEAR('Raw Data'!Q707),2))),'Raw Data'!Q707))</f>
        <v>8.9</v>
      </c>
    </row>
    <row r="708" spans="1:17">
      <c r="A708" t="s">
        <v>795</v>
      </c>
      <c r="B708" t="s">
        <v>34</v>
      </c>
      <c r="C708" t="s">
        <v>35</v>
      </c>
      <c r="D708" t="s">
        <v>27</v>
      </c>
      <c r="E708" t="s">
        <v>21</v>
      </c>
      <c r="F708" t="s">
        <v>28</v>
      </c>
      <c r="G708">
        <f>VALUE(IF(AND(ISERR(FIND(".",'Raw Data'!G708)),LEN('Raw Data'!G708)=5), IF(YEAR('Raw Data'!G708)=2026,CONCATENATE(DAY('Raw Data'!G708),".",IF(LEN(MONTH('Raw Data'!G708))=2,MONTH('Raw Data'!G708),CONCATENATE("0",MONTH('Raw Data'!G708)))),CONCATENATE(MONTH('Raw Data'!G708),".",RIGHT(YEAR('Raw Data'!G708),2))),'Raw Data'!G708))</f>
        <v>43</v>
      </c>
      <c r="H708">
        <f>'Raw Data'!H708</f>
        <v>4</v>
      </c>
      <c r="I708" s="6">
        <f t="shared" si="33"/>
        <v>8.5999999999999943</v>
      </c>
      <c r="J708" s="6">
        <f>'Raw Data'!J708</f>
        <v>180.6</v>
      </c>
      <c r="K708" s="1">
        <f>VALUE(IFERROR(VALUE('Raw Data'!K708),CONCATENATE(MID('Raw Data'!K708,3,2),".","0",LEFT('Raw Data'!K708,1),".", RIGHT('Raw Data'!K708,4))))</f>
        <v>43496</v>
      </c>
      <c r="L708" s="2">
        <f>'Raw Data'!L708</f>
        <v>0.8666666666666667</v>
      </c>
      <c r="M708" t="s">
        <v>23</v>
      </c>
      <c r="N708">
        <f>VALUE(IF(AND(ISERR(FIND(".",'Raw Data'!N708)),LEN('Raw Data'!N708)=5), IF(YEAR('Raw Data'!N708)=2026,CONCATENATE(DAY('Raw Data'!N708),".",IF(LEN(MONTH('Raw Data'!N708))=2,MONTH('Raw Data'!N708),CONCATENATE("0",MONTH('Raw Data'!N708)))),CONCATENATE(MONTH('Raw Data'!N708),".",RIGHT(YEAR('Raw Data'!N708),2))),'Raw Data'!N708))</f>
        <v>172</v>
      </c>
      <c r="O708" s="6">
        <f t="shared" si="34"/>
        <v>4.7619047619047592</v>
      </c>
      <c r="P708" s="6">
        <f t="shared" si="35"/>
        <v>8.5999999999999943</v>
      </c>
      <c r="Q708">
        <f>VALUE(IF(AND(ISERR(FIND(".",'Raw Data'!Q708)),LEN('Raw Data'!Q708)=5), IF(YEAR('Raw Data'!Q708)=2026,CONCATENATE(DAY('Raw Data'!Q708),".",IF(LEN(MONTH('Raw Data'!Q708))=2,MONTH('Raw Data'!Q708),CONCATENATE(MONTH('Raw Data'!Q708)))),CONCATENATE(MONTH('Raw Data'!Q708),".",RIGHT(YEAR('Raw Data'!Q708),2))),'Raw Data'!Q708))</f>
        <v>7.6</v>
      </c>
    </row>
    <row r="709" spans="1:17">
      <c r="A709" t="s">
        <v>796</v>
      </c>
      <c r="B709" t="s">
        <v>25</v>
      </c>
      <c r="C709" t="s">
        <v>26</v>
      </c>
      <c r="D709" t="s">
        <v>20</v>
      </c>
      <c r="E709" t="s">
        <v>30</v>
      </c>
      <c r="F709" t="s">
        <v>40</v>
      </c>
      <c r="G709">
        <f>VALUE(IF(AND(ISERR(FIND(".",'Raw Data'!G709)),LEN('Raw Data'!G709)=5), IF(YEAR('Raw Data'!G709)=2026,CONCATENATE(DAY('Raw Data'!G709),".",IF(LEN(MONTH('Raw Data'!G709))=2,MONTH('Raw Data'!G709),CONCATENATE("0",MONTH('Raw Data'!G709)))),CONCATENATE(MONTH('Raw Data'!G709),".",RIGHT(YEAR('Raw Data'!G709),2))),'Raw Data'!G709))</f>
        <v>68.98</v>
      </c>
      <c r="H709">
        <f>'Raw Data'!H709</f>
        <v>1</v>
      </c>
      <c r="I709" s="6">
        <f t="shared" si="33"/>
        <v>3.4489999999999981</v>
      </c>
      <c r="J709" s="6">
        <f>'Raw Data'!J709</f>
        <v>72.429000000000002</v>
      </c>
      <c r="K709" s="1">
        <f>VALUE(IFERROR(VALUE('Raw Data'!K709),CONCATENATE(MID('Raw Data'!K709,3,2),".","0",LEFT('Raw Data'!K709,1),".", RIGHT('Raw Data'!K709,4))))</f>
        <v>43486</v>
      </c>
      <c r="L709" s="2">
        <f>'Raw Data'!L709</f>
        <v>0.84236111111111101</v>
      </c>
      <c r="M709" t="s">
        <v>29</v>
      </c>
      <c r="N709">
        <f>VALUE(IF(AND(ISERR(FIND(".",'Raw Data'!N709)),LEN('Raw Data'!N709)=5), IF(YEAR('Raw Data'!N709)=2026,CONCATENATE(DAY('Raw Data'!N709),".",IF(LEN(MONTH('Raw Data'!N709))=2,MONTH('Raw Data'!N709),CONCATENATE("0",MONTH('Raw Data'!N709)))),CONCATENATE(MONTH('Raw Data'!N709),".",RIGHT(YEAR('Raw Data'!N709),2))),'Raw Data'!N709))</f>
        <v>68.98</v>
      </c>
      <c r="O709" s="6">
        <f t="shared" si="34"/>
        <v>4.7619047619047592</v>
      </c>
      <c r="P709" s="6">
        <f t="shared" si="35"/>
        <v>3.4489999999999981</v>
      </c>
      <c r="Q709">
        <f>VALUE(IF(AND(ISERR(FIND(".",'Raw Data'!Q709)),LEN('Raw Data'!Q709)=5), IF(YEAR('Raw Data'!Q709)=2026,CONCATENATE(DAY('Raw Data'!Q709),".",IF(LEN(MONTH('Raw Data'!Q709))=2,MONTH('Raw Data'!Q709),CONCATENATE(MONTH('Raw Data'!Q709)))),CONCATENATE(MONTH('Raw Data'!Q709),".",RIGHT(YEAR('Raw Data'!Q709),2))),'Raw Data'!Q709))</f>
        <v>4.8</v>
      </c>
    </row>
    <row r="710" spans="1:17">
      <c r="A710" t="s">
        <v>797</v>
      </c>
      <c r="B710" t="s">
        <v>25</v>
      </c>
      <c r="C710" t="s">
        <v>26</v>
      </c>
      <c r="D710" t="s">
        <v>27</v>
      </c>
      <c r="E710" t="s">
        <v>30</v>
      </c>
      <c r="F710" t="s">
        <v>43</v>
      </c>
      <c r="G710">
        <f>VALUE(IF(AND(ISERR(FIND(".",'Raw Data'!G710)),LEN('Raw Data'!G710)=5), IF(YEAR('Raw Data'!G710)=2026,CONCATENATE(DAY('Raw Data'!G710),".",IF(LEN(MONTH('Raw Data'!G710))=2,MONTH('Raw Data'!G710),CONCATENATE("0",MONTH('Raw Data'!G710)))),CONCATENATE(MONTH('Raw Data'!G710),".",RIGHT(YEAR('Raw Data'!G710),2))),'Raw Data'!G710))</f>
        <v>15.62</v>
      </c>
      <c r="H710">
        <f>'Raw Data'!H710</f>
        <v>8</v>
      </c>
      <c r="I710" s="6">
        <f t="shared" si="33"/>
        <v>6.2480000000000047</v>
      </c>
      <c r="J710" s="6">
        <f>'Raw Data'!J710</f>
        <v>131.208</v>
      </c>
      <c r="K710" s="1">
        <f>VALUE(IFERROR(VALUE('Raw Data'!K710),CONCATENATE(MID('Raw Data'!K710,3,2),".","0",LEFT('Raw Data'!K710,1),".", RIGHT('Raw Data'!K710,4))))</f>
        <v>43485</v>
      </c>
      <c r="L710" s="2">
        <f>'Raw Data'!L710</f>
        <v>0.85902777777777783</v>
      </c>
      <c r="M710" t="s">
        <v>23</v>
      </c>
      <c r="N710">
        <f>VALUE(IF(AND(ISERR(FIND(".",'Raw Data'!N710)),LEN('Raw Data'!N710)=5), IF(YEAR('Raw Data'!N710)=2026,CONCATENATE(DAY('Raw Data'!N710),".",IF(LEN(MONTH('Raw Data'!N710))=2,MONTH('Raw Data'!N710),CONCATENATE("0",MONTH('Raw Data'!N710)))),CONCATENATE(MONTH('Raw Data'!N710),".",RIGHT(YEAR('Raw Data'!N710),2))),'Raw Data'!N710))</f>
        <v>124.96</v>
      </c>
      <c r="O710" s="6">
        <f t="shared" si="34"/>
        <v>4.7619047619047654</v>
      </c>
      <c r="P710" s="6">
        <f t="shared" si="35"/>
        <v>6.2480000000000047</v>
      </c>
      <c r="Q710">
        <f>VALUE(IF(AND(ISERR(FIND(".",'Raw Data'!Q710)),LEN('Raw Data'!Q710)=5), IF(YEAR('Raw Data'!Q710)=2026,CONCATENATE(DAY('Raw Data'!Q710),".",IF(LEN(MONTH('Raw Data'!Q710))=2,MONTH('Raw Data'!Q710),CONCATENATE(MONTH('Raw Data'!Q710)))),CONCATENATE(MONTH('Raw Data'!Q710),".",RIGHT(YEAR('Raw Data'!Q710),2))),'Raw Data'!Q710))</f>
        <v>9.1</v>
      </c>
    </row>
    <row r="711" spans="1:17">
      <c r="A711" t="s">
        <v>798</v>
      </c>
      <c r="B711" t="s">
        <v>18</v>
      </c>
      <c r="C711" t="s">
        <v>19</v>
      </c>
      <c r="D711" t="s">
        <v>27</v>
      </c>
      <c r="E711" t="s">
        <v>30</v>
      </c>
      <c r="F711" t="s">
        <v>38</v>
      </c>
      <c r="G711">
        <f>VALUE(IF(AND(ISERR(FIND(".",'Raw Data'!G711)),LEN('Raw Data'!G711)=5), IF(YEAR('Raw Data'!G711)=2026,CONCATENATE(DAY('Raw Data'!G711),".",IF(LEN(MONTH('Raw Data'!G711))=2,MONTH('Raw Data'!G711),CONCATENATE("0",MONTH('Raw Data'!G711)))),CONCATENATE(MONTH('Raw Data'!G711),".",RIGHT(YEAR('Raw Data'!G711),2))),'Raw Data'!G711))</f>
        <v>25.07</v>
      </c>
      <c r="H711">
        <f>'Raw Data'!H711</f>
        <v>3</v>
      </c>
      <c r="I711" s="6">
        <f t="shared" si="33"/>
        <v>5.7449999999999903</v>
      </c>
      <c r="J711" s="6">
        <f>'Raw Data'!J711</f>
        <v>80.954999999999998</v>
      </c>
      <c r="K711" s="1">
        <f>VALUE(IFERROR(VALUE('Raw Data'!K711),CONCATENATE(MID('Raw Data'!K711,3,2),".","0",LEFT('Raw Data'!K711,1),".", RIGHT('Raw Data'!K711,4))))</f>
        <v>43482</v>
      </c>
      <c r="L711" s="2">
        <f>'Raw Data'!L711</f>
        <v>0.74930555555555556</v>
      </c>
      <c r="M711" t="s">
        <v>23</v>
      </c>
      <c r="N711">
        <f>VALUE(IF(AND(ISERR(FIND(".",'Raw Data'!N711)),LEN('Raw Data'!N711)=5), IF(YEAR('Raw Data'!N711)=2026,CONCATENATE(DAY('Raw Data'!N711),".",IF(LEN(MONTH('Raw Data'!N711))=2,MONTH('Raw Data'!N711),CONCATENATE("0",MONTH('Raw Data'!N711)))),CONCATENATE(MONTH('Raw Data'!N711),".",RIGHT(YEAR('Raw Data'!N711),2))),'Raw Data'!N711))</f>
        <v>77.099999999999994</v>
      </c>
      <c r="O711" s="6">
        <f t="shared" si="34"/>
        <v>4.7619047619047672</v>
      </c>
      <c r="P711" s="6">
        <f t="shared" si="35"/>
        <v>3.855000000000004</v>
      </c>
      <c r="Q711">
        <f>VALUE(IF(AND(ISERR(FIND(".",'Raw Data'!Q711)),LEN('Raw Data'!Q711)=5), IF(YEAR('Raw Data'!Q711)=2026,CONCATENATE(DAY('Raw Data'!Q711),".",IF(LEN(MONTH('Raw Data'!Q711))=2,MONTH('Raw Data'!Q711),CONCATENATE(MONTH('Raw Data'!Q711)))),CONCATENATE(MONTH('Raw Data'!Q711),".",RIGHT(YEAR('Raw Data'!Q711),2))),'Raw Data'!Q711))</f>
        <v>6.1</v>
      </c>
    </row>
    <row r="712" spans="1:17">
      <c r="A712" t="s">
        <v>799</v>
      </c>
      <c r="B712" t="s">
        <v>18</v>
      </c>
      <c r="C712" t="s">
        <v>19</v>
      </c>
      <c r="D712" t="s">
        <v>20</v>
      </c>
      <c r="E712" t="s">
        <v>30</v>
      </c>
      <c r="F712" t="s">
        <v>40</v>
      </c>
      <c r="G712">
        <f>VALUE(IF(AND(ISERR(FIND(".",'Raw Data'!G712)),LEN('Raw Data'!G712)=5), IF(YEAR('Raw Data'!G712)=2026,CONCATENATE(DAY('Raw Data'!G712),".",IF(LEN(MONTH('Raw Data'!G712))=2,MONTH('Raw Data'!G712),CONCATENATE("0",MONTH('Raw Data'!G712)))),CONCATENATE(MONTH('Raw Data'!G712),".",RIGHT(YEAR('Raw Data'!G712),2))),'Raw Data'!G712))</f>
        <v>80.62</v>
      </c>
      <c r="H712">
        <f>'Raw Data'!H712</f>
        <v>6</v>
      </c>
      <c r="I712" s="6">
        <f t="shared" si="33"/>
        <v>24.185999999999979</v>
      </c>
      <c r="J712" s="6">
        <f>'Raw Data'!J712</f>
        <v>507.90600000000001</v>
      </c>
      <c r="K712" s="1">
        <f>VALUE(IFERROR(VALUE('Raw Data'!K712),CONCATENATE(MID('Raw Data'!K712,3,2),".","0",LEFT('Raw Data'!K712,1),".", RIGHT('Raw Data'!K712,4))))</f>
        <v>43524</v>
      </c>
      <c r="L712" s="2">
        <f>'Raw Data'!L712</f>
        <v>0.84583333333333333</v>
      </c>
      <c r="M712" t="s">
        <v>29</v>
      </c>
      <c r="N712">
        <f>VALUE(IF(AND(ISERR(FIND(".",'Raw Data'!N712)),LEN('Raw Data'!N712)=5), IF(YEAR('Raw Data'!N712)=2026,CONCATENATE(DAY('Raw Data'!N712),".",IF(LEN(MONTH('Raw Data'!N712))=2,MONTH('Raw Data'!N712),CONCATENATE("0",MONTH('Raw Data'!N712)))),CONCATENATE(MONTH('Raw Data'!N712),".",RIGHT(YEAR('Raw Data'!N712),2))),'Raw Data'!N712))</f>
        <v>483.72</v>
      </c>
      <c r="O712" s="6">
        <f t="shared" si="34"/>
        <v>4.7619047619047574</v>
      </c>
      <c r="P712" s="6">
        <f t="shared" si="35"/>
        <v>24.185999999999979</v>
      </c>
      <c r="Q712">
        <f>VALUE(IF(AND(ISERR(FIND(".",'Raw Data'!Q712)),LEN('Raw Data'!Q712)=5), IF(YEAR('Raw Data'!Q712)=2026,CONCATENATE(DAY('Raw Data'!Q712),".",IF(LEN(MONTH('Raw Data'!Q712))=2,MONTH('Raw Data'!Q712),CONCATENATE(MONTH('Raw Data'!Q712)))),CONCATENATE(MONTH('Raw Data'!Q712),".",RIGHT(YEAR('Raw Data'!Q712),2))),'Raw Data'!Q712))</f>
        <v>9.1</v>
      </c>
    </row>
    <row r="713" spans="1:17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f>VALUE(IF(AND(ISERR(FIND(".",'Raw Data'!G713)),LEN('Raw Data'!G713)=5), IF(YEAR('Raw Data'!G713)=2026,CONCATENATE(DAY('Raw Data'!G713),".",IF(LEN(MONTH('Raw Data'!G713))=2,MONTH('Raw Data'!G713),CONCATENATE("0",MONTH('Raw Data'!G713)))),CONCATENATE(MONTH('Raw Data'!G713),".",RIGHT(YEAR('Raw Data'!G713),2))),'Raw Data'!G713))</f>
        <v>75.53</v>
      </c>
      <c r="H713">
        <f>'Raw Data'!H713</f>
        <v>4</v>
      </c>
      <c r="I713" s="6">
        <f t="shared" si="33"/>
        <v>15.105999999999995</v>
      </c>
      <c r="J713" s="6">
        <f>'Raw Data'!J713</f>
        <v>317.226</v>
      </c>
      <c r="K713" s="1">
        <f>VALUE(IFERROR(VALUE('Raw Data'!K713),CONCATENATE(MID('Raw Data'!K713,3,2),".","0",LEFT('Raw Data'!K713,1),".", RIGHT('Raw Data'!K713,4))))</f>
        <v>43543</v>
      </c>
      <c r="L713" s="2">
        <f>'Raw Data'!L713</f>
        <v>0.66111111111111109</v>
      </c>
      <c r="M713" t="s">
        <v>23</v>
      </c>
      <c r="N713">
        <f>VALUE(IF(AND(ISERR(FIND(".",'Raw Data'!N713)),LEN('Raw Data'!N713)=5), IF(YEAR('Raw Data'!N713)=2026,CONCATENATE(DAY('Raw Data'!N713),".",IF(LEN(MONTH('Raw Data'!N713))=2,MONTH('Raw Data'!N713),CONCATENATE("0",MONTH('Raw Data'!N713)))),CONCATENATE(MONTH('Raw Data'!N713),".",RIGHT(YEAR('Raw Data'!N713),2))),'Raw Data'!N713))</f>
        <v>302.12</v>
      </c>
      <c r="O713" s="6">
        <f t="shared" si="34"/>
        <v>4.7619047619047601</v>
      </c>
      <c r="P713" s="6">
        <f t="shared" si="35"/>
        <v>15.105999999999995</v>
      </c>
      <c r="Q713">
        <f>VALUE(IF(AND(ISERR(FIND(".",'Raw Data'!Q713)),LEN('Raw Data'!Q713)=5), IF(YEAR('Raw Data'!Q713)=2026,CONCATENATE(DAY('Raw Data'!Q713),".",IF(LEN(MONTH('Raw Data'!Q713))=2,MONTH('Raw Data'!Q713),CONCATENATE(MONTH('Raw Data'!Q713)))),CONCATENATE(MONTH('Raw Data'!Q713),".",RIGHT(YEAR('Raw Data'!Q713),2))),'Raw Data'!Q713))</f>
        <v>8.3000000000000007</v>
      </c>
    </row>
    <row r="714" spans="1:17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f>VALUE(IF(AND(ISERR(FIND(".",'Raw Data'!G714)),LEN('Raw Data'!G714)=5), IF(YEAR('Raw Data'!G714)=2026,CONCATENATE(DAY('Raw Data'!G714),".",IF(LEN(MONTH('Raw Data'!G714))=2,MONTH('Raw Data'!G714),CONCATENATE("0",MONTH('Raw Data'!G714)))),CONCATENATE(MONTH('Raw Data'!G714),".",RIGHT(YEAR('Raw Data'!G714),2))),'Raw Data'!G714))</f>
        <v>77.63</v>
      </c>
      <c r="H714">
        <f>'Raw Data'!H714</f>
        <v>9</v>
      </c>
      <c r="I714" s="6">
        <f t="shared" si="33"/>
        <v>34.933500000000095</v>
      </c>
      <c r="J714" s="6">
        <f>'Raw Data'!J714</f>
        <v>733.60350000000005</v>
      </c>
      <c r="K714" s="1">
        <f>VALUE(IFERROR(VALUE('Raw Data'!K714),CONCATENATE(MID('Raw Data'!K714,3,2),".","0",LEFT('Raw Data'!K714,1),".", RIGHT('Raw Data'!K714,4))))</f>
        <v>43515</v>
      </c>
      <c r="L714" s="2">
        <f>'Raw Data'!L714</f>
        <v>0.63472222222222219</v>
      </c>
      <c r="M714" t="s">
        <v>23</v>
      </c>
      <c r="N714">
        <f>VALUE(IF(AND(ISERR(FIND(".",'Raw Data'!N714)),LEN('Raw Data'!N714)=5), IF(YEAR('Raw Data'!N714)=2026,CONCATENATE(DAY('Raw Data'!N714),".",IF(LEN(MONTH('Raw Data'!N714))=2,MONTH('Raw Data'!N714),CONCATENATE("0",MONTH('Raw Data'!N714)))),CONCATENATE(MONTH('Raw Data'!N714),".",RIGHT(YEAR('Raw Data'!N714),2))),'Raw Data'!N714))</f>
        <v>698.67</v>
      </c>
      <c r="O714" s="6">
        <f t="shared" si="34"/>
        <v>4.7619047619047743</v>
      </c>
      <c r="P714" s="6">
        <f t="shared" si="35"/>
        <v>34.933500000000095</v>
      </c>
      <c r="Q714">
        <f>VALUE(IF(AND(ISERR(FIND(".",'Raw Data'!Q714)),LEN('Raw Data'!Q714)=5), IF(YEAR('Raw Data'!Q714)=2026,CONCATENATE(DAY('Raw Data'!Q714),".",IF(LEN(MONTH('Raw Data'!Q714))=2,MONTH('Raw Data'!Q714),CONCATENATE(MONTH('Raw Data'!Q714)))),CONCATENATE(MONTH('Raw Data'!Q714),".",RIGHT(YEAR('Raw Data'!Q714),2))),'Raw Data'!Q714))</f>
        <v>7.2</v>
      </c>
    </row>
    <row r="715" spans="1:17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f>VALUE(IF(AND(ISERR(FIND(".",'Raw Data'!G715)),LEN('Raw Data'!G715)=5), IF(YEAR('Raw Data'!G715)=2026,CONCATENATE(DAY('Raw Data'!G715),".",IF(LEN(MONTH('Raw Data'!G715))=2,MONTH('Raw Data'!G715),CONCATENATE("0",MONTH('Raw Data'!G715)))),CONCATENATE(MONTH('Raw Data'!G715),".",RIGHT(YEAR('Raw Data'!G715),2))),'Raw Data'!G715))</f>
        <v>13.85</v>
      </c>
      <c r="H715">
        <f>'Raw Data'!H715</f>
        <v>9</v>
      </c>
      <c r="I715" s="6">
        <f t="shared" si="33"/>
        <v>6.2325000000000017</v>
      </c>
      <c r="J715" s="6">
        <f>'Raw Data'!J715</f>
        <v>130.88249999999999</v>
      </c>
      <c r="K715" s="1">
        <f>VALUE(IFERROR(VALUE('Raw Data'!K715),CONCATENATE(MID('Raw Data'!K715,3,2),".","0",LEFT('Raw Data'!K715,1),".", RIGHT('Raw Data'!K715,4))))</f>
        <v>43557</v>
      </c>
      <c r="L715" s="2">
        <f>'Raw Data'!L715</f>
        <v>0.53472222222222221</v>
      </c>
      <c r="M715" t="s">
        <v>23</v>
      </c>
      <c r="N715">
        <f>VALUE(IF(AND(ISERR(FIND(".",'Raw Data'!N715)),LEN('Raw Data'!N715)=5), IF(YEAR('Raw Data'!N715)=2026,CONCATENATE(DAY('Raw Data'!N715),".",IF(LEN(MONTH('Raw Data'!N715))=2,MONTH('Raw Data'!N715),CONCATENATE("0",MONTH('Raw Data'!N715)))),CONCATENATE(MONTH('Raw Data'!N715),".",RIGHT(YEAR('Raw Data'!N715),2))),'Raw Data'!N715))</f>
        <v>124.65</v>
      </c>
      <c r="O715" s="6">
        <f t="shared" si="34"/>
        <v>4.761904761904753</v>
      </c>
      <c r="P715" s="6">
        <f t="shared" si="35"/>
        <v>6.2324999999999875</v>
      </c>
      <c r="Q715">
        <f>VALUE(IF(AND(ISERR(FIND(".",'Raw Data'!Q715)),LEN('Raw Data'!Q715)=5), IF(YEAR('Raw Data'!Q715)=2026,CONCATENATE(DAY('Raw Data'!Q715),".",IF(LEN(MONTH('Raw Data'!Q715))=2,MONTH('Raw Data'!Q715),CONCATENATE(MONTH('Raw Data'!Q715)))),CONCATENATE(MONTH('Raw Data'!Q715),".",RIGHT(YEAR('Raw Data'!Q715),2))),'Raw Data'!Q715))</f>
        <v>6</v>
      </c>
    </row>
    <row r="716" spans="1:17">
      <c r="A716" t="s">
        <v>803</v>
      </c>
      <c r="B716" t="s">
        <v>25</v>
      </c>
      <c r="C716" t="s">
        <v>26</v>
      </c>
      <c r="D716" t="s">
        <v>20</v>
      </c>
      <c r="E716" t="s">
        <v>30</v>
      </c>
      <c r="F716" t="s">
        <v>43</v>
      </c>
      <c r="G716">
        <f>VALUE(IF(AND(ISERR(FIND(".",'Raw Data'!G716)),LEN('Raw Data'!G716)=5), IF(YEAR('Raw Data'!G716)=2026,CONCATENATE(DAY('Raw Data'!G716),".",IF(LEN(MONTH('Raw Data'!G716))=2,MONTH('Raw Data'!G716),CONCATENATE("0",MONTH('Raw Data'!G716)))),CONCATENATE(MONTH('Raw Data'!G716),".",RIGHT(YEAR('Raw Data'!G716),2))),'Raw Data'!G716))</f>
        <v>98.7</v>
      </c>
      <c r="H716">
        <f>'Raw Data'!H716</f>
        <v>8</v>
      </c>
      <c r="I716" s="6">
        <f t="shared" si="33"/>
        <v>39.480000000000018</v>
      </c>
      <c r="J716" s="6">
        <f>'Raw Data'!J716</f>
        <v>829.08</v>
      </c>
      <c r="K716" s="1">
        <f>VALUE(IFERROR(VALUE('Raw Data'!K716),CONCATENATE(MID('Raw Data'!K716,3,2),".","0",LEFT('Raw Data'!K716,1),".", RIGHT('Raw Data'!K716,4))))</f>
        <v>43496</v>
      </c>
      <c r="L716" s="2">
        <f>'Raw Data'!L716</f>
        <v>0.44166666666666665</v>
      </c>
      <c r="M716" t="s">
        <v>23</v>
      </c>
      <c r="N716">
        <f>VALUE(IF(AND(ISERR(FIND(".",'Raw Data'!N716)),LEN('Raw Data'!N716)=5), IF(YEAR('Raw Data'!N716)=2026,CONCATENATE(DAY('Raw Data'!N716),".",IF(LEN(MONTH('Raw Data'!N716))=2,MONTH('Raw Data'!N716),CONCATENATE("0",MONTH('Raw Data'!N716)))),CONCATENATE(MONTH('Raw Data'!N716),".",RIGHT(YEAR('Raw Data'!N716),2))),'Raw Data'!N716))</f>
        <v>789.6</v>
      </c>
      <c r="O716" s="6">
        <f t="shared" si="34"/>
        <v>4.7619047619047636</v>
      </c>
      <c r="P716" s="6">
        <f t="shared" si="35"/>
        <v>39.480000000000018</v>
      </c>
      <c r="Q716">
        <f>VALUE(IF(AND(ISERR(FIND(".",'Raw Data'!Q716)),LEN('Raw Data'!Q716)=5), IF(YEAR('Raw Data'!Q716)=2026,CONCATENATE(DAY('Raw Data'!Q716),".",IF(LEN(MONTH('Raw Data'!Q716))=2,MONTH('Raw Data'!Q716),CONCATENATE(MONTH('Raw Data'!Q716)))),CONCATENATE(MONTH('Raw Data'!Q716),".",RIGHT(YEAR('Raw Data'!Q716),2))),'Raw Data'!Q716))</f>
        <v>8.5</v>
      </c>
    </row>
    <row r="717" spans="1:17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f>VALUE(IF(AND(ISERR(FIND(".",'Raw Data'!G717)),LEN('Raw Data'!G717)=5), IF(YEAR('Raw Data'!G717)=2026,CONCATENATE(DAY('Raw Data'!G717),".",IF(LEN(MONTH('Raw Data'!G717))=2,MONTH('Raw Data'!G717),CONCATENATE("0",MONTH('Raw Data'!G717)))),CONCATENATE(MONTH('Raw Data'!G717),".",RIGHT(YEAR('Raw Data'!G717),2))),'Raw Data'!G717))</f>
        <v>35.68</v>
      </c>
      <c r="H717">
        <f>'Raw Data'!H717</f>
        <v>5</v>
      </c>
      <c r="I717" s="6">
        <f t="shared" si="33"/>
        <v>8.9199999999999875</v>
      </c>
      <c r="J717" s="6">
        <f>'Raw Data'!J717</f>
        <v>187.32</v>
      </c>
      <c r="K717" s="1">
        <f>VALUE(IFERROR(VALUE('Raw Data'!K717),CONCATENATE(MID('Raw Data'!K717,3,2),".","0",LEFT('Raw Data'!K717,1),".", RIGHT('Raw Data'!K717,4))))</f>
        <v>43618</v>
      </c>
      <c r="L717" s="2">
        <f>'Raw Data'!L717</f>
        <v>0.7729166666666667</v>
      </c>
      <c r="M717" t="s">
        <v>33</v>
      </c>
      <c r="N717">
        <f>VALUE(IF(AND(ISERR(FIND(".",'Raw Data'!N717)),LEN('Raw Data'!N717)=5), IF(YEAR('Raw Data'!N717)=2026,CONCATENATE(DAY('Raw Data'!N717),".",IF(LEN(MONTH('Raw Data'!N717))=2,MONTH('Raw Data'!N717),CONCATENATE("0",MONTH('Raw Data'!N717)))),CONCATENATE(MONTH('Raw Data'!N717),".",RIGHT(YEAR('Raw Data'!N717),2))),'Raw Data'!N717))</f>
        <v>178.4</v>
      </c>
      <c r="O717" s="6">
        <f t="shared" si="34"/>
        <v>4.7619047619047556</v>
      </c>
      <c r="P717" s="6">
        <f t="shared" si="35"/>
        <v>8.9199999999999875</v>
      </c>
      <c r="Q717">
        <f>VALUE(IF(AND(ISERR(FIND(".",'Raw Data'!Q717)),LEN('Raw Data'!Q717)=5), IF(YEAR('Raw Data'!Q717)=2026,CONCATENATE(DAY('Raw Data'!Q717),".",IF(LEN(MONTH('Raw Data'!Q717))=2,MONTH('Raw Data'!Q717),CONCATENATE(MONTH('Raw Data'!Q717)))),CONCATENATE(MONTH('Raw Data'!Q717),".",RIGHT(YEAR('Raw Data'!Q717),2))),'Raw Data'!Q717))</f>
        <v>6.6</v>
      </c>
    </row>
    <row r="718" spans="1:17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43</v>
      </c>
      <c r="G718">
        <f>VALUE(IF(AND(ISERR(FIND(".",'Raw Data'!G718)),LEN('Raw Data'!G718)=5), IF(YEAR('Raw Data'!G718)=2026,CONCATENATE(DAY('Raw Data'!G718),".",IF(LEN(MONTH('Raw Data'!G718))=2,MONTH('Raw Data'!G718),CONCATENATE("0",MONTH('Raw Data'!G718)))),CONCATENATE(MONTH('Raw Data'!G718),".",RIGHT(YEAR('Raw Data'!G718),2))),'Raw Data'!G718))</f>
        <v>71.459999999999994</v>
      </c>
      <c r="H718">
        <f>'Raw Data'!H718</f>
        <v>7</v>
      </c>
      <c r="I718" s="6">
        <f t="shared" si="33"/>
        <v>25.011000000000024</v>
      </c>
      <c r="J718" s="6">
        <f>'Raw Data'!J718</f>
        <v>525.23099999999999</v>
      </c>
      <c r="K718" s="1">
        <f>VALUE(IFERROR(VALUE('Raw Data'!K718),CONCATENATE(MID('Raw Data'!K718,3,2),".","0",LEFT('Raw Data'!K718,1),".", RIGHT('Raw Data'!K718,4))))</f>
        <v>43552</v>
      </c>
      <c r="L718" s="2">
        <f>'Raw Data'!L718</f>
        <v>0.67083333333333339</v>
      </c>
      <c r="M718" t="s">
        <v>23</v>
      </c>
      <c r="N718">
        <f>VALUE(IF(AND(ISERR(FIND(".",'Raw Data'!N718)),LEN('Raw Data'!N718)=5), IF(YEAR('Raw Data'!N718)=2026,CONCATENATE(DAY('Raw Data'!N718),".",IF(LEN(MONTH('Raw Data'!N718))=2,MONTH('Raw Data'!N718),CONCATENATE("0",MONTH('Raw Data'!N718)))),CONCATENATE(MONTH('Raw Data'!N718),".",RIGHT(YEAR('Raw Data'!N718),2))),'Raw Data'!N718))</f>
        <v>500.22</v>
      </c>
      <c r="O718" s="6">
        <f t="shared" si="34"/>
        <v>4.7619047619047556</v>
      </c>
      <c r="P718" s="6">
        <f t="shared" si="35"/>
        <v>25.010999999999967</v>
      </c>
      <c r="Q718">
        <f>VALUE(IF(AND(ISERR(FIND(".",'Raw Data'!Q718)),LEN('Raw Data'!Q718)=5), IF(YEAR('Raw Data'!Q718)=2026,CONCATENATE(DAY('Raw Data'!Q718),".",IF(LEN(MONTH('Raw Data'!Q718))=2,MONTH('Raw Data'!Q718),CONCATENATE(MONTH('Raw Data'!Q718)))),CONCATENATE(MONTH('Raw Data'!Q718),".",RIGHT(YEAR('Raw Data'!Q718),2))),'Raw Data'!Q718))</f>
        <v>4.5</v>
      </c>
    </row>
    <row r="719" spans="1:17">
      <c r="A719" t="s">
        <v>806</v>
      </c>
      <c r="B719" t="s">
        <v>18</v>
      </c>
      <c r="C719" t="s">
        <v>19</v>
      </c>
      <c r="D719" t="s">
        <v>20</v>
      </c>
      <c r="E719" t="s">
        <v>30</v>
      </c>
      <c r="F719" t="s">
        <v>28</v>
      </c>
      <c r="G719">
        <f>VALUE(IF(AND(ISERR(FIND(".",'Raw Data'!G719)),LEN('Raw Data'!G719)=5), IF(YEAR('Raw Data'!G719)=2026,CONCATENATE(DAY('Raw Data'!G719),".",IF(LEN(MONTH('Raw Data'!G719))=2,MONTH('Raw Data'!G719),CONCATENATE("0",MONTH('Raw Data'!G719)))),CONCATENATE(MONTH('Raw Data'!G719),".",RIGHT(YEAR('Raw Data'!G719),2))),'Raw Data'!G719))</f>
        <v>11.94</v>
      </c>
      <c r="H719">
        <f>'Raw Data'!H719</f>
        <v>3</v>
      </c>
      <c r="I719" s="6">
        <f t="shared" si="33"/>
        <v>1.7909999999999968</v>
      </c>
      <c r="J719" s="6">
        <f>'Raw Data'!J719</f>
        <v>37.610999999999997</v>
      </c>
      <c r="K719" s="1">
        <f>VALUE(IFERROR(VALUE('Raw Data'!K719),CONCATENATE(MID('Raw Data'!K719,3,2),".","0",LEFT('Raw Data'!K719,1),".", RIGHT('Raw Data'!K719,4))))</f>
        <v>43484</v>
      </c>
      <c r="L719" s="2">
        <f>'Raw Data'!L719</f>
        <v>0.53263888888888888</v>
      </c>
      <c r="M719" t="s">
        <v>33</v>
      </c>
      <c r="N719">
        <f>VALUE(IF(AND(ISERR(FIND(".",'Raw Data'!N719)),LEN('Raw Data'!N719)=5), IF(YEAR('Raw Data'!N719)=2026,CONCATENATE(DAY('Raw Data'!N719),".",IF(LEN(MONTH('Raw Data'!N719))=2,MONTH('Raw Data'!N719),CONCATENATE("0",MONTH('Raw Data'!N719)))),CONCATENATE(MONTH('Raw Data'!N719),".",RIGHT(YEAR('Raw Data'!N719),2))),'Raw Data'!N719))</f>
        <v>35.82</v>
      </c>
      <c r="O719" s="6">
        <f t="shared" si="34"/>
        <v>4.7619047619047539</v>
      </c>
      <c r="P719" s="6">
        <f t="shared" si="35"/>
        <v>1.7909999999999968</v>
      </c>
      <c r="Q719">
        <f>VALUE(IF(AND(ISERR(FIND(".",'Raw Data'!Q719)),LEN('Raw Data'!Q719)=5), IF(YEAR('Raw Data'!Q719)=2026,CONCATENATE(DAY('Raw Data'!Q719),".",IF(LEN(MONTH('Raw Data'!Q719))=2,MONTH('Raw Data'!Q719),CONCATENATE(MONTH('Raw Data'!Q719)))),CONCATENATE(MONTH('Raw Data'!Q719),".",RIGHT(YEAR('Raw Data'!Q719),2))),'Raw Data'!Q719))</f>
        <v>8.1</v>
      </c>
    </row>
    <row r="720" spans="1:17">
      <c r="A720" t="s">
        <v>807</v>
      </c>
      <c r="B720" t="s">
        <v>18</v>
      </c>
      <c r="C720" t="s">
        <v>19</v>
      </c>
      <c r="D720" t="s">
        <v>27</v>
      </c>
      <c r="E720" t="s">
        <v>30</v>
      </c>
      <c r="F720" t="s">
        <v>43</v>
      </c>
      <c r="G720">
        <f>VALUE(IF(AND(ISERR(FIND(".",'Raw Data'!G720)),LEN('Raw Data'!G720)=5), IF(YEAR('Raw Data'!G720)=2026,CONCATENATE(DAY('Raw Data'!G720),".",IF(LEN(MONTH('Raw Data'!G720))=2,MONTH('Raw Data'!G720),CONCATENATE("0",MONTH('Raw Data'!G720)))),CONCATENATE(MONTH('Raw Data'!G720),".",RIGHT(YEAR('Raw Data'!G720),2))),'Raw Data'!G720))</f>
        <v>45.38</v>
      </c>
      <c r="H720">
        <f>'Raw Data'!H720</f>
        <v>3</v>
      </c>
      <c r="I720" s="6">
        <f t="shared" si="33"/>
        <v>6.8069999999999879</v>
      </c>
      <c r="J720" s="6">
        <f>'Raw Data'!J720</f>
        <v>142.947</v>
      </c>
      <c r="K720" s="1">
        <f>VALUE(IFERROR(VALUE('Raw Data'!K720),CONCATENATE(MID('Raw Data'!K720,3,2),".","0",LEFT('Raw Data'!K720,1),".", RIGHT('Raw Data'!K720,4))))</f>
        <v>43513</v>
      </c>
      <c r="L720" s="2">
        <f>'Raw Data'!L720</f>
        <v>0.56527777777777777</v>
      </c>
      <c r="M720" t="s">
        <v>33</v>
      </c>
      <c r="N720">
        <f>VALUE(IF(AND(ISERR(FIND(".",'Raw Data'!N720)),LEN('Raw Data'!N720)=5), IF(YEAR('Raw Data'!N720)=2026,CONCATENATE(DAY('Raw Data'!N720),".",IF(LEN(MONTH('Raw Data'!N720))=2,MONTH('Raw Data'!N720),CONCATENATE("0",MONTH('Raw Data'!N720)))),CONCATENATE(MONTH('Raw Data'!N720),".",RIGHT(YEAR('Raw Data'!N720),2))),'Raw Data'!N720))</f>
        <v>136.13999999999999</v>
      </c>
      <c r="O720" s="6">
        <f t="shared" si="34"/>
        <v>4.7619047619047734</v>
      </c>
      <c r="P720" s="6">
        <f t="shared" si="35"/>
        <v>6.8070000000000164</v>
      </c>
      <c r="Q720">
        <f>VALUE(IF(AND(ISERR(FIND(".",'Raw Data'!Q720)),LEN('Raw Data'!Q720)=5), IF(YEAR('Raw Data'!Q720)=2026,CONCATENATE(DAY('Raw Data'!Q720),".",IF(LEN(MONTH('Raw Data'!Q720))=2,MONTH('Raw Data'!Q720),CONCATENATE(MONTH('Raw Data'!Q720)))),CONCATENATE(MONTH('Raw Data'!Q720),".",RIGHT(YEAR('Raw Data'!Q720),2))),'Raw Data'!Q720))</f>
        <v>7.2</v>
      </c>
    </row>
    <row r="721" spans="1:17">
      <c r="A721" t="s">
        <v>808</v>
      </c>
      <c r="B721" t="s">
        <v>34</v>
      </c>
      <c r="C721" t="s">
        <v>35</v>
      </c>
      <c r="D721" t="s">
        <v>20</v>
      </c>
      <c r="E721" t="s">
        <v>21</v>
      </c>
      <c r="F721" t="s">
        <v>43</v>
      </c>
      <c r="G721">
        <f>VALUE(IF(AND(ISERR(FIND(".",'Raw Data'!G721)),LEN('Raw Data'!G721)=5), IF(YEAR('Raw Data'!G721)=2026,CONCATENATE(DAY('Raw Data'!G721),".",IF(LEN(MONTH('Raw Data'!G721))=2,MONTH('Raw Data'!G721),CONCATENATE("0",MONTH('Raw Data'!G721)))),CONCATENATE(MONTH('Raw Data'!G721),".",RIGHT(YEAR('Raw Data'!G721),2))),'Raw Data'!G721))</f>
        <v>17.48</v>
      </c>
      <c r="H721">
        <f>'Raw Data'!H721</f>
        <v>6</v>
      </c>
      <c r="I721" s="6">
        <f t="shared" si="33"/>
        <v>5.2439999999999998</v>
      </c>
      <c r="J721" s="6">
        <f>'Raw Data'!J721</f>
        <v>110.124</v>
      </c>
      <c r="K721" s="1">
        <f>VALUE(IFERROR(VALUE('Raw Data'!K721),CONCATENATE(MID('Raw Data'!K721,3,2),".","0",LEFT('Raw Data'!K721,1),".", RIGHT('Raw Data'!K721,4))))</f>
        <v>43483</v>
      </c>
      <c r="L721" s="2">
        <f>'Raw Data'!L721</f>
        <v>0.62777777777777777</v>
      </c>
      <c r="M721" t="s">
        <v>33</v>
      </c>
      <c r="N721">
        <f>VALUE(IF(AND(ISERR(FIND(".",'Raw Data'!N721)),LEN('Raw Data'!N721)=5), IF(YEAR('Raw Data'!N721)=2026,CONCATENATE(DAY('Raw Data'!N721),".",IF(LEN(MONTH('Raw Data'!N721))=2,MONTH('Raw Data'!N721),CONCATENATE("0",MONTH('Raw Data'!N721)))),CONCATENATE(MONTH('Raw Data'!N721),".",RIGHT(YEAR('Raw Data'!N721),2))),'Raw Data'!N721))</f>
        <v>104.88</v>
      </c>
      <c r="O721" s="6">
        <f t="shared" si="34"/>
        <v>4.7619047619047619</v>
      </c>
      <c r="P721" s="6">
        <f t="shared" si="35"/>
        <v>5.2439999999999998</v>
      </c>
      <c r="Q721">
        <f>VALUE(IF(AND(ISERR(FIND(".",'Raw Data'!Q721)),LEN('Raw Data'!Q721)=5), IF(YEAR('Raw Data'!Q721)=2026,CONCATENATE(DAY('Raw Data'!Q721),".",IF(LEN(MONTH('Raw Data'!Q721))=2,MONTH('Raw Data'!Q721),CONCATENATE(MONTH('Raw Data'!Q721)))),CONCATENATE(MONTH('Raw Data'!Q721),".",RIGHT(YEAR('Raw Data'!Q721),2))),'Raw Data'!Q721))</f>
        <v>6.1</v>
      </c>
    </row>
    <row r="722" spans="1:17">
      <c r="A722" t="s">
        <v>809</v>
      </c>
      <c r="B722" t="s">
        <v>34</v>
      </c>
      <c r="C722" t="s">
        <v>35</v>
      </c>
      <c r="D722" t="s">
        <v>27</v>
      </c>
      <c r="E722" t="s">
        <v>21</v>
      </c>
      <c r="F722" t="s">
        <v>43</v>
      </c>
      <c r="G722">
        <f>VALUE(IF(AND(ISERR(FIND(".",'Raw Data'!G722)),LEN('Raw Data'!G722)=5), IF(YEAR('Raw Data'!G722)=2026,CONCATENATE(DAY('Raw Data'!G722),".",IF(LEN(MONTH('Raw Data'!G722))=2,MONTH('Raw Data'!G722),CONCATENATE("0",MONTH('Raw Data'!G722)))),CONCATENATE(MONTH('Raw Data'!G722),".",RIGHT(YEAR('Raw Data'!G722),2))),'Raw Data'!G722))</f>
        <v>25.56</v>
      </c>
      <c r="H722">
        <f>'Raw Data'!H722</f>
        <v>7</v>
      </c>
      <c r="I722" s="6">
        <f t="shared" si="33"/>
        <v>8.9460000000000264</v>
      </c>
      <c r="J722" s="6">
        <f>'Raw Data'!J722</f>
        <v>187.86600000000001</v>
      </c>
      <c r="K722" s="1">
        <f>VALUE(IFERROR(VALUE('Raw Data'!K722),CONCATENATE(MID('Raw Data'!K722,3,2),".","0",LEFT('Raw Data'!K722,1),".", RIGHT('Raw Data'!K722,4))))</f>
        <v>43498</v>
      </c>
      <c r="L722" s="2">
        <f>'Raw Data'!L722</f>
        <v>0.86249999999999993</v>
      </c>
      <c r="M722" t="s">
        <v>29</v>
      </c>
      <c r="N722">
        <f>VALUE(IF(AND(ISERR(FIND(".",'Raw Data'!N722)),LEN('Raw Data'!N722)=5), IF(YEAR('Raw Data'!N722)=2026,CONCATENATE(DAY('Raw Data'!N722),".",IF(LEN(MONTH('Raw Data'!N722))=2,MONTH('Raw Data'!N722),CONCATENATE("0",MONTH('Raw Data'!N722)))),CONCATENATE(MONTH('Raw Data'!N722),".",RIGHT(YEAR('Raw Data'!N722),2))),'Raw Data'!N722))</f>
        <v>178.92</v>
      </c>
      <c r="O722" s="6">
        <f t="shared" si="34"/>
        <v>4.7619047619047752</v>
      </c>
      <c r="P722" s="6">
        <f t="shared" si="35"/>
        <v>8.9460000000000264</v>
      </c>
      <c r="Q722">
        <f>VALUE(IF(AND(ISERR(FIND(".",'Raw Data'!Q722)),LEN('Raw Data'!Q722)=5), IF(YEAR('Raw Data'!Q722)=2026,CONCATENATE(DAY('Raw Data'!Q722),".",IF(LEN(MONTH('Raw Data'!Q722))=2,MONTH('Raw Data'!Q722),CONCATENATE(MONTH('Raw Data'!Q722)))),CONCATENATE(MONTH('Raw Data'!Q722),".",RIGHT(YEAR('Raw Data'!Q722),2))),'Raw Data'!Q722))</f>
        <v>7.1</v>
      </c>
    </row>
    <row r="723" spans="1:17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38</v>
      </c>
      <c r="G723">
        <f>VALUE(IF(AND(ISERR(FIND(".",'Raw Data'!G723)),LEN('Raw Data'!G723)=5), IF(YEAR('Raw Data'!G723)=2026,CONCATENATE(DAY('Raw Data'!G723),".",IF(LEN(MONTH('Raw Data'!G723))=2,MONTH('Raw Data'!G723),CONCATENATE("0",MONTH('Raw Data'!G723)))),CONCATENATE(MONTH('Raw Data'!G723),".",RIGHT(YEAR('Raw Data'!G723),2))),'Raw Data'!G723))</f>
        <v>90.63</v>
      </c>
      <c r="H723">
        <f>'Raw Data'!H723</f>
        <v>9</v>
      </c>
      <c r="I723" s="6">
        <f t="shared" si="33"/>
        <v>40.783500000000004</v>
      </c>
      <c r="J723" s="6">
        <f>'Raw Data'!J723</f>
        <v>856.45349999999996</v>
      </c>
      <c r="K723" s="1">
        <f>VALUE(IFERROR(VALUE('Raw Data'!K723),CONCATENATE(MID('Raw Data'!K723,3,2),".","0",LEFT('Raw Data'!K723,1),".", RIGHT('Raw Data'!K723,4))))</f>
        <v>43483</v>
      </c>
      <c r="L723" s="2">
        <f>'Raw Data'!L723</f>
        <v>0.64444444444444449</v>
      </c>
      <c r="M723" t="s">
        <v>29</v>
      </c>
      <c r="N723">
        <f>VALUE(IF(AND(ISERR(FIND(".",'Raw Data'!N723)),LEN('Raw Data'!N723)=5), IF(YEAR('Raw Data'!N723)=2026,CONCATENATE(DAY('Raw Data'!N723),".",IF(LEN(MONTH('Raw Data'!N723))=2,MONTH('Raw Data'!N723),CONCATENATE("0",MONTH('Raw Data'!N723)))),CONCATENATE(MONTH('Raw Data'!N723),".",RIGHT(YEAR('Raw Data'!N723),2))),'Raw Data'!N723))</f>
        <v>815.67</v>
      </c>
      <c r="O723" s="6">
        <f t="shared" si="34"/>
        <v>4.7619047619047628</v>
      </c>
      <c r="P723" s="6">
        <f t="shared" si="35"/>
        <v>40.783500000000004</v>
      </c>
      <c r="Q723">
        <f>VALUE(IF(AND(ISERR(FIND(".",'Raw Data'!Q723)),LEN('Raw Data'!Q723)=5), IF(YEAR('Raw Data'!Q723)=2026,CONCATENATE(DAY('Raw Data'!Q723),".",IF(LEN(MONTH('Raw Data'!Q723))=2,MONTH('Raw Data'!Q723),CONCATENATE(MONTH('Raw Data'!Q723)))),CONCATENATE(MONTH('Raw Data'!Q723),".",RIGHT(YEAR('Raw Data'!Q723),2))),'Raw Data'!Q723))</f>
        <v>5.0999999999999996</v>
      </c>
    </row>
    <row r="724" spans="1:17">
      <c r="A724" t="s">
        <v>811</v>
      </c>
      <c r="B724" t="s">
        <v>34</v>
      </c>
      <c r="C724" t="s">
        <v>35</v>
      </c>
      <c r="D724" t="s">
        <v>27</v>
      </c>
      <c r="E724" t="s">
        <v>30</v>
      </c>
      <c r="F724" t="s">
        <v>32</v>
      </c>
      <c r="G724">
        <f>VALUE(IF(AND(ISERR(FIND(".",'Raw Data'!G724)),LEN('Raw Data'!G724)=5), IF(YEAR('Raw Data'!G724)=2026,CONCATENATE(DAY('Raw Data'!G724),".",IF(LEN(MONTH('Raw Data'!G724))=2,MONTH('Raw Data'!G724),CONCATENATE("0",MONTH('Raw Data'!G724)))),CONCATENATE(MONTH('Raw Data'!G724),".",RIGHT(YEAR('Raw Data'!G724),2))),'Raw Data'!G724))</f>
        <v>44.12</v>
      </c>
      <c r="H724">
        <f>'Raw Data'!H724</f>
        <v>3</v>
      </c>
      <c r="I724" s="6">
        <f t="shared" si="33"/>
        <v>6.6180000000000234</v>
      </c>
      <c r="J724" s="6">
        <f>'Raw Data'!J724</f>
        <v>138.97800000000001</v>
      </c>
      <c r="K724" s="1">
        <f>VALUE(IFERROR(VALUE('Raw Data'!K724),CONCATENATE(MID('Raw Data'!K724,3,2),".","0",LEFT('Raw Data'!K724,1),".", RIGHT('Raw Data'!K724,4))))</f>
        <v>43542</v>
      </c>
      <c r="L724" s="2">
        <f>'Raw Data'!L724</f>
        <v>0.57291666666666663</v>
      </c>
      <c r="M724" t="s">
        <v>33</v>
      </c>
      <c r="N724">
        <f>VALUE(IF(AND(ISERR(FIND(".",'Raw Data'!N724)),LEN('Raw Data'!N724)=5), IF(YEAR('Raw Data'!N724)=2026,CONCATENATE(DAY('Raw Data'!N724),".",IF(LEN(MONTH('Raw Data'!N724))=2,MONTH('Raw Data'!N724),CONCATENATE("0",MONTH('Raw Data'!N724)))),CONCATENATE(MONTH('Raw Data'!N724),".",RIGHT(YEAR('Raw Data'!N724),2))),'Raw Data'!N724))</f>
        <v>132.36000000000001</v>
      </c>
      <c r="O724" s="6">
        <f t="shared" si="34"/>
        <v>4.7619047619047583</v>
      </c>
      <c r="P724" s="6">
        <f t="shared" si="35"/>
        <v>6.617999999999995</v>
      </c>
      <c r="Q724">
        <f>VALUE(IF(AND(ISERR(FIND(".",'Raw Data'!Q724)),LEN('Raw Data'!Q724)=5), IF(YEAR('Raw Data'!Q724)=2026,CONCATENATE(DAY('Raw Data'!Q724),".",IF(LEN(MONTH('Raw Data'!Q724))=2,MONTH('Raw Data'!Q724),CONCATENATE(MONTH('Raw Data'!Q724)))),CONCATENATE(MONTH('Raw Data'!Q724),".",RIGHT(YEAR('Raw Data'!Q724),2))),'Raw Data'!Q724))</f>
        <v>7.9</v>
      </c>
    </row>
    <row r="725" spans="1:17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40</v>
      </c>
      <c r="G725">
        <f>VALUE(IF(AND(ISERR(FIND(".",'Raw Data'!G725)),LEN('Raw Data'!G725)=5), IF(YEAR('Raw Data'!G725)=2026,CONCATENATE(DAY('Raw Data'!G725),".",IF(LEN(MONTH('Raw Data'!G725))=2,MONTH('Raw Data'!G725),CONCATENATE("0",MONTH('Raw Data'!G725)))),CONCATENATE(MONTH('Raw Data'!G725),".",RIGHT(YEAR('Raw Data'!G725),2))),'Raw Data'!G725))</f>
        <v>36.770000000000003</v>
      </c>
      <c r="H725">
        <f>'Raw Data'!H725</f>
        <v>7</v>
      </c>
      <c r="I725" s="6">
        <f t="shared" si="33"/>
        <v>12.86949999999996</v>
      </c>
      <c r="J725" s="6">
        <f>'Raw Data'!J725</f>
        <v>270.2595</v>
      </c>
      <c r="K725" s="1">
        <f>VALUE(IFERROR(VALUE('Raw Data'!K725),CONCATENATE(MID('Raw Data'!K725,3,2),".","0",LEFT('Raw Data'!K725,1),".", RIGHT('Raw Data'!K725,4))))</f>
        <v>43770</v>
      </c>
      <c r="L725" s="2">
        <f>'Raw Data'!L725</f>
        <v>0.84027777777777779</v>
      </c>
      <c r="M725" t="s">
        <v>29</v>
      </c>
      <c r="N725">
        <f>VALUE(IF(AND(ISERR(FIND(".",'Raw Data'!N725)),LEN('Raw Data'!N725)=5), IF(YEAR('Raw Data'!N725)=2026,CONCATENATE(DAY('Raw Data'!N725),".",IF(LEN(MONTH('Raw Data'!N725))=2,MONTH('Raw Data'!N725),CONCATENATE("0",MONTH('Raw Data'!N725)))),CONCATENATE(MONTH('Raw Data'!N725),".",RIGHT(YEAR('Raw Data'!N725),2))),'Raw Data'!N725))</f>
        <v>257.39</v>
      </c>
      <c r="O725" s="6">
        <f t="shared" si="34"/>
        <v>4.7619047619047681</v>
      </c>
      <c r="P725" s="6">
        <f t="shared" si="35"/>
        <v>12.869500000000016</v>
      </c>
      <c r="Q725">
        <f>VALUE(IF(AND(ISERR(FIND(".",'Raw Data'!Q725)),LEN('Raw Data'!Q725)=5), IF(YEAR('Raw Data'!Q725)=2026,CONCATENATE(DAY('Raw Data'!Q725),".",IF(LEN(MONTH('Raw Data'!Q725))=2,MONTH('Raw Data'!Q725),CONCATENATE(MONTH('Raw Data'!Q725)))),CONCATENATE(MONTH('Raw Data'!Q725),".",RIGHT(YEAR('Raw Data'!Q725),2))),'Raw Data'!Q725))</f>
        <v>7.4</v>
      </c>
    </row>
    <row r="726" spans="1:17">
      <c r="A726" t="s">
        <v>813</v>
      </c>
      <c r="B726" t="s">
        <v>34</v>
      </c>
      <c r="C726" t="s">
        <v>35</v>
      </c>
      <c r="D726" t="s">
        <v>20</v>
      </c>
      <c r="E726" t="s">
        <v>30</v>
      </c>
      <c r="F726" t="s">
        <v>40</v>
      </c>
      <c r="G726">
        <f>VALUE(IF(AND(ISERR(FIND(".",'Raw Data'!G726)),LEN('Raw Data'!G726)=5), IF(YEAR('Raw Data'!G726)=2026,CONCATENATE(DAY('Raw Data'!G726),".",IF(LEN(MONTH('Raw Data'!G726))=2,MONTH('Raw Data'!G726),CONCATENATE("0",MONTH('Raw Data'!G726)))),CONCATENATE(MONTH('Raw Data'!G726),".",RIGHT(YEAR('Raw Data'!G726),2))),'Raw Data'!G726))</f>
        <v>23.34</v>
      </c>
      <c r="H726">
        <f>'Raw Data'!H726</f>
        <v>4</v>
      </c>
      <c r="I726" s="6">
        <f t="shared" si="33"/>
        <v>4.6680000000000064</v>
      </c>
      <c r="J726" s="6">
        <f>'Raw Data'!J726</f>
        <v>98.028000000000006</v>
      </c>
      <c r="K726" s="1">
        <f>VALUE(IFERROR(VALUE('Raw Data'!K726),CONCATENATE(MID('Raw Data'!K726,3,2),".","0",LEFT('Raw Data'!K726,1),".", RIGHT('Raw Data'!K726,4))))</f>
        <v>43557</v>
      </c>
      <c r="L726" s="2">
        <f>'Raw Data'!L726</f>
        <v>0.78680555555555554</v>
      </c>
      <c r="M726" t="s">
        <v>23</v>
      </c>
      <c r="N726">
        <f>VALUE(IF(AND(ISERR(FIND(".",'Raw Data'!N726)),LEN('Raw Data'!N726)=5), IF(YEAR('Raw Data'!N726)=2026,CONCATENATE(DAY('Raw Data'!N726),".",IF(LEN(MONTH('Raw Data'!N726))=2,MONTH('Raw Data'!N726),CONCATENATE("0",MONTH('Raw Data'!N726)))),CONCATENATE(MONTH('Raw Data'!N726),".",RIGHT(YEAR('Raw Data'!N726),2))),'Raw Data'!N726))</f>
        <v>93.36</v>
      </c>
      <c r="O726" s="6">
        <f t="shared" si="34"/>
        <v>4.7619047619047681</v>
      </c>
      <c r="P726" s="6">
        <f t="shared" si="35"/>
        <v>4.6680000000000064</v>
      </c>
      <c r="Q726">
        <f>VALUE(IF(AND(ISERR(FIND(".",'Raw Data'!Q726)),LEN('Raw Data'!Q726)=5), IF(YEAR('Raw Data'!Q726)=2026,CONCATENATE(DAY('Raw Data'!Q726),".",IF(LEN(MONTH('Raw Data'!Q726))=2,MONTH('Raw Data'!Q726),CONCATENATE(MONTH('Raw Data'!Q726)))),CONCATENATE(MONTH('Raw Data'!Q726),".",RIGHT(YEAR('Raw Data'!Q726),2))),'Raw Data'!Q726))</f>
        <v>7.4</v>
      </c>
    </row>
    <row r="727" spans="1:17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f>VALUE(IF(AND(ISERR(FIND(".",'Raw Data'!G727)),LEN('Raw Data'!G727)=5), IF(YEAR('Raw Data'!G727)=2026,CONCATENATE(DAY('Raw Data'!G727),".",IF(LEN(MONTH('Raw Data'!G727))=2,MONTH('Raw Data'!G727),CONCATENATE("0",MONTH('Raw Data'!G727)))),CONCATENATE(MONTH('Raw Data'!G727),".",RIGHT(YEAR('Raw Data'!G727),2))),'Raw Data'!G727))</f>
        <v>28.05</v>
      </c>
      <c r="H727">
        <f>'Raw Data'!H727</f>
        <v>8</v>
      </c>
      <c r="I727" s="6">
        <f t="shared" si="33"/>
        <v>15</v>
      </c>
      <c r="J727" s="6">
        <f>'Raw Data'!J727</f>
        <v>239.4</v>
      </c>
      <c r="K727" s="1">
        <f>VALUE(IFERROR(VALUE('Raw Data'!K727),CONCATENATE(MID('Raw Data'!K727,3,2),".","0",LEFT('Raw Data'!K727,1),".", RIGHT('Raw Data'!K727,4))))</f>
        <v>43618</v>
      </c>
      <c r="L727" s="2">
        <f>'Raw Data'!L727</f>
        <v>0.6</v>
      </c>
      <c r="M727" t="s">
        <v>29</v>
      </c>
      <c r="N727">
        <f>VALUE(IF(AND(ISERR(FIND(".",'Raw Data'!N727)),LEN('Raw Data'!N727)=5), IF(YEAR('Raw Data'!N727)=2026,CONCATENATE(DAY('Raw Data'!N727),".",IF(LEN(MONTH('Raw Data'!N727))=2,MONTH('Raw Data'!N727),CONCATENATE("0",MONTH('Raw Data'!N727)))),CONCATENATE(MONTH('Raw Data'!N727),".",RIGHT(YEAR('Raw Data'!N727),2))),'Raw Data'!N727))</f>
        <v>228</v>
      </c>
      <c r="O727" s="6">
        <f t="shared" si="34"/>
        <v>4.7619047619047645</v>
      </c>
      <c r="P727" s="6">
        <f t="shared" si="35"/>
        <v>11.400000000000006</v>
      </c>
      <c r="Q727">
        <f>VALUE(IF(AND(ISERR(FIND(".",'Raw Data'!Q727)),LEN('Raw Data'!Q727)=5), IF(YEAR('Raw Data'!Q727)=2026,CONCATENATE(DAY('Raw Data'!Q727),".",IF(LEN(MONTH('Raw Data'!Q727))=2,MONTH('Raw Data'!Q727),CONCATENATE(MONTH('Raw Data'!Q727)))),CONCATENATE(MONTH('Raw Data'!Q727),".",RIGHT(YEAR('Raw Data'!Q727),2))),'Raw Data'!Q727))</f>
        <v>6.6</v>
      </c>
    </row>
    <row r="728" spans="1:17">
      <c r="A728" t="s">
        <v>815</v>
      </c>
      <c r="B728" t="s">
        <v>25</v>
      </c>
      <c r="C728" t="s">
        <v>26</v>
      </c>
      <c r="D728" t="s">
        <v>20</v>
      </c>
      <c r="E728" t="s">
        <v>30</v>
      </c>
      <c r="F728" t="s">
        <v>32</v>
      </c>
      <c r="G728">
        <f>VALUE(IF(AND(ISERR(FIND(".",'Raw Data'!G728)),LEN('Raw Data'!G728)=5), IF(YEAR('Raw Data'!G728)=2026,CONCATENATE(DAY('Raw Data'!G728),".",IF(LEN(MONTH('Raw Data'!G728))=2,MONTH('Raw Data'!G728),CONCATENATE("0",MONTH('Raw Data'!G728)))),CONCATENATE(MONTH('Raw Data'!G728),".",RIGHT(YEAR('Raw Data'!G728),2))),'Raw Data'!G728))</f>
        <v>55.57</v>
      </c>
      <c r="H728">
        <f>'Raw Data'!H728</f>
        <v>3</v>
      </c>
      <c r="I728" s="6">
        <f t="shared" si="33"/>
        <v>8.3354999999999961</v>
      </c>
      <c r="J728" s="6">
        <f>'Raw Data'!J728</f>
        <v>175.0455</v>
      </c>
      <c r="K728" s="1">
        <f>VALUE(IFERROR(VALUE('Raw Data'!K728),CONCATENATE(MID('Raw Data'!K728,3,2),".","0",LEFT('Raw Data'!K728,1),".", RIGHT('Raw Data'!K728,4))))</f>
        <v>43678</v>
      </c>
      <c r="L728" s="2">
        <f>'Raw Data'!L728</f>
        <v>0.48749999999999999</v>
      </c>
      <c r="M728" t="s">
        <v>33</v>
      </c>
      <c r="N728">
        <f>VALUE(IF(AND(ISERR(FIND(".",'Raw Data'!N728)),LEN('Raw Data'!N728)=5), IF(YEAR('Raw Data'!N728)=2026,CONCATENATE(DAY('Raw Data'!N728),".",IF(LEN(MONTH('Raw Data'!N728))=2,MONTH('Raw Data'!N728),CONCATENATE("0",MONTH('Raw Data'!N728)))),CONCATENATE(MONTH('Raw Data'!N728),".",RIGHT(YEAR('Raw Data'!N728),2))),'Raw Data'!N728))</f>
        <v>166.71</v>
      </c>
      <c r="O728" s="6">
        <f t="shared" si="34"/>
        <v>4.7619047619047592</v>
      </c>
      <c r="P728" s="6">
        <f t="shared" si="35"/>
        <v>8.3354999999999961</v>
      </c>
      <c r="Q728">
        <f>VALUE(IF(AND(ISERR(FIND(".",'Raw Data'!Q728)),LEN('Raw Data'!Q728)=5), IF(YEAR('Raw Data'!Q728)=2026,CONCATENATE(DAY('Raw Data'!Q728),".",IF(LEN(MONTH('Raw Data'!Q728))=2,MONTH('Raw Data'!Q728),CONCATENATE(MONTH('Raw Data'!Q728)))),CONCATENATE(MONTH('Raw Data'!Q728),".",RIGHT(YEAR('Raw Data'!Q728),2))),'Raw Data'!Q728))</f>
        <v>5.9</v>
      </c>
    </row>
    <row r="729" spans="1:17">
      <c r="A729" t="s">
        <v>816</v>
      </c>
      <c r="B729" t="s">
        <v>34</v>
      </c>
      <c r="C729" t="s">
        <v>35</v>
      </c>
      <c r="D729" t="s">
        <v>27</v>
      </c>
      <c r="E729" t="s">
        <v>30</v>
      </c>
      <c r="F729" t="s">
        <v>38</v>
      </c>
      <c r="G729">
        <f>VALUE(IF(AND(ISERR(FIND(".",'Raw Data'!G729)),LEN('Raw Data'!G729)=5), IF(YEAR('Raw Data'!G729)=2026,CONCATENATE(DAY('Raw Data'!G729),".",IF(LEN(MONTH('Raw Data'!G729))=2,MONTH('Raw Data'!G729),CONCATENATE("0",MONTH('Raw Data'!G729)))),CONCATENATE(MONTH('Raw Data'!G729),".",RIGHT(YEAR('Raw Data'!G729),2))),'Raw Data'!G729))</f>
        <v>69.739999999999995</v>
      </c>
      <c r="H729">
        <f>'Raw Data'!H729</f>
        <v>10</v>
      </c>
      <c r="I729" s="6">
        <f t="shared" si="33"/>
        <v>34.870000000000005</v>
      </c>
      <c r="J729" s="6">
        <f>'Raw Data'!J729</f>
        <v>732.27</v>
      </c>
      <c r="K729" s="1">
        <f>VALUE(IFERROR(VALUE('Raw Data'!K729),CONCATENATE(MID('Raw Data'!K729,3,2),".","0",LEFT('Raw Data'!K729,1),".", RIGHT('Raw Data'!K729,4))))</f>
        <v>43588</v>
      </c>
      <c r="L729" s="2">
        <f>'Raw Data'!L729</f>
        <v>0.74236111111111114</v>
      </c>
      <c r="M729" t="s">
        <v>33</v>
      </c>
      <c r="N729">
        <f>VALUE(IF(AND(ISERR(FIND(".",'Raw Data'!N729)),LEN('Raw Data'!N729)=5), IF(YEAR('Raw Data'!N729)=2026,CONCATENATE(DAY('Raw Data'!N729),".",IF(LEN(MONTH('Raw Data'!N729))=2,MONTH('Raw Data'!N729),CONCATENATE("0",MONTH('Raw Data'!N729)))),CONCATENATE(MONTH('Raw Data'!N729),".",RIGHT(YEAR('Raw Data'!N729),2))),'Raw Data'!N729))</f>
        <v>697.4</v>
      </c>
      <c r="O729" s="6">
        <f t="shared" si="34"/>
        <v>4.7619047619047628</v>
      </c>
      <c r="P729" s="6">
        <f t="shared" si="35"/>
        <v>34.870000000000005</v>
      </c>
      <c r="Q729">
        <f>VALUE(IF(AND(ISERR(FIND(".",'Raw Data'!Q729)),LEN('Raw Data'!Q729)=5), IF(YEAR('Raw Data'!Q729)=2026,CONCATENATE(DAY('Raw Data'!Q729),".",IF(LEN(MONTH('Raw Data'!Q729))=2,MONTH('Raw Data'!Q729),CONCATENATE(MONTH('Raw Data'!Q729)))),CONCATENATE(MONTH('Raw Data'!Q729),".",RIGHT(YEAR('Raw Data'!Q729),2))),'Raw Data'!Q729))</f>
        <v>8.9</v>
      </c>
    </row>
    <row r="730" spans="1:17">
      <c r="A730" t="s">
        <v>817</v>
      </c>
      <c r="B730" t="s">
        <v>25</v>
      </c>
      <c r="C730" t="s">
        <v>26</v>
      </c>
      <c r="D730" t="s">
        <v>27</v>
      </c>
      <c r="E730" t="s">
        <v>30</v>
      </c>
      <c r="F730" t="s">
        <v>43</v>
      </c>
      <c r="G730">
        <f>VALUE(IF(AND(ISERR(FIND(".",'Raw Data'!G730)),LEN('Raw Data'!G730)=5), IF(YEAR('Raw Data'!G730)=2026,CONCATENATE(DAY('Raw Data'!G730),".",IF(LEN(MONTH('Raw Data'!G730))=2,MONTH('Raw Data'!G730),CONCATENATE("0",MONTH('Raw Data'!G730)))),CONCATENATE(MONTH('Raw Data'!G730),".",RIGHT(YEAR('Raw Data'!G730),2))),'Raw Data'!G730))</f>
        <v>97.26</v>
      </c>
      <c r="H730">
        <f>'Raw Data'!H730</f>
        <v>4</v>
      </c>
      <c r="I730" s="6">
        <f t="shared" si="33"/>
        <v>19.451999999999998</v>
      </c>
      <c r="J730" s="6">
        <f>'Raw Data'!J730</f>
        <v>408.49200000000002</v>
      </c>
      <c r="K730" s="1">
        <f>VALUE(IFERROR(VALUE('Raw Data'!K730),CONCATENATE(MID('Raw Data'!K730,3,2),".","0",LEFT('Raw Data'!K730,1),".", RIGHT('Raw Data'!K730,4))))</f>
        <v>43540</v>
      </c>
      <c r="L730" s="2">
        <f>'Raw Data'!L730</f>
        <v>0.6479166666666667</v>
      </c>
      <c r="M730" t="s">
        <v>23</v>
      </c>
      <c r="N730">
        <f>VALUE(IF(AND(ISERR(FIND(".",'Raw Data'!N730)),LEN('Raw Data'!N730)=5), IF(YEAR('Raw Data'!N730)=2026,CONCATENATE(DAY('Raw Data'!N730),".",IF(LEN(MONTH('Raw Data'!N730))=2,MONTH('Raw Data'!N730),CONCATENATE("0",MONTH('Raw Data'!N730)))),CONCATENATE(MONTH('Raw Data'!N730),".",RIGHT(YEAR('Raw Data'!N730),2))),'Raw Data'!N730))</f>
        <v>389.04</v>
      </c>
      <c r="O730" s="6">
        <f t="shared" si="34"/>
        <v>4.761904761904761</v>
      </c>
      <c r="P730" s="6">
        <f t="shared" si="35"/>
        <v>19.451999999999998</v>
      </c>
      <c r="Q730">
        <f>VALUE(IF(AND(ISERR(FIND(".",'Raw Data'!Q730)),LEN('Raw Data'!Q730)=5), IF(YEAR('Raw Data'!Q730)=2026,CONCATENATE(DAY('Raw Data'!Q730),".",IF(LEN(MONTH('Raw Data'!Q730))=2,MONTH('Raw Data'!Q730),CONCATENATE(MONTH('Raw Data'!Q730)))),CONCATENATE(MONTH('Raw Data'!Q730),".",RIGHT(YEAR('Raw Data'!Q730),2))),'Raw Data'!Q730))</f>
        <v>6.8</v>
      </c>
    </row>
    <row r="731" spans="1:17">
      <c r="A731" t="s">
        <v>818</v>
      </c>
      <c r="B731" t="s">
        <v>34</v>
      </c>
      <c r="C731" t="s">
        <v>35</v>
      </c>
      <c r="D731" t="s">
        <v>20</v>
      </c>
      <c r="E731" t="s">
        <v>21</v>
      </c>
      <c r="F731" t="s">
        <v>32</v>
      </c>
      <c r="G731">
        <f>VALUE(IF(AND(ISERR(FIND(".",'Raw Data'!G731)),LEN('Raw Data'!G731)=5), IF(YEAR('Raw Data'!G731)=2026,CONCATENATE(DAY('Raw Data'!G731),".",IF(LEN(MONTH('Raw Data'!G731))=2,MONTH('Raw Data'!G731),CONCATENATE("0",MONTH('Raw Data'!G731)))),CONCATENATE(MONTH('Raw Data'!G731),".",RIGHT(YEAR('Raw Data'!G731),2))),'Raw Data'!G731))</f>
        <v>52.18</v>
      </c>
      <c r="H731">
        <f>'Raw Data'!H731</f>
        <v>7</v>
      </c>
      <c r="I731" s="6">
        <f t="shared" si="33"/>
        <v>18.263000000000034</v>
      </c>
      <c r="J731" s="6">
        <f>'Raw Data'!J731</f>
        <v>383.52300000000002</v>
      </c>
      <c r="K731" s="1">
        <f>VALUE(IFERROR(VALUE('Raw Data'!K731),CONCATENATE(MID('Raw Data'!K731,3,2),".","0",LEFT('Raw Data'!K731,1),".", RIGHT('Raw Data'!K731,4))))</f>
        <v>43711</v>
      </c>
      <c r="L731" s="2">
        <f>'Raw Data'!L731</f>
        <v>0.45416666666666666</v>
      </c>
      <c r="M731" t="s">
        <v>29</v>
      </c>
      <c r="N731">
        <f>VALUE(IF(AND(ISERR(FIND(".",'Raw Data'!N731)),LEN('Raw Data'!N731)=5), IF(YEAR('Raw Data'!N731)=2026,CONCATENATE(DAY('Raw Data'!N731),".",IF(LEN(MONTH('Raw Data'!N731))=2,MONTH('Raw Data'!N731),CONCATENATE("0",MONTH('Raw Data'!N731)))),CONCATENATE(MONTH('Raw Data'!N731),".",RIGHT(YEAR('Raw Data'!N731),2))),'Raw Data'!N731))</f>
        <v>365.26</v>
      </c>
      <c r="O731" s="6">
        <f t="shared" si="34"/>
        <v>4.7619047619047707</v>
      </c>
      <c r="P731" s="6">
        <f t="shared" si="35"/>
        <v>18.263000000000034</v>
      </c>
      <c r="Q731">
        <f>VALUE(IF(AND(ISERR(FIND(".",'Raw Data'!Q731)),LEN('Raw Data'!Q731)=5), IF(YEAR('Raw Data'!Q731)=2026,CONCATENATE(DAY('Raw Data'!Q731),".",IF(LEN(MONTH('Raw Data'!Q731))=2,MONTH('Raw Data'!Q731),CONCATENATE(MONTH('Raw Data'!Q731)))),CONCATENATE(MONTH('Raw Data'!Q731),".",RIGHT(YEAR('Raw Data'!Q731),2))),'Raw Data'!Q731))</f>
        <v>9.3000000000000007</v>
      </c>
    </row>
    <row r="732" spans="1:17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43</v>
      </c>
      <c r="G732">
        <f>VALUE(IF(AND(ISERR(FIND(".",'Raw Data'!G732)),LEN('Raw Data'!G732)=5), IF(YEAR('Raw Data'!G732)=2026,CONCATENATE(DAY('Raw Data'!G732),".",IF(LEN(MONTH('Raw Data'!G732))=2,MONTH('Raw Data'!G732),CONCATENATE("0",MONTH('Raw Data'!G732)))),CONCATENATE(MONTH('Raw Data'!G732),".",RIGHT(YEAR('Raw Data'!G732),2))),'Raw Data'!G732))</f>
        <v>22.32</v>
      </c>
      <c r="H732">
        <f>'Raw Data'!H732</f>
        <v>4</v>
      </c>
      <c r="I732" s="6">
        <f t="shared" si="33"/>
        <v>4.4639999999999986</v>
      </c>
      <c r="J732" s="6">
        <f>'Raw Data'!J732</f>
        <v>93.744</v>
      </c>
      <c r="K732" s="1">
        <f>VALUE(IFERROR(VALUE('Raw Data'!K732),CONCATENATE(MID('Raw Data'!K732,3,2),".","0",LEFT('Raw Data'!K732,1),".", RIGHT('Raw Data'!K732,4))))</f>
        <v>43468</v>
      </c>
      <c r="L732" s="2">
        <f>'Raw Data'!L732</f>
        <v>0.68263888888888891</v>
      </c>
      <c r="M732" t="s">
        <v>33</v>
      </c>
      <c r="N732">
        <f>VALUE(IF(AND(ISERR(FIND(".",'Raw Data'!N732)),LEN('Raw Data'!N732)=5), IF(YEAR('Raw Data'!N732)=2026,CONCATENATE(DAY('Raw Data'!N732),".",IF(LEN(MONTH('Raw Data'!N732))=2,MONTH('Raw Data'!N732),CONCATENATE("0",MONTH('Raw Data'!N732)))),CONCATENATE(MONTH('Raw Data'!N732),".",RIGHT(YEAR('Raw Data'!N732),2))),'Raw Data'!N732))</f>
        <v>89.28</v>
      </c>
      <c r="O732" s="6">
        <f t="shared" si="34"/>
        <v>4.7619047619047601</v>
      </c>
      <c r="P732" s="6">
        <f t="shared" si="35"/>
        <v>4.4639999999999986</v>
      </c>
      <c r="Q732">
        <f>VALUE(IF(AND(ISERR(FIND(".",'Raw Data'!Q732)),LEN('Raw Data'!Q732)=5), IF(YEAR('Raw Data'!Q732)=2026,CONCATENATE(DAY('Raw Data'!Q732),".",IF(LEN(MONTH('Raw Data'!Q732))=2,MONTH('Raw Data'!Q732),CONCATENATE(MONTH('Raw Data'!Q732)))),CONCATENATE(MONTH('Raw Data'!Q732),".",RIGHT(YEAR('Raw Data'!Q732),2))),'Raw Data'!Q732))</f>
        <v>4.4000000000000004</v>
      </c>
    </row>
    <row r="733" spans="1:17">
      <c r="A733" t="s">
        <v>820</v>
      </c>
      <c r="B733" t="s">
        <v>18</v>
      </c>
      <c r="C733" t="s">
        <v>19</v>
      </c>
      <c r="D733" t="s">
        <v>27</v>
      </c>
      <c r="E733" t="s">
        <v>30</v>
      </c>
      <c r="F733" t="s">
        <v>22</v>
      </c>
      <c r="G733">
        <f>VALUE(IF(AND(ISERR(FIND(".",'Raw Data'!G733)),LEN('Raw Data'!G733)=5), IF(YEAR('Raw Data'!G733)=2026,CONCATENATE(DAY('Raw Data'!G733),".",IF(LEN(MONTH('Raw Data'!G733))=2,MONTH('Raw Data'!G733),CONCATENATE("0",MONTH('Raw Data'!G733)))),CONCATENATE(MONTH('Raw Data'!G733),".",RIGHT(YEAR('Raw Data'!G733),2))),'Raw Data'!G733))</f>
        <v>56</v>
      </c>
      <c r="H733">
        <f>'Raw Data'!H733</f>
        <v>3</v>
      </c>
      <c r="I733" s="6">
        <f t="shared" si="33"/>
        <v>8.4000000000000057</v>
      </c>
      <c r="J733" s="6">
        <f>'Raw Data'!J733</f>
        <v>176.4</v>
      </c>
      <c r="K733" s="1">
        <f>VALUE(IFERROR(VALUE('Raw Data'!K733),CONCATENATE(MID('Raw Data'!K733,3,2),".","0",LEFT('Raw Data'!K733,1),".", RIGHT('Raw Data'!K733,4))))</f>
        <v>43524</v>
      </c>
      <c r="L733" s="2">
        <f>'Raw Data'!L733</f>
        <v>0.81458333333333333</v>
      </c>
      <c r="M733" t="s">
        <v>23</v>
      </c>
      <c r="N733">
        <f>VALUE(IF(AND(ISERR(FIND(".",'Raw Data'!N733)),LEN('Raw Data'!N733)=5), IF(YEAR('Raw Data'!N733)=2026,CONCATENATE(DAY('Raw Data'!N733),".",IF(LEN(MONTH('Raw Data'!N733))=2,MONTH('Raw Data'!N733),CONCATENATE("0",MONTH('Raw Data'!N733)))),CONCATENATE(MONTH('Raw Data'!N733),".",RIGHT(YEAR('Raw Data'!N733),2))),'Raw Data'!N733))</f>
        <v>168</v>
      </c>
      <c r="O733" s="6">
        <f t="shared" si="34"/>
        <v>4.7619047619047654</v>
      </c>
      <c r="P733" s="6">
        <f t="shared" si="35"/>
        <v>8.4000000000000057</v>
      </c>
      <c r="Q733">
        <f>VALUE(IF(AND(ISERR(FIND(".",'Raw Data'!Q733)),LEN('Raw Data'!Q733)=5), IF(YEAR('Raw Data'!Q733)=2026,CONCATENATE(DAY('Raw Data'!Q733),".",IF(LEN(MONTH('Raw Data'!Q733))=2,MONTH('Raw Data'!Q733),CONCATENATE(MONTH('Raw Data'!Q733)))),CONCATENATE(MONTH('Raw Data'!Q733),".",RIGHT(YEAR('Raw Data'!Q733),2))),'Raw Data'!Q733))</f>
        <v>4.8</v>
      </c>
    </row>
    <row r="734" spans="1:17">
      <c r="A734" t="s">
        <v>821</v>
      </c>
      <c r="B734" t="s">
        <v>18</v>
      </c>
      <c r="C734" t="s">
        <v>19</v>
      </c>
      <c r="D734" t="s">
        <v>20</v>
      </c>
      <c r="E734" t="s">
        <v>30</v>
      </c>
      <c r="F734" t="s">
        <v>43</v>
      </c>
      <c r="G734">
        <f>VALUE(IF(AND(ISERR(FIND(".",'Raw Data'!G734)),LEN('Raw Data'!G734)=5), IF(YEAR('Raw Data'!G734)=2026,CONCATENATE(DAY('Raw Data'!G734),".",IF(LEN(MONTH('Raw Data'!G734))=2,MONTH('Raw Data'!G734),CONCATENATE("0",MONTH('Raw Data'!G734)))),CONCATENATE(MONTH('Raw Data'!G734),".",RIGHT(YEAR('Raw Data'!G734),2))),'Raw Data'!G734))</f>
        <v>19.07</v>
      </c>
      <c r="H734">
        <f>'Raw Data'!H734</f>
        <v>1</v>
      </c>
      <c r="I734" s="6">
        <f t="shared" si="33"/>
        <v>1.6149999999999984</v>
      </c>
      <c r="J734" s="6">
        <f>'Raw Data'!J734</f>
        <v>20.684999999999999</v>
      </c>
      <c r="K734" s="1">
        <f>VALUE(IFERROR(VALUE('Raw Data'!K734),CONCATENATE(MID('Raw Data'!K734,3,2),".","0",LEFT('Raw Data'!K734,1),".", RIGHT('Raw Data'!K734,4))))</f>
        <v>43679</v>
      </c>
      <c r="L734" s="2">
        <f>'Raw Data'!L734</f>
        <v>0.48541666666666666</v>
      </c>
      <c r="M734" t="s">
        <v>23</v>
      </c>
      <c r="N734">
        <f>VALUE(IF(AND(ISERR(FIND(".",'Raw Data'!N734)),LEN('Raw Data'!N734)=5), IF(YEAR('Raw Data'!N734)=2026,CONCATENATE(DAY('Raw Data'!N734),".",IF(LEN(MONTH('Raw Data'!N734))=2,MONTH('Raw Data'!N734),CONCATENATE("0",MONTH('Raw Data'!N734)))),CONCATENATE(MONTH('Raw Data'!N734),".",RIGHT(YEAR('Raw Data'!N734),2))),'Raw Data'!N734))</f>
        <v>19.07</v>
      </c>
      <c r="O734" s="6">
        <f t="shared" si="34"/>
        <v>7.8075900410925732</v>
      </c>
      <c r="P734" s="6">
        <f t="shared" si="35"/>
        <v>1.6149999999999984</v>
      </c>
      <c r="Q734">
        <f>VALUE(IF(AND(ISERR(FIND(".",'Raw Data'!Q734)),LEN('Raw Data'!Q734)=5), IF(YEAR('Raw Data'!Q734)=2026,CONCATENATE(DAY('Raw Data'!Q734),".",IF(LEN(MONTH('Raw Data'!Q734))=2,MONTH('Raw Data'!Q734),CONCATENATE(MONTH('Raw Data'!Q734)))),CONCATENATE(MONTH('Raw Data'!Q734),".",RIGHT(YEAR('Raw Data'!Q734),2))),'Raw Data'!Q734))</f>
        <v>9.5</v>
      </c>
    </row>
    <row r="735" spans="1:17">
      <c r="A735" t="s">
        <v>822</v>
      </c>
      <c r="B735" t="s">
        <v>34</v>
      </c>
      <c r="C735" t="s">
        <v>35</v>
      </c>
      <c r="D735" t="s">
        <v>27</v>
      </c>
      <c r="E735" t="s">
        <v>30</v>
      </c>
      <c r="F735" t="s">
        <v>28</v>
      </c>
      <c r="G735">
        <f>VALUE(IF(AND(ISERR(FIND(".",'Raw Data'!G735)),LEN('Raw Data'!G735)=5), IF(YEAR('Raw Data'!G735)=2026,CONCATENATE(DAY('Raw Data'!G735),".",IF(LEN(MONTH('Raw Data'!G735))=2,MONTH('Raw Data'!G735),CONCATENATE("0",MONTH('Raw Data'!G735)))),CONCATENATE(MONTH('Raw Data'!G735),".",RIGHT(YEAR('Raw Data'!G735),2))),'Raw Data'!G735))</f>
        <v>75.88</v>
      </c>
      <c r="H735">
        <f>'Raw Data'!H735</f>
        <v>7</v>
      </c>
      <c r="I735" s="6">
        <f t="shared" si="33"/>
        <v>26.557999999999993</v>
      </c>
      <c r="J735" s="6">
        <f>'Raw Data'!J735</f>
        <v>557.71799999999996</v>
      </c>
      <c r="K735" s="1">
        <f>VALUE(IFERROR(VALUE('Raw Data'!K735),CONCATENATE(MID('Raw Data'!K735,3,2),".","0",LEFT('Raw Data'!K735,1),".", RIGHT('Raw Data'!K735,4))))</f>
        <v>43489</v>
      </c>
      <c r="L735" s="2">
        <f>'Raw Data'!L735</f>
        <v>0.44305555555555554</v>
      </c>
      <c r="M735" t="s">
        <v>23</v>
      </c>
      <c r="N735">
        <f>VALUE(IF(AND(ISERR(FIND(".",'Raw Data'!N735)),LEN('Raw Data'!N735)=5), IF(YEAR('Raw Data'!N735)=2026,CONCATENATE(DAY('Raw Data'!N735),".",IF(LEN(MONTH('Raw Data'!N735))=2,MONTH('Raw Data'!N735),CONCATENATE("0",MONTH('Raw Data'!N735)))),CONCATENATE(MONTH('Raw Data'!N735),".",RIGHT(YEAR('Raw Data'!N735),2))),'Raw Data'!N735))</f>
        <v>531.16</v>
      </c>
      <c r="O735" s="6">
        <f t="shared" si="34"/>
        <v>4.761904761904761</v>
      </c>
      <c r="P735" s="6">
        <f t="shared" si="35"/>
        <v>26.557999999999993</v>
      </c>
      <c r="Q735">
        <f>VALUE(IF(AND(ISERR(FIND(".",'Raw Data'!Q735)),LEN('Raw Data'!Q735)=5), IF(YEAR('Raw Data'!Q735)=2026,CONCATENATE(DAY('Raw Data'!Q735),".",IF(LEN(MONTH('Raw Data'!Q735))=2,MONTH('Raw Data'!Q735),CONCATENATE(MONTH('Raw Data'!Q735)))),CONCATENATE(MONTH('Raw Data'!Q735),".",RIGHT(YEAR('Raw Data'!Q735),2))),'Raw Data'!Q735))</f>
        <v>8.9</v>
      </c>
    </row>
    <row r="736" spans="1:17">
      <c r="A736" t="s">
        <v>823</v>
      </c>
      <c r="B736" t="s">
        <v>34</v>
      </c>
      <c r="C736" t="s">
        <v>35</v>
      </c>
      <c r="D736" t="s">
        <v>20</v>
      </c>
      <c r="E736" t="s">
        <v>30</v>
      </c>
      <c r="F736" t="s">
        <v>40</v>
      </c>
      <c r="G736">
        <f>VALUE(IF(AND(ISERR(FIND(".",'Raw Data'!G736)),LEN('Raw Data'!G736)=5), IF(YEAR('Raw Data'!G736)=2026,CONCATENATE(DAY('Raw Data'!G736),".",IF(LEN(MONTH('Raw Data'!G736))=2,MONTH('Raw Data'!G736),CONCATENATE("0",MONTH('Raw Data'!G736)))),CONCATENATE(MONTH('Raw Data'!G736),".",RIGHT(YEAR('Raw Data'!G736),2))),'Raw Data'!G736))</f>
        <v>53.72</v>
      </c>
      <c r="H736">
        <f>'Raw Data'!H736</f>
        <v>1</v>
      </c>
      <c r="I736" s="6">
        <f t="shared" si="33"/>
        <v>2.6859999999999999</v>
      </c>
      <c r="J736" s="6">
        <f>'Raw Data'!J736</f>
        <v>56.405999999999999</v>
      </c>
      <c r="K736" s="1">
        <f>VALUE(IFERROR(VALUE('Raw Data'!K736),CONCATENATE(MID('Raw Data'!K736,3,2),".","0",LEFT('Raw Data'!K736,1),".", RIGHT('Raw Data'!K736,4))))</f>
        <v>43468</v>
      </c>
      <c r="L736" s="2">
        <f>'Raw Data'!L736</f>
        <v>0.8354166666666667</v>
      </c>
      <c r="M736" t="s">
        <v>23</v>
      </c>
      <c r="N736">
        <f>VALUE(IF(AND(ISERR(FIND(".",'Raw Data'!N736)),LEN('Raw Data'!N736)=5), IF(YEAR('Raw Data'!N736)=2026,CONCATENATE(DAY('Raw Data'!N736),".",IF(LEN(MONTH('Raw Data'!N736))=2,MONTH('Raw Data'!N736),CONCATENATE("0",MONTH('Raw Data'!N736)))),CONCATENATE(MONTH('Raw Data'!N736),".",RIGHT(YEAR('Raw Data'!N736),2))),'Raw Data'!N736))</f>
        <v>53.72</v>
      </c>
      <c r="O736" s="6">
        <f t="shared" si="34"/>
        <v>4.7619047619047619</v>
      </c>
      <c r="P736" s="6">
        <f t="shared" si="35"/>
        <v>2.6859999999999999</v>
      </c>
      <c r="Q736">
        <f>VALUE(IF(AND(ISERR(FIND(".",'Raw Data'!Q736)),LEN('Raw Data'!Q736)=5), IF(YEAR('Raw Data'!Q736)=2026,CONCATENATE(DAY('Raw Data'!Q736),".",IF(LEN(MONTH('Raw Data'!Q736))=2,MONTH('Raw Data'!Q736),CONCATENATE(MONTH('Raw Data'!Q736)))),CONCATENATE(MONTH('Raw Data'!Q736),".",RIGHT(YEAR('Raw Data'!Q736),2))),'Raw Data'!Q736))</f>
        <v>6.4</v>
      </c>
    </row>
    <row r="737" spans="1:17">
      <c r="A737" t="s">
        <v>824</v>
      </c>
      <c r="B737" t="s">
        <v>25</v>
      </c>
      <c r="C737" t="s">
        <v>26</v>
      </c>
      <c r="D737" t="s">
        <v>20</v>
      </c>
      <c r="E737" t="s">
        <v>30</v>
      </c>
      <c r="F737" t="s">
        <v>22</v>
      </c>
      <c r="G737">
        <f>VALUE(IF(AND(ISERR(FIND(".",'Raw Data'!G737)),LEN('Raw Data'!G737)=5), IF(YEAR('Raw Data'!G737)=2026,CONCATENATE(DAY('Raw Data'!G737),".",IF(LEN(MONTH('Raw Data'!G737))=2,MONTH('Raw Data'!G737),CONCATENATE("0",MONTH('Raw Data'!G737)))),CONCATENATE(MONTH('Raw Data'!G737),".",RIGHT(YEAR('Raw Data'!G737),2))),'Raw Data'!G737))</f>
        <v>81.95</v>
      </c>
      <c r="H737">
        <f>'Raw Data'!H737</f>
        <v>10</v>
      </c>
      <c r="I737" s="6">
        <f t="shared" si="33"/>
        <v>40.975000000000023</v>
      </c>
      <c r="J737" s="6">
        <f>'Raw Data'!J737</f>
        <v>860.47500000000002</v>
      </c>
      <c r="K737" s="1">
        <f>VALUE(IFERROR(VALUE('Raw Data'!K737),CONCATENATE(MID('Raw Data'!K737,3,2),".","0",LEFT('Raw Data'!K737,1),".", RIGHT('Raw Data'!K737,4))))</f>
        <v>43741</v>
      </c>
      <c r="L737" s="2">
        <f>'Raw Data'!L737</f>
        <v>0.52708333333333335</v>
      </c>
      <c r="M737" t="s">
        <v>33</v>
      </c>
      <c r="N737">
        <f>VALUE(IF(AND(ISERR(FIND(".",'Raw Data'!N737)),LEN('Raw Data'!N737)=5), IF(YEAR('Raw Data'!N737)=2026,CONCATENATE(DAY('Raw Data'!N737),".",IF(LEN(MONTH('Raw Data'!N737))=2,MONTH('Raw Data'!N737),CONCATENATE("0",MONTH('Raw Data'!N737)))),CONCATENATE(MONTH('Raw Data'!N737),".",RIGHT(YEAR('Raw Data'!N737),2))),'Raw Data'!N737))</f>
        <v>819.5</v>
      </c>
      <c r="O737" s="6">
        <f t="shared" si="34"/>
        <v>4.7619047619047645</v>
      </c>
      <c r="P737" s="6">
        <f t="shared" si="35"/>
        <v>40.975000000000023</v>
      </c>
      <c r="Q737">
        <f>VALUE(IF(AND(ISERR(FIND(".",'Raw Data'!Q737)),LEN('Raw Data'!Q737)=5), IF(YEAR('Raw Data'!Q737)=2026,CONCATENATE(DAY('Raw Data'!Q737),".",IF(LEN(MONTH('Raw Data'!Q737))=2,MONTH('Raw Data'!Q737),CONCATENATE(MONTH('Raw Data'!Q737)))),CONCATENATE(MONTH('Raw Data'!Q737),".",RIGHT(YEAR('Raw Data'!Q737),2))),'Raw Data'!Q737))</f>
        <v>6</v>
      </c>
    </row>
    <row r="738" spans="1:17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f>VALUE(IF(AND(ISERR(FIND(".",'Raw Data'!G738)),LEN('Raw Data'!G738)=5), IF(YEAR('Raw Data'!G738)=2026,CONCATENATE(DAY('Raw Data'!G738),".",IF(LEN(MONTH('Raw Data'!G738))=2,MONTH('Raw Data'!G738),CONCATENATE("0",MONTH('Raw Data'!G738)))),CONCATENATE(MONTH('Raw Data'!G738),".",RIGHT(YEAR('Raw Data'!G738),2))),'Raw Data'!G738))</f>
        <v>81.2</v>
      </c>
      <c r="H738">
        <f>'Raw Data'!H738</f>
        <v>7</v>
      </c>
      <c r="I738" s="6">
        <f t="shared" si="33"/>
        <v>28.420000000000073</v>
      </c>
      <c r="J738" s="6">
        <f>'Raw Data'!J738</f>
        <v>596.82000000000005</v>
      </c>
      <c r="K738" s="1">
        <f>VALUE(IFERROR(VALUE('Raw Data'!K738),CONCATENATE(MID('Raw Data'!K738,3,2),".","0",LEFT('Raw Data'!K738,1),".", RIGHT('Raw Data'!K738,4))))</f>
        <v>43547</v>
      </c>
      <c r="L738" s="2">
        <f>'Raw Data'!L738</f>
        <v>0.66597222222222219</v>
      </c>
      <c r="M738" t="s">
        <v>33</v>
      </c>
      <c r="N738">
        <f>VALUE(IF(AND(ISERR(FIND(".",'Raw Data'!N738)),LEN('Raw Data'!N738)=5), IF(YEAR('Raw Data'!N738)=2026,CONCATENATE(DAY('Raw Data'!N738),".",IF(LEN(MONTH('Raw Data'!N738))=2,MONTH('Raw Data'!N738),CONCATENATE("0",MONTH('Raw Data'!N738)))),CONCATENATE(MONTH('Raw Data'!N738),".",RIGHT(YEAR('Raw Data'!N738),2))),'Raw Data'!N738))</f>
        <v>568.4</v>
      </c>
      <c r="O738" s="6">
        <f t="shared" si="34"/>
        <v>4.7619047619047734</v>
      </c>
      <c r="P738" s="6">
        <f t="shared" si="35"/>
        <v>28.420000000000073</v>
      </c>
      <c r="Q738">
        <f>VALUE(IF(AND(ISERR(FIND(".",'Raw Data'!Q738)),LEN('Raw Data'!Q738)=5), IF(YEAR('Raw Data'!Q738)=2026,CONCATENATE(DAY('Raw Data'!Q738),".",IF(LEN(MONTH('Raw Data'!Q738))=2,MONTH('Raw Data'!Q738),CONCATENATE(MONTH('Raw Data'!Q738)))),CONCATENATE(MONTH('Raw Data'!Q738),".",RIGHT(YEAR('Raw Data'!Q738),2))),'Raw Data'!Q738))</f>
        <v>8.1</v>
      </c>
    </row>
    <row r="739" spans="1:17">
      <c r="A739" t="s">
        <v>826</v>
      </c>
      <c r="B739" t="s">
        <v>25</v>
      </c>
      <c r="C739" t="s">
        <v>26</v>
      </c>
      <c r="D739" t="s">
        <v>27</v>
      </c>
      <c r="E739" t="s">
        <v>30</v>
      </c>
      <c r="F739" t="s">
        <v>28</v>
      </c>
      <c r="G739">
        <f>VALUE(IF(AND(ISERR(FIND(".",'Raw Data'!G739)),LEN('Raw Data'!G739)=5), IF(YEAR('Raw Data'!G739)=2026,CONCATENATE(DAY('Raw Data'!G739),".",IF(LEN(MONTH('Raw Data'!G739))=2,MONTH('Raw Data'!G739),CONCATENATE("0",MONTH('Raw Data'!G739)))),CONCATENATE(MONTH('Raw Data'!G739),".",RIGHT(YEAR('Raw Data'!G739),2))),'Raw Data'!G739))</f>
        <v>58.76</v>
      </c>
      <c r="H739">
        <f>'Raw Data'!H739</f>
        <v>10</v>
      </c>
      <c r="I739" s="6">
        <f t="shared" si="33"/>
        <v>29.379999999999995</v>
      </c>
      <c r="J739" s="6">
        <f>'Raw Data'!J739</f>
        <v>616.98</v>
      </c>
      <c r="K739" s="1">
        <f>VALUE(IFERROR(VALUE('Raw Data'!K739),CONCATENATE(MID('Raw Data'!K739,3,2),".","0",LEFT('Raw Data'!K739,1),".", RIGHT('Raw Data'!K739,4))))</f>
        <v>43494</v>
      </c>
      <c r="L739" s="2">
        <f>'Raw Data'!L739</f>
        <v>0.60138888888888886</v>
      </c>
      <c r="M739" t="s">
        <v>23</v>
      </c>
      <c r="N739">
        <f>VALUE(IF(AND(ISERR(FIND(".",'Raw Data'!N739)),LEN('Raw Data'!N739)=5), IF(YEAR('Raw Data'!N739)=2026,CONCATENATE(DAY('Raw Data'!N739),".",IF(LEN(MONTH('Raw Data'!N739))=2,MONTH('Raw Data'!N739),CONCATENATE("0",MONTH('Raw Data'!N739)))),CONCATENATE(MONTH('Raw Data'!N739),".",RIGHT(YEAR('Raw Data'!N739),2))),'Raw Data'!N739))</f>
        <v>587.6</v>
      </c>
      <c r="O739" s="6">
        <f t="shared" si="34"/>
        <v>4.761904761904761</v>
      </c>
      <c r="P739" s="6">
        <f t="shared" si="35"/>
        <v>29.379999999999995</v>
      </c>
      <c r="Q739">
        <f>VALUE(IF(AND(ISERR(FIND(".",'Raw Data'!Q739)),LEN('Raw Data'!Q739)=5), IF(YEAR('Raw Data'!Q739)=2026,CONCATENATE(DAY('Raw Data'!Q739),".",IF(LEN(MONTH('Raw Data'!Q739))=2,MONTH('Raw Data'!Q739),CONCATENATE(MONTH('Raw Data'!Q739)))),CONCATENATE(MONTH('Raw Data'!Q739),".",RIGHT(YEAR('Raw Data'!Q739),2))),'Raw Data'!Q739))</f>
        <v>9</v>
      </c>
    </row>
    <row r="740" spans="1:17">
      <c r="A740" t="s">
        <v>827</v>
      </c>
      <c r="B740" t="s">
        <v>34</v>
      </c>
      <c r="C740" t="s">
        <v>35</v>
      </c>
      <c r="D740" t="s">
        <v>20</v>
      </c>
      <c r="E740" t="s">
        <v>30</v>
      </c>
      <c r="F740" t="s">
        <v>28</v>
      </c>
      <c r="G740">
        <f>VALUE(IF(AND(ISERR(FIND(".",'Raw Data'!G740)),LEN('Raw Data'!G740)=5), IF(YEAR('Raw Data'!G740)=2026,CONCATENATE(DAY('Raw Data'!G740),".",IF(LEN(MONTH('Raw Data'!G740))=2,MONTH('Raw Data'!G740),CONCATENATE("0",MONTH('Raw Data'!G740)))),CONCATENATE(MONTH('Raw Data'!G740),".",RIGHT(YEAR('Raw Data'!G740),2))),'Raw Data'!G740))</f>
        <v>91.56</v>
      </c>
      <c r="H740">
        <f>'Raw Data'!H740</f>
        <v>8</v>
      </c>
      <c r="I740" s="6">
        <f t="shared" si="33"/>
        <v>36.624000000000024</v>
      </c>
      <c r="J740" s="6">
        <f>'Raw Data'!J740</f>
        <v>769.10400000000004</v>
      </c>
      <c r="K740" s="1">
        <f>VALUE(IFERROR(VALUE('Raw Data'!K740),CONCATENATE(MID('Raw Data'!K740,3,2),".","0",LEFT('Raw Data'!K740,1),".", RIGHT('Raw Data'!K740,4))))</f>
        <v>43800</v>
      </c>
      <c r="L740" s="2">
        <f>'Raw Data'!L740</f>
        <v>0.76527777777777783</v>
      </c>
      <c r="M740" t="s">
        <v>23</v>
      </c>
      <c r="N740">
        <f>VALUE(IF(AND(ISERR(FIND(".",'Raw Data'!N740)),LEN('Raw Data'!N740)=5), IF(YEAR('Raw Data'!N740)=2026,CONCATENATE(DAY('Raw Data'!N740),".",IF(LEN(MONTH('Raw Data'!N740))=2,MONTH('Raw Data'!N740),CONCATENATE("0",MONTH('Raw Data'!N740)))),CONCATENATE(MONTH('Raw Data'!N740),".",RIGHT(YEAR('Raw Data'!N740),2))),'Raw Data'!N740))</f>
        <v>732.48</v>
      </c>
      <c r="O740" s="6">
        <f t="shared" si="34"/>
        <v>4.7619047619047645</v>
      </c>
      <c r="P740" s="6">
        <f t="shared" si="35"/>
        <v>36.624000000000024</v>
      </c>
      <c r="Q740">
        <f>VALUE(IF(AND(ISERR(FIND(".",'Raw Data'!Q740)),LEN('Raw Data'!Q740)=5), IF(YEAR('Raw Data'!Q740)=2026,CONCATENATE(DAY('Raw Data'!Q740),".",IF(LEN(MONTH('Raw Data'!Q740))=2,MONTH('Raw Data'!Q740),CONCATENATE(MONTH('Raw Data'!Q740)))),CONCATENATE(MONTH('Raw Data'!Q740),".",RIGHT(YEAR('Raw Data'!Q740),2))),'Raw Data'!Q740))</f>
        <v>6</v>
      </c>
    </row>
    <row r="741" spans="1:17">
      <c r="A741" t="s">
        <v>828</v>
      </c>
      <c r="B741" t="s">
        <v>18</v>
      </c>
      <c r="C741" t="s">
        <v>19</v>
      </c>
      <c r="D741" t="s">
        <v>27</v>
      </c>
      <c r="E741" t="s">
        <v>30</v>
      </c>
      <c r="F741" t="s">
        <v>32</v>
      </c>
      <c r="G741">
        <f>VALUE(IF(AND(ISERR(FIND(".",'Raw Data'!G741)),LEN('Raw Data'!G741)=5), IF(YEAR('Raw Data'!G741)=2026,CONCATENATE(DAY('Raw Data'!G741),".",IF(LEN(MONTH('Raw Data'!G741))=2,MONTH('Raw Data'!G741),CONCATENATE("0",MONTH('Raw Data'!G741)))),CONCATENATE(MONTH('Raw Data'!G741),".",RIGHT(YEAR('Raw Data'!G741),2))),'Raw Data'!G741))</f>
        <v>93.96</v>
      </c>
      <c r="H741">
        <f>'Raw Data'!H741</f>
        <v>9</v>
      </c>
      <c r="I741" s="6">
        <f t="shared" si="33"/>
        <v>42.282000000000039</v>
      </c>
      <c r="J741" s="6">
        <f>'Raw Data'!J741</f>
        <v>887.92200000000003</v>
      </c>
      <c r="K741" s="1">
        <f>VALUE(IFERROR(VALUE('Raw Data'!K741),CONCATENATE(MID('Raw Data'!K741,3,2),".","0",LEFT('Raw Data'!K741,1),".", RIGHT('Raw Data'!K741,4))))</f>
        <v>43544</v>
      </c>
      <c r="L741" s="2">
        <f>'Raw Data'!L741</f>
        <v>0.48055555555555557</v>
      </c>
      <c r="M741" t="s">
        <v>29</v>
      </c>
      <c r="N741">
        <f>VALUE(IF(AND(ISERR(FIND(".",'Raw Data'!N741)),LEN('Raw Data'!N741)=5), IF(YEAR('Raw Data'!N741)=2026,CONCATENATE(DAY('Raw Data'!N741),".",IF(LEN(MONTH('Raw Data'!N741))=2,MONTH('Raw Data'!N741),CONCATENATE("0",MONTH('Raw Data'!N741)))),CONCATENATE(MONTH('Raw Data'!N741),".",RIGHT(YEAR('Raw Data'!N741),2))),'Raw Data'!N741))</f>
        <v>845.64</v>
      </c>
      <c r="O741" s="6">
        <f t="shared" si="34"/>
        <v>4.7619047619047663</v>
      </c>
      <c r="P741" s="6">
        <f t="shared" si="35"/>
        <v>42.282000000000039</v>
      </c>
      <c r="Q741">
        <f>VALUE(IF(AND(ISERR(FIND(".",'Raw Data'!Q741)),LEN('Raw Data'!Q741)=5), IF(YEAR('Raw Data'!Q741)=2026,CONCATENATE(DAY('Raw Data'!Q741),".",IF(LEN(MONTH('Raw Data'!Q741))=2,MONTH('Raw Data'!Q741),CONCATENATE(MONTH('Raw Data'!Q741)))),CONCATENATE(MONTH('Raw Data'!Q741),".",RIGHT(YEAR('Raw Data'!Q741),2))),'Raw Data'!Q741))</f>
        <v>9.8000000000000007</v>
      </c>
    </row>
    <row r="742" spans="1:17">
      <c r="A742" t="s">
        <v>829</v>
      </c>
      <c r="B742" t="s">
        <v>25</v>
      </c>
      <c r="C742" t="s">
        <v>26</v>
      </c>
      <c r="D742" t="s">
        <v>27</v>
      </c>
      <c r="E742" t="s">
        <v>30</v>
      </c>
      <c r="F742" t="s">
        <v>32</v>
      </c>
      <c r="G742">
        <f>VALUE(IF(AND(ISERR(FIND(".",'Raw Data'!G742)),LEN('Raw Data'!G742)=5), IF(YEAR('Raw Data'!G742)=2026,CONCATENATE(DAY('Raw Data'!G742),".",IF(LEN(MONTH('Raw Data'!G742))=2,MONTH('Raw Data'!G742),CONCATENATE("0",MONTH('Raw Data'!G742)))),CONCATENATE(MONTH('Raw Data'!G742),".",RIGHT(YEAR('Raw Data'!G742),2))),'Raw Data'!G742))</f>
        <v>55.61</v>
      </c>
      <c r="H742">
        <f>'Raw Data'!H742</f>
        <v>7</v>
      </c>
      <c r="I742" s="6">
        <f t="shared" si="33"/>
        <v>19.46350000000001</v>
      </c>
      <c r="J742" s="6">
        <f>'Raw Data'!J742</f>
        <v>408.73349999999999</v>
      </c>
      <c r="K742" s="1">
        <f>VALUE(IFERROR(VALUE('Raw Data'!K742),CONCATENATE(MID('Raw Data'!K742,3,2),".","0",LEFT('Raw Data'!K742,1),".", RIGHT('Raw Data'!K742,4))))</f>
        <v>43547</v>
      </c>
      <c r="L742" s="2">
        <f>'Raw Data'!L742</f>
        <v>0.52847222222222223</v>
      </c>
      <c r="M742" t="s">
        <v>29</v>
      </c>
      <c r="N742">
        <f>VALUE(IF(AND(ISERR(FIND(".",'Raw Data'!N742)),LEN('Raw Data'!N742)=5), IF(YEAR('Raw Data'!N742)=2026,CONCATENATE(DAY('Raw Data'!N742),".",IF(LEN(MONTH('Raw Data'!N742))=2,MONTH('Raw Data'!N742),CONCATENATE("0",MONTH('Raw Data'!N742)))),CONCATENATE(MONTH('Raw Data'!N742),".",RIGHT(YEAR('Raw Data'!N742),2))),'Raw Data'!N742))</f>
        <v>389.27</v>
      </c>
      <c r="O742" s="6">
        <f t="shared" si="34"/>
        <v>4.7619047619047645</v>
      </c>
      <c r="P742" s="6">
        <f t="shared" si="35"/>
        <v>19.46350000000001</v>
      </c>
      <c r="Q742">
        <f>VALUE(IF(AND(ISERR(FIND(".",'Raw Data'!Q742)),LEN('Raw Data'!Q742)=5), IF(YEAR('Raw Data'!Q742)=2026,CONCATENATE(DAY('Raw Data'!Q742),".",IF(LEN(MONTH('Raw Data'!Q742))=2,MONTH('Raw Data'!Q742),CONCATENATE(MONTH('Raw Data'!Q742)))),CONCATENATE(MONTH('Raw Data'!Q742),".",RIGHT(YEAR('Raw Data'!Q742),2))),'Raw Data'!Q742))</f>
        <v>8.5</v>
      </c>
    </row>
    <row r="743" spans="1:17">
      <c r="A743" t="s">
        <v>830</v>
      </c>
      <c r="B743" t="s">
        <v>25</v>
      </c>
      <c r="C743" t="s">
        <v>26</v>
      </c>
      <c r="D743" t="s">
        <v>27</v>
      </c>
      <c r="E743" t="s">
        <v>30</v>
      </c>
      <c r="F743" t="s">
        <v>40</v>
      </c>
      <c r="G743">
        <f>VALUE(IF(AND(ISERR(FIND(".",'Raw Data'!G743)),LEN('Raw Data'!G743)=5), IF(YEAR('Raw Data'!G743)=2026,CONCATENATE(DAY('Raw Data'!G743),".",IF(LEN(MONTH('Raw Data'!G743))=2,MONTH('Raw Data'!G743),CONCATENATE("0",MONTH('Raw Data'!G743)))),CONCATENATE(MONTH('Raw Data'!G743),".",RIGHT(YEAR('Raw Data'!G743),2))),'Raw Data'!G743))</f>
        <v>84.83</v>
      </c>
      <c r="H743">
        <f>'Raw Data'!H743</f>
        <v>1</v>
      </c>
      <c r="I743" s="6">
        <f t="shared" si="33"/>
        <v>4.241500000000002</v>
      </c>
      <c r="J743" s="6">
        <f>'Raw Data'!J743</f>
        <v>89.0715</v>
      </c>
      <c r="K743" s="1">
        <f>VALUE(IFERROR(VALUE('Raw Data'!K743),CONCATENATE(MID('Raw Data'!K743,3,2),".","0",LEFT('Raw Data'!K743,1),".", RIGHT('Raw Data'!K743,4))))</f>
        <v>43479</v>
      </c>
      <c r="L743" s="2">
        <f>'Raw Data'!L743</f>
        <v>0.63888888888888895</v>
      </c>
      <c r="M743" t="s">
        <v>23</v>
      </c>
      <c r="N743">
        <f>VALUE(IF(AND(ISERR(FIND(".",'Raw Data'!N743)),LEN('Raw Data'!N743)=5), IF(YEAR('Raw Data'!N743)=2026,CONCATENATE(DAY('Raw Data'!N743),".",IF(LEN(MONTH('Raw Data'!N743))=2,MONTH('Raw Data'!N743),CONCATENATE("0",MONTH('Raw Data'!N743)))),CONCATENATE(MONTH('Raw Data'!N743),".",RIGHT(YEAR('Raw Data'!N743),2))),'Raw Data'!N743))</f>
        <v>84.83</v>
      </c>
      <c r="O743" s="6">
        <f t="shared" si="34"/>
        <v>4.7619047619047645</v>
      </c>
      <c r="P743" s="6">
        <f t="shared" si="35"/>
        <v>4.241500000000002</v>
      </c>
      <c r="Q743">
        <f>VALUE(IF(AND(ISERR(FIND(".",'Raw Data'!Q743)),LEN('Raw Data'!Q743)=5), IF(YEAR('Raw Data'!Q743)=2026,CONCATENATE(DAY('Raw Data'!Q743),".",IF(LEN(MONTH('Raw Data'!Q743))=2,MONTH('Raw Data'!Q743),CONCATENATE(MONTH('Raw Data'!Q743)))),CONCATENATE(MONTH('Raw Data'!Q743),".",RIGHT(YEAR('Raw Data'!Q743),2))),'Raw Data'!Q743))</f>
        <v>8.8000000000000007</v>
      </c>
    </row>
    <row r="744" spans="1:17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38</v>
      </c>
      <c r="G744">
        <f>VALUE(IF(AND(ISERR(FIND(".",'Raw Data'!G744)),LEN('Raw Data'!G744)=5), IF(YEAR('Raw Data'!G744)=2026,CONCATENATE(DAY('Raw Data'!G744),".",IF(LEN(MONTH('Raw Data'!G744))=2,MONTH('Raw Data'!G744),CONCATENATE("0",MONTH('Raw Data'!G744)))),CONCATENATE(MONTH('Raw Data'!G744),".",RIGHT(YEAR('Raw Data'!G744),2))),'Raw Data'!G744))</f>
        <v>71.63</v>
      </c>
      <c r="H744">
        <f>'Raw Data'!H744</f>
        <v>2</v>
      </c>
      <c r="I744" s="6">
        <f t="shared" si="33"/>
        <v>7.1630000000000109</v>
      </c>
      <c r="J744" s="6">
        <f>'Raw Data'!J744</f>
        <v>150.423</v>
      </c>
      <c r="K744" s="1">
        <f>VALUE(IFERROR(VALUE('Raw Data'!K744),CONCATENATE(MID('Raw Data'!K744,3,2),".","0",LEFT('Raw Data'!K744,1),".", RIGHT('Raw Data'!K744,4))))</f>
        <v>43801</v>
      </c>
      <c r="L744" s="2">
        <f>'Raw Data'!L744</f>
        <v>0.60625000000000007</v>
      </c>
      <c r="M744" t="s">
        <v>23</v>
      </c>
      <c r="N744">
        <f>VALUE(IF(AND(ISERR(FIND(".",'Raw Data'!N744)),LEN('Raw Data'!N744)=5), IF(YEAR('Raw Data'!N744)=2026,CONCATENATE(DAY('Raw Data'!N744),".",IF(LEN(MONTH('Raw Data'!N744))=2,MONTH('Raw Data'!N744),CONCATENATE("0",MONTH('Raw Data'!N744)))),CONCATENATE(MONTH('Raw Data'!N744),".",RIGHT(YEAR('Raw Data'!N744),2))),'Raw Data'!N744))</f>
        <v>143.26</v>
      </c>
      <c r="O744" s="6">
        <f t="shared" si="34"/>
        <v>4.761904761904769</v>
      </c>
      <c r="P744" s="6">
        <f t="shared" si="35"/>
        <v>7.1630000000000109</v>
      </c>
      <c r="Q744">
        <f>VALUE(IF(AND(ISERR(FIND(".",'Raw Data'!Q744)),LEN('Raw Data'!Q744)=5), IF(YEAR('Raw Data'!Q744)=2026,CONCATENATE(DAY('Raw Data'!Q744),".",IF(LEN(MONTH('Raw Data'!Q744))=2,MONTH('Raw Data'!Q744),CONCATENATE(MONTH('Raw Data'!Q744)))),CONCATENATE(MONTH('Raw Data'!Q744),".",RIGHT(YEAR('Raw Data'!Q744),2))),'Raw Data'!Q744))</f>
        <v>8.8000000000000007</v>
      </c>
    </row>
    <row r="745" spans="1:17">
      <c r="A745" t="s">
        <v>832</v>
      </c>
      <c r="B745" t="s">
        <v>18</v>
      </c>
      <c r="C745" t="s">
        <v>19</v>
      </c>
      <c r="D745" t="s">
        <v>20</v>
      </c>
      <c r="E745" t="s">
        <v>30</v>
      </c>
      <c r="F745" t="s">
        <v>32</v>
      </c>
      <c r="G745">
        <f>VALUE(IF(AND(ISERR(FIND(".",'Raw Data'!G745)),LEN('Raw Data'!G745)=5), IF(YEAR('Raw Data'!G745)=2026,CONCATENATE(DAY('Raw Data'!G745),".",IF(LEN(MONTH('Raw Data'!G745))=2,MONTH('Raw Data'!G745),CONCATENATE("0",MONTH('Raw Data'!G745)))),CONCATENATE(MONTH('Raw Data'!G745),".",RIGHT(YEAR('Raw Data'!G745),2))),'Raw Data'!G745))</f>
        <v>37.69</v>
      </c>
      <c r="H745">
        <f>'Raw Data'!H745</f>
        <v>2</v>
      </c>
      <c r="I745" s="6">
        <f t="shared" si="33"/>
        <v>3.7690000000000055</v>
      </c>
      <c r="J745" s="6">
        <f>'Raw Data'!J745</f>
        <v>79.149000000000001</v>
      </c>
      <c r="K745" s="1">
        <f>VALUE(IFERROR(VALUE('Raw Data'!K745),CONCATENATE(MID('Raw Data'!K745,3,2),".","0",LEFT('Raw Data'!K745,1),".", RIGHT('Raw Data'!K745,4))))</f>
        <v>43516</v>
      </c>
      <c r="L745" s="2">
        <f>'Raw Data'!L745</f>
        <v>0.64513888888888882</v>
      </c>
      <c r="M745" t="s">
        <v>23</v>
      </c>
      <c r="N745">
        <f>VALUE(IF(AND(ISERR(FIND(".",'Raw Data'!N745)),LEN('Raw Data'!N745)=5), IF(YEAR('Raw Data'!N745)=2026,CONCATENATE(DAY('Raw Data'!N745),".",IF(LEN(MONTH('Raw Data'!N745))=2,MONTH('Raw Data'!N745),CONCATENATE("0",MONTH('Raw Data'!N745)))),CONCATENATE(MONTH('Raw Data'!N745),".",RIGHT(YEAR('Raw Data'!N745),2))),'Raw Data'!N745))</f>
        <v>75.38</v>
      </c>
      <c r="O745" s="6">
        <f t="shared" si="34"/>
        <v>4.761904761904769</v>
      </c>
      <c r="P745" s="6">
        <f t="shared" si="35"/>
        <v>3.7690000000000055</v>
      </c>
      <c r="Q745">
        <f>VALUE(IF(AND(ISERR(FIND(".",'Raw Data'!Q745)),LEN('Raw Data'!Q745)=5), IF(YEAR('Raw Data'!Q745)=2026,CONCATENATE(DAY('Raw Data'!Q745),".",IF(LEN(MONTH('Raw Data'!Q745))=2,MONTH('Raw Data'!Q745),CONCATENATE(MONTH('Raw Data'!Q745)))),CONCATENATE(MONTH('Raw Data'!Q745),".",RIGHT(YEAR('Raw Data'!Q745),2))),'Raw Data'!Q745))</f>
        <v>9.5</v>
      </c>
    </row>
    <row r="746" spans="1:17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38</v>
      </c>
      <c r="G746">
        <f>VALUE(IF(AND(ISERR(FIND(".",'Raw Data'!G746)),LEN('Raw Data'!G746)=5), IF(YEAR('Raw Data'!G746)=2026,CONCATENATE(DAY('Raw Data'!G746),".",IF(LEN(MONTH('Raw Data'!G746))=2,MONTH('Raw Data'!G746),CONCATENATE("0",MONTH('Raw Data'!G746)))),CONCATENATE(MONTH('Raw Data'!G746),".",RIGHT(YEAR('Raw Data'!G746),2))),'Raw Data'!G746))</f>
        <v>31.67</v>
      </c>
      <c r="H746">
        <f>'Raw Data'!H746</f>
        <v>8</v>
      </c>
      <c r="I746" s="6">
        <f t="shared" si="33"/>
        <v>12.668000000000006</v>
      </c>
      <c r="J746" s="6">
        <f>'Raw Data'!J746</f>
        <v>266.02800000000002</v>
      </c>
      <c r="K746" s="1">
        <f>VALUE(IFERROR(VALUE('Raw Data'!K746),CONCATENATE(MID('Raw Data'!K746,3,2),".","0",LEFT('Raw Data'!K746,1),".", RIGHT('Raw Data'!K746,4))))</f>
        <v>43497</v>
      </c>
      <c r="L746" s="2">
        <f>'Raw Data'!L746</f>
        <v>0.67986111111111114</v>
      </c>
      <c r="M746" t="s">
        <v>33</v>
      </c>
      <c r="N746">
        <f>VALUE(IF(AND(ISERR(FIND(".",'Raw Data'!N746)),LEN('Raw Data'!N746)=5), IF(YEAR('Raw Data'!N746)=2026,CONCATENATE(DAY('Raw Data'!N746),".",IF(LEN(MONTH('Raw Data'!N746))=2,MONTH('Raw Data'!N746),CONCATENATE("0",MONTH('Raw Data'!N746)))),CONCATENATE(MONTH('Raw Data'!N746),".",RIGHT(YEAR('Raw Data'!N746),2))),'Raw Data'!N746))</f>
        <v>253.36</v>
      </c>
      <c r="O746" s="6">
        <f t="shared" si="34"/>
        <v>4.7619047619047636</v>
      </c>
      <c r="P746" s="6">
        <f t="shared" si="35"/>
        <v>12.668000000000006</v>
      </c>
      <c r="Q746">
        <f>VALUE(IF(AND(ISERR(FIND(".",'Raw Data'!Q746)),LEN('Raw Data'!Q746)=5), IF(YEAR('Raw Data'!Q746)=2026,CONCATENATE(DAY('Raw Data'!Q746),".",IF(LEN(MONTH('Raw Data'!Q746))=2,MONTH('Raw Data'!Q746),CONCATENATE(MONTH('Raw Data'!Q746)))),CONCATENATE(MONTH('Raw Data'!Q746),".",RIGHT(YEAR('Raw Data'!Q746),2))),'Raw Data'!Q746))</f>
        <v>5.6</v>
      </c>
    </row>
    <row r="747" spans="1:17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40</v>
      </c>
      <c r="G747">
        <f>VALUE(IF(AND(ISERR(FIND(".",'Raw Data'!G747)),LEN('Raw Data'!G747)=5), IF(YEAR('Raw Data'!G747)=2026,CONCATENATE(DAY('Raw Data'!G747),".",IF(LEN(MONTH('Raw Data'!G747))=2,MONTH('Raw Data'!G747),CONCATENATE("0",MONTH('Raw Data'!G747)))),CONCATENATE(MONTH('Raw Data'!G747),".",RIGHT(YEAR('Raw Data'!G747),2))),'Raw Data'!G747))</f>
        <v>38.42</v>
      </c>
      <c r="H747">
        <f>'Raw Data'!H747</f>
        <v>1</v>
      </c>
      <c r="I747" s="6">
        <f t="shared" si="33"/>
        <v>1.9209999999999994</v>
      </c>
      <c r="J747" s="6">
        <f>'Raw Data'!J747</f>
        <v>40.341000000000001</v>
      </c>
      <c r="K747" s="1">
        <f>VALUE(IFERROR(VALUE('Raw Data'!K747),CONCATENATE(MID('Raw Data'!K747,3,2),".","0",LEFT('Raw Data'!K747,1),".", RIGHT('Raw Data'!K747,4))))</f>
        <v>43498</v>
      </c>
      <c r="L747" s="2">
        <f>'Raw Data'!L747</f>
        <v>0.68958333333333333</v>
      </c>
      <c r="M747" t="s">
        <v>29</v>
      </c>
      <c r="N747">
        <f>VALUE(IF(AND(ISERR(FIND(".",'Raw Data'!N747)),LEN('Raw Data'!N747)=5), IF(YEAR('Raw Data'!N747)=2026,CONCATENATE(DAY('Raw Data'!N747),".",IF(LEN(MONTH('Raw Data'!N747))=2,MONTH('Raw Data'!N747),CONCATENATE("0",MONTH('Raw Data'!N747)))),CONCATENATE(MONTH('Raw Data'!N747),".",RIGHT(YEAR('Raw Data'!N747),2))),'Raw Data'!N747))</f>
        <v>38.42</v>
      </c>
      <c r="O747" s="6">
        <f t="shared" si="34"/>
        <v>4.7619047619047601</v>
      </c>
      <c r="P747" s="6">
        <f t="shared" si="35"/>
        <v>1.9209999999999994</v>
      </c>
      <c r="Q747">
        <f>VALUE(IF(AND(ISERR(FIND(".",'Raw Data'!Q747)),LEN('Raw Data'!Q747)=5), IF(YEAR('Raw Data'!Q747)=2026,CONCATENATE(DAY('Raw Data'!Q747),".",IF(LEN(MONTH('Raw Data'!Q747))=2,MONTH('Raw Data'!Q747),CONCATENATE(MONTH('Raw Data'!Q747)))),CONCATENATE(MONTH('Raw Data'!Q747),".",RIGHT(YEAR('Raw Data'!Q747),2))),'Raw Data'!Q747))</f>
        <v>8.6</v>
      </c>
    </row>
    <row r="748" spans="1:17">
      <c r="A748" t="s">
        <v>835</v>
      </c>
      <c r="B748" t="s">
        <v>34</v>
      </c>
      <c r="C748" t="s">
        <v>35</v>
      </c>
      <c r="D748" t="s">
        <v>20</v>
      </c>
      <c r="E748" t="s">
        <v>30</v>
      </c>
      <c r="F748" t="s">
        <v>43</v>
      </c>
      <c r="G748">
        <f>VALUE(IF(AND(ISERR(FIND(".",'Raw Data'!G748)),LEN('Raw Data'!G748)=5), IF(YEAR('Raw Data'!G748)=2026,CONCATENATE(DAY('Raw Data'!G748),".",IF(LEN(MONTH('Raw Data'!G748))=2,MONTH('Raw Data'!G748),CONCATENATE("0",MONTH('Raw Data'!G748)))),CONCATENATE(MONTH('Raw Data'!G748),".",RIGHT(YEAR('Raw Data'!G748),2))),'Raw Data'!G748))</f>
        <v>65.23</v>
      </c>
      <c r="H748">
        <f>'Raw Data'!H748</f>
        <v>10</v>
      </c>
      <c r="I748" s="6">
        <f t="shared" si="33"/>
        <v>32.614999999999895</v>
      </c>
      <c r="J748" s="6">
        <f>'Raw Data'!J748</f>
        <v>684.91499999999996</v>
      </c>
      <c r="K748" s="1">
        <f>VALUE(IFERROR(VALUE('Raw Data'!K748),CONCATENATE(MID('Raw Data'!K748,3,2),".","0",LEFT('Raw Data'!K748,1),".", RIGHT('Raw Data'!K748,4))))</f>
        <v>43678</v>
      </c>
      <c r="L748" s="2">
        <f>'Raw Data'!L748</f>
        <v>0.79652777777777783</v>
      </c>
      <c r="M748" t="s">
        <v>33</v>
      </c>
      <c r="N748">
        <f>VALUE(IF(AND(ISERR(FIND(".",'Raw Data'!N748)),LEN('Raw Data'!N748)=5), IF(YEAR('Raw Data'!N748)=2026,CONCATENATE(DAY('Raw Data'!N748),".",IF(LEN(MONTH('Raw Data'!N748))=2,MONTH('Raw Data'!N748),CONCATENATE("0",MONTH('Raw Data'!N748)))),CONCATENATE(MONTH('Raw Data'!N748),".",RIGHT(YEAR('Raw Data'!N748),2))),'Raw Data'!N748))</f>
        <v>652.29999999999995</v>
      </c>
      <c r="O748" s="6">
        <f t="shared" si="34"/>
        <v>4.7619047619047636</v>
      </c>
      <c r="P748" s="6">
        <f t="shared" si="35"/>
        <v>32.615000000000009</v>
      </c>
      <c r="Q748">
        <f>VALUE(IF(AND(ISERR(FIND(".",'Raw Data'!Q748)),LEN('Raw Data'!Q748)=5), IF(YEAR('Raw Data'!Q748)=2026,CONCATENATE(DAY('Raw Data'!Q748),".",IF(LEN(MONTH('Raw Data'!Q748))=2,MONTH('Raw Data'!Q748),CONCATENATE(MONTH('Raw Data'!Q748)))),CONCATENATE(MONTH('Raw Data'!Q748),".",RIGHT(YEAR('Raw Data'!Q748),2))),'Raw Data'!Q748))</f>
        <v>5.2</v>
      </c>
    </row>
    <row r="749" spans="1:17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f>VALUE(IF(AND(ISERR(FIND(".",'Raw Data'!G749)),LEN('Raw Data'!G749)=5), IF(YEAR('Raw Data'!G749)=2026,CONCATENATE(DAY('Raw Data'!G749),".",IF(LEN(MONTH('Raw Data'!G749))=2,MONTH('Raw Data'!G749),CONCATENATE("0",MONTH('Raw Data'!G749)))),CONCATENATE(MONTH('Raw Data'!G749),".",RIGHT(YEAR('Raw Data'!G749),2))),'Raw Data'!G749))</f>
        <v>10.53</v>
      </c>
      <c r="H749">
        <f>'Raw Data'!H749</f>
        <v>5</v>
      </c>
      <c r="I749" s="6">
        <f t="shared" si="33"/>
        <v>2.6325000000000003</v>
      </c>
      <c r="J749" s="6">
        <f>'Raw Data'!J749</f>
        <v>55.282499999999999</v>
      </c>
      <c r="K749" s="1">
        <f>VALUE(IFERROR(VALUE('Raw Data'!K749),CONCATENATE(MID('Raw Data'!K749,3,2),".","0",LEFT('Raw Data'!K749,1),".", RIGHT('Raw Data'!K749,4))))</f>
        <v>43495</v>
      </c>
      <c r="L749" s="2">
        <f>'Raw Data'!L749</f>
        <v>0.61319444444444449</v>
      </c>
      <c r="M749" t="s">
        <v>33</v>
      </c>
      <c r="N749">
        <f>VALUE(IF(AND(ISERR(FIND(".",'Raw Data'!N749)),LEN('Raw Data'!N749)=5), IF(YEAR('Raw Data'!N749)=2026,CONCATENATE(DAY('Raw Data'!N749),".",IF(LEN(MONTH('Raw Data'!N749))=2,MONTH('Raw Data'!N749),CONCATENATE("0",MONTH('Raw Data'!N749)))),CONCATENATE(MONTH('Raw Data'!N749),".",RIGHT(YEAR('Raw Data'!N749),2))),'Raw Data'!N749))</f>
        <v>52.65</v>
      </c>
      <c r="O749" s="6">
        <f t="shared" si="34"/>
        <v>4.7619047619047628</v>
      </c>
      <c r="P749" s="6">
        <f t="shared" si="35"/>
        <v>2.6325000000000003</v>
      </c>
      <c r="Q749">
        <f>VALUE(IF(AND(ISERR(FIND(".",'Raw Data'!Q749)),LEN('Raw Data'!Q749)=5), IF(YEAR('Raw Data'!Q749)=2026,CONCATENATE(DAY('Raw Data'!Q749),".",IF(LEN(MONTH('Raw Data'!Q749))=2,MONTH('Raw Data'!Q749),CONCATENATE(MONTH('Raw Data'!Q749)))),CONCATENATE(MONTH('Raw Data'!Q749),".",RIGHT(YEAR('Raw Data'!Q749),2))),'Raw Data'!Q749))</f>
        <v>5.8</v>
      </c>
    </row>
    <row r="750" spans="1:17">
      <c r="A750" t="s">
        <v>837</v>
      </c>
      <c r="B750" t="s">
        <v>34</v>
      </c>
      <c r="C750" t="s">
        <v>35</v>
      </c>
      <c r="D750" t="s">
        <v>20</v>
      </c>
      <c r="E750" t="s">
        <v>21</v>
      </c>
      <c r="F750" t="s">
        <v>32</v>
      </c>
      <c r="G750">
        <f>VALUE(IF(AND(ISERR(FIND(".",'Raw Data'!G750)),LEN('Raw Data'!G750)=5), IF(YEAR('Raw Data'!G750)=2026,CONCATENATE(DAY('Raw Data'!G750),".",IF(LEN(MONTH('Raw Data'!G750))=2,MONTH('Raw Data'!G750),CONCATENATE("0",MONTH('Raw Data'!G750)))),CONCATENATE(MONTH('Raw Data'!G750),".",RIGHT(YEAR('Raw Data'!G750),2))),'Raw Data'!G750))</f>
        <v>12.29</v>
      </c>
      <c r="H750">
        <f>'Raw Data'!H750</f>
        <v>9</v>
      </c>
      <c r="I750" s="6">
        <f t="shared" si="33"/>
        <v>5.5305000000000177</v>
      </c>
      <c r="J750" s="6">
        <f>'Raw Data'!J750</f>
        <v>116.1405</v>
      </c>
      <c r="K750" s="1">
        <f>VALUE(IFERROR(VALUE('Raw Data'!K750),CONCATENATE(MID('Raw Data'!K750,3,2),".","0",LEFT('Raw Data'!K750,1),".", RIGHT('Raw Data'!K750,4))))</f>
        <v>43550</v>
      </c>
      <c r="L750" s="2">
        <f>'Raw Data'!L750</f>
        <v>0.81111111111111101</v>
      </c>
      <c r="M750" t="s">
        <v>33</v>
      </c>
      <c r="N750">
        <f>VALUE(IF(AND(ISERR(FIND(".",'Raw Data'!N750)),LEN('Raw Data'!N750)=5), IF(YEAR('Raw Data'!N750)=2026,CONCATENATE(DAY('Raw Data'!N750),".",IF(LEN(MONTH('Raw Data'!N750))=2,MONTH('Raw Data'!N750),CONCATENATE("0",MONTH('Raw Data'!N750)))),CONCATENATE(MONTH('Raw Data'!N750),".",RIGHT(YEAR('Raw Data'!N750),2))),'Raw Data'!N750))</f>
        <v>110.61</v>
      </c>
      <c r="O750" s="6">
        <f t="shared" si="34"/>
        <v>4.7619047619047654</v>
      </c>
      <c r="P750" s="6">
        <f t="shared" si="35"/>
        <v>5.5305000000000035</v>
      </c>
      <c r="Q750">
        <f>VALUE(IF(AND(ISERR(FIND(".",'Raw Data'!Q750)),LEN('Raw Data'!Q750)=5), IF(YEAR('Raw Data'!Q750)=2026,CONCATENATE(DAY('Raw Data'!Q750),".",IF(LEN(MONTH('Raw Data'!Q750))=2,MONTH('Raw Data'!Q750),CONCATENATE(MONTH('Raw Data'!Q750)))),CONCATENATE(MONTH('Raw Data'!Q750),".",RIGHT(YEAR('Raw Data'!Q750),2))),'Raw Data'!Q750))</f>
        <v>8</v>
      </c>
    </row>
    <row r="751" spans="1:17">
      <c r="A751" t="s">
        <v>838</v>
      </c>
      <c r="B751" t="s">
        <v>25</v>
      </c>
      <c r="C751" t="s">
        <v>26</v>
      </c>
      <c r="D751" t="s">
        <v>20</v>
      </c>
      <c r="E751" t="s">
        <v>30</v>
      </c>
      <c r="F751" t="s">
        <v>22</v>
      </c>
      <c r="G751">
        <f>VALUE(IF(AND(ISERR(FIND(".",'Raw Data'!G751)),LEN('Raw Data'!G751)=5), IF(YEAR('Raw Data'!G751)=2026,CONCATENATE(DAY('Raw Data'!G751),".",IF(LEN(MONTH('Raw Data'!G751))=2,MONTH('Raw Data'!G751),CONCATENATE("0",MONTH('Raw Data'!G751)))),CONCATENATE(MONTH('Raw Data'!G751),".",RIGHT(YEAR('Raw Data'!G751),2))),'Raw Data'!G751))</f>
        <v>81.23</v>
      </c>
      <c r="H751">
        <f>'Raw Data'!H751</f>
        <v>7</v>
      </c>
      <c r="I751" s="6">
        <f t="shared" si="33"/>
        <v>28.430499999999938</v>
      </c>
      <c r="J751" s="6">
        <f>'Raw Data'!J751</f>
        <v>597.04049999999995</v>
      </c>
      <c r="K751" s="1">
        <f>VALUE(IFERROR(VALUE('Raw Data'!K751),CONCATENATE(MID('Raw Data'!K751,3,2),".","0",LEFT('Raw Data'!K751,1),".", RIGHT('Raw Data'!K751,4))))</f>
        <v>43480</v>
      </c>
      <c r="L751" s="2">
        <f>'Raw Data'!L751</f>
        <v>0.86388888888888893</v>
      </c>
      <c r="M751" t="s">
        <v>29</v>
      </c>
      <c r="N751">
        <f>VALUE(IF(AND(ISERR(FIND(".",'Raw Data'!N751)),LEN('Raw Data'!N751)=5), IF(YEAR('Raw Data'!N751)=2026,CONCATENATE(DAY('Raw Data'!N751),".",IF(LEN(MONTH('Raw Data'!N751))=2,MONTH('Raw Data'!N751),CONCATENATE("0",MONTH('Raw Data'!N751)))),CONCATENATE(MONTH('Raw Data'!N751),".",RIGHT(YEAR('Raw Data'!N751),2))),'Raw Data'!N751))</f>
        <v>568.61</v>
      </c>
      <c r="O751" s="6">
        <f t="shared" si="34"/>
        <v>4.7619047619047521</v>
      </c>
      <c r="P751" s="6">
        <f t="shared" si="35"/>
        <v>28.430499999999938</v>
      </c>
      <c r="Q751">
        <f>VALUE(IF(AND(ISERR(FIND(".",'Raw Data'!Q751)),LEN('Raw Data'!Q751)=5), IF(YEAR('Raw Data'!Q751)=2026,CONCATENATE(DAY('Raw Data'!Q751),".",IF(LEN(MONTH('Raw Data'!Q751))=2,MONTH('Raw Data'!Q751),CONCATENATE(MONTH('Raw Data'!Q751)))),CONCATENATE(MONTH('Raw Data'!Q751),".",RIGHT(YEAR('Raw Data'!Q751),2))),'Raw Data'!Q751))</f>
        <v>9</v>
      </c>
    </row>
    <row r="752" spans="1:17">
      <c r="A752" t="s">
        <v>839</v>
      </c>
      <c r="B752" t="s">
        <v>34</v>
      </c>
      <c r="C752" t="s">
        <v>35</v>
      </c>
      <c r="D752" t="s">
        <v>20</v>
      </c>
      <c r="E752" t="s">
        <v>21</v>
      </c>
      <c r="F752" t="s">
        <v>43</v>
      </c>
      <c r="G752">
        <f>VALUE(IF(AND(ISERR(FIND(".",'Raw Data'!G752)),LEN('Raw Data'!G752)=5), IF(YEAR('Raw Data'!G752)=2026,CONCATENATE(DAY('Raw Data'!G752),".",IF(LEN(MONTH('Raw Data'!G752))=2,MONTH('Raw Data'!G752),CONCATENATE("0",MONTH('Raw Data'!G752)))),CONCATENATE(MONTH('Raw Data'!G752),".",RIGHT(YEAR('Raw Data'!G752),2))),'Raw Data'!G752))</f>
        <v>22.32</v>
      </c>
      <c r="H752">
        <f>'Raw Data'!H752</f>
        <v>4</v>
      </c>
      <c r="I752" s="6">
        <f t="shared" si="33"/>
        <v>4.4639999999999986</v>
      </c>
      <c r="J752" s="6">
        <f>'Raw Data'!J752</f>
        <v>93.744</v>
      </c>
      <c r="K752" s="1">
        <f>VALUE(IFERROR(VALUE('Raw Data'!K752),CONCATENATE(MID('Raw Data'!K752,3,2),".","0",LEFT('Raw Data'!K752,1),".", RIGHT('Raw Data'!K752,4))))</f>
        <v>43538</v>
      </c>
      <c r="L752" s="2">
        <f>'Raw Data'!L752</f>
        <v>0.4694444444444445</v>
      </c>
      <c r="M752" t="s">
        <v>23</v>
      </c>
      <c r="N752">
        <f>VALUE(IF(AND(ISERR(FIND(".",'Raw Data'!N752)),LEN('Raw Data'!N752)=5), IF(YEAR('Raw Data'!N752)=2026,CONCATENATE(DAY('Raw Data'!N752),".",IF(LEN(MONTH('Raw Data'!N752))=2,MONTH('Raw Data'!N752),CONCATENATE("0",MONTH('Raw Data'!N752)))),CONCATENATE(MONTH('Raw Data'!N752),".",RIGHT(YEAR('Raw Data'!N752),2))),'Raw Data'!N752))</f>
        <v>89.28</v>
      </c>
      <c r="O752" s="6">
        <f t="shared" si="34"/>
        <v>4.7619047619047601</v>
      </c>
      <c r="P752" s="6">
        <f t="shared" si="35"/>
        <v>4.4639999999999986</v>
      </c>
      <c r="Q752">
        <f>VALUE(IF(AND(ISERR(FIND(".",'Raw Data'!Q752)),LEN('Raw Data'!Q752)=5), IF(YEAR('Raw Data'!Q752)=2026,CONCATENATE(DAY('Raw Data'!Q752),".",IF(LEN(MONTH('Raw Data'!Q752))=2,MONTH('Raw Data'!Q752),CONCATENATE(MONTH('Raw Data'!Q752)))),CONCATENATE(MONTH('Raw Data'!Q752),".",RIGHT(YEAR('Raw Data'!Q752),2))),'Raw Data'!Q752))</f>
        <v>4.0999999999999996</v>
      </c>
    </row>
    <row r="753" spans="1:17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40</v>
      </c>
      <c r="G753">
        <f>VALUE(IF(AND(ISERR(FIND(".",'Raw Data'!G753)),LEN('Raw Data'!G753)=5), IF(YEAR('Raw Data'!G753)=2026,CONCATENATE(DAY('Raw Data'!G753),".",IF(LEN(MONTH('Raw Data'!G753))=2,MONTH('Raw Data'!G753),CONCATENATE("0",MONTH('Raw Data'!G753)))),CONCATENATE(MONTH('Raw Data'!G753),".",RIGHT(YEAR('Raw Data'!G753),2))),'Raw Data'!G753))</f>
        <v>27.28</v>
      </c>
      <c r="H753">
        <f>'Raw Data'!H753</f>
        <v>5</v>
      </c>
      <c r="I753" s="6">
        <f t="shared" si="33"/>
        <v>6.8199999999999932</v>
      </c>
      <c r="J753" s="6">
        <f>'Raw Data'!J753</f>
        <v>143.22</v>
      </c>
      <c r="K753" s="1">
        <f>VALUE(IFERROR(VALUE('Raw Data'!K753),CONCATENATE(MID('Raw Data'!K753,3,2),".","0",LEFT('Raw Data'!K753,1),".", RIGHT('Raw Data'!K753,4))))</f>
        <v>43526</v>
      </c>
      <c r="L753" s="2">
        <f>'Raw Data'!L753</f>
        <v>0.4381944444444445</v>
      </c>
      <c r="M753" t="s">
        <v>33</v>
      </c>
      <c r="N753">
        <f>VALUE(IF(AND(ISERR(FIND(".",'Raw Data'!N753)),LEN('Raw Data'!N753)=5), IF(YEAR('Raw Data'!N753)=2026,CONCATENATE(DAY('Raw Data'!N753),".",IF(LEN(MONTH('Raw Data'!N753))=2,MONTH('Raw Data'!N753),CONCATENATE("0",MONTH('Raw Data'!N753)))),CONCATENATE(MONTH('Raw Data'!N753),".",RIGHT(YEAR('Raw Data'!N753),2))),'Raw Data'!N753))</f>
        <v>136.4</v>
      </c>
      <c r="O753" s="6">
        <f t="shared" si="34"/>
        <v>4.7619047619047574</v>
      </c>
      <c r="P753" s="6">
        <f t="shared" si="35"/>
        <v>6.8199999999999932</v>
      </c>
      <c r="Q753">
        <f>VALUE(IF(AND(ISERR(FIND(".",'Raw Data'!Q753)),LEN('Raw Data'!Q753)=5), IF(YEAR('Raw Data'!Q753)=2026,CONCATENATE(DAY('Raw Data'!Q753),".",IF(LEN(MONTH('Raw Data'!Q753))=2,MONTH('Raw Data'!Q753),CONCATENATE(MONTH('Raw Data'!Q753)))),CONCATENATE(MONTH('Raw Data'!Q753),".",RIGHT(YEAR('Raw Data'!Q753),2))),'Raw Data'!Q753))</f>
        <v>8.6</v>
      </c>
    </row>
    <row r="754" spans="1:17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f>VALUE(IF(AND(ISERR(FIND(".",'Raw Data'!G754)),LEN('Raw Data'!G754)=5), IF(YEAR('Raw Data'!G754)=2026,CONCATENATE(DAY('Raw Data'!G754),".",IF(LEN(MONTH('Raw Data'!G754))=2,MONTH('Raw Data'!G754),CONCATENATE("0",MONTH('Raw Data'!G754)))),CONCATENATE(MONTH('Raw Data'!G754),".",RIGHT(YEAR('Raw Data'!G754),2))),'Raw Data'!G754))</f>
        <v>17.420000000000002</v>
      </c>
      <c r="H754">
        <f>'Raw Data'!H754</f>
        <v>10</v>
      </c>
      <c r="I754" s="6">
        <f t="shared" si="33"/>
        <v>8.7099999999999795</v>
      </c>
      <c r="J754" s="6">
        <f>'Raw Data'!J754</f>
        <v>182.91</v>
      </c>
      <c r="K754" s="1">
        <f>VALUE(IFERROR(VALUE('Raw Data'!K754),CONCATENATE(MID('Raw Data'!K754,3,2),".","0",LEFT('Raw Data'!K754,1),".", RIGHT('Raw Data'!K754,4))))</f>
        <v>43518</v>
      </c>
      <c r="L754" s="2">
        <f>'Raw Data'!L754</f>
        <v>0.52083333333333337</v>
      </c>
      <c r="M754" t="s">
        <v>23</v>
      </c>
      <c r="N754">
        <f>VALUE(IF(AND(ISERR(FIND(".",'Raw Data'!N754)),LEN('Raw Data'!N754)=5), IF(YEAR('Raw Data'!N754)=2026,CONCATENATE(DAY('Raw Data'!N754),".",IF(LEN(MONTH('Raw Data'!N754))=2,MONTH('Raw Data'!N754),CONCATENATE("0",MONTH('Raw Data'!N754)))),CONCATENATE(MONTH('Raw Data'!N754),".",RIGHT(YEAR('Raw Data'!N754),2))),'Raw Data'!N754))</f>
        <v>174.2</v>
      </c>
      <c r="O754" s="6">
        <f t="shared" si="34"/>
        <v>4.7619047619047663</v>
      </c>
      <c r="P754" s="6">
        <f t="shared" si="35"/>
        <v>8.710000000000008</v>
      </c>
      <c r="Q754">
        <f>VALUE(IF(AND(ISERR(FIND(".",'Raw Data'!Q754)),LEN('Raw Data'!Q754)=5), IF(YEAR('Raw Data'!Q754)=2026,CONCATENATE(DAY('Raw Data'!Q754),".",IF(LEN(MONTH('Raw Data'!Q754))=2,MONTH('Raw Data'!Q754),CONCATENATE(MONTH('Raw Data'!Q754)))),CONCATENATE(MONTH('Raw Data'!Q754),".",RIGHT(YEAR('Raw Data'!Q754),2))),'Raw Data'!Q754))</f>
        <v>7</v>
      </c>
    </row>
    <row r="755" spans="1:17">
      <c r="A755" t="s">
        <v>842</v>
      </c>
      <c r="B755" t="s">
        <v>34</v>
      </c>
      <c r="C755" t="s">
        <v>35</v>
      </c>
      <c r="D755" t="s">
        <v>27</v>
      </c>
      <c r="E755" t="s">
        <v>30</v>
      </c>
      <c r="F755" t="s">
        <v>32</v>
      </c>
      <c r="G755">
        <f>VALUE(IF(AND(ISERR(FIND(".",'Raw Data'!G755)),LEN('Raw Data'!G755)=5), IF(YEAR('Raw Data'!G755)=2026,CONCATENATE(DAY('Raw Data'!G755),".",IF(LEN(MONTH('Raw Data'!G755))=2,MONTH('Raw Data'!G755),CONCATENATE("0",MONTH('Raw Data'!G755)))),CONCATENATE(MONTH('Raw Data'!G755),".",RIGHT(YEAR('Raw Data'!G755),2))),'Raw Data'!G755))</f>
        <v>73.28</v>
      </c>
      <c r="H755">
        <f>'Raw Data'!H755</f>
        <v>5</v>
      </c>
      <c r="I755" s="6">
        <f t="shared" si="33"/>
        <v>18.32000000000005</v>
      </c>
      <c r="J755" s="6">
        <f>'Raw Data'!J755</f>
        <v>384.72</v>
      </c>
      <c r="K755" s="1">
        <f>VALUE(IFERROR(VALUE('Raw Data'!K755),CONCATENATE(MID('Raw Data'!K755,3,2),".","0",LEFT('Raw Data'!K755,1),".", RIGHT('Raw Data'!K755,4))))</f>
        <v>43489</v>
      </c>
      <c r="L755" s="2">
        <f>'Raw Data'!L755</f>
        <v>0.62847222222222221</v>
      </c>
      <c r="M755" t="s">
        <v>23</v>
      </c>
      <c r="N755">
        <f>VALUE(IF(AND(ISERR(FIND(".",'Raw Data'!N755)),LEN('Raw Data'!N755)=5), IF(YEAR('Raw Data'!N755)=2026,CONCATENATE(DAY('Raw Data'!N755),".",IF(LEN(MONTH('Raw Data'!N755))=2,MONTH('Raw Data'!N755),CONCATENATE("0",MONTH('Raw Data'!N755)))),CONCATENATE(MONTH('Raw Data'!N755),".",RIGHT(YEAR('Raw Data'!N755),2))),'Raw Data'!N755))</f>
        <v>366.4</v>
      </c>
      <c r="O755" s="6">
        <f t="shared" si="34"/>
        <v>4.7619047619047752</v>
      </c>
      <c r="P755" s="6">
        <f t="shared" si="35"/>
        <v>18.32000000000005</v>
      </c>
      <c r="Q755">
        <f>VALUE(IF(AND(ISERR(FIND(".",'Raw Data'!Q755)),LEN('Raw Data'!Q755)=5), IF(YEAR('Raw Data'!Q755)=2026,CONCATENATE(DAY('Raw Data'!Q755),".",IF(LEN(MONTH('Raw Data'!Q755))=2,MONTH('Raw Data'!Q755),CONCATENATE(MONTH('Raw Data'!Q755)))),CONCATENATE(MONTH('Raw Data'!Q755),".",RIGHT(YEAR('Raw Data'!Q755),2))),'Raw Data'!Q755))</f>
        <v>8.4</v>
      </c>
    </row>
    <row r="756" spans="1:17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43</v>
      </c>
      <c r="G756">
        <f>VALUE(IF(AND(ISERR(FIND(".",'Raw Data'!G756)),LEN('Raw Data'!G756)=5), IF(YEAR('Raw Data'!G756)=2026,CONCATENATE(DAY('Raw Data'!G756),".",IF(LEN(MONTH('Raw Data'!G756))=2,MONTH('Raw Data'!G756),CONCATENATE("0",MONTH('Raw Data'!G756)))),CONCATENATE(MONTH('Raw Data'!G756),".",RIGHT(YEAR('Raw Data'!G756),2))),'Raw Data'!G756))</f>
        <v>84.87</v>
      </c>
      <c r="H756">
        <f>'Raw Data'!H756</f>
        <v>3</v>
      </c>
      <c r="I756" s="6">
        <f t="shared" si="33"/>
        <v>12.730500000000006</v>
      </c>
      <c r="J756" s="6">
        <f>'Raw Data'!J756</f>
        <v>267.34050000000002</v>
      </c>
      <c r="K756" s="1">
        <f>VALUE(IFERROR(VALUE('Raw Data'!K756),CONCATENATE(MID('Raw Data'!K756,3,2),".","0",LEFT('Raw Data'!K756,1),".", RIGHT('Raw Data'!K756,4))))</f>
        <v>43490</v>
      </c>
      <c r="L756" s="2">
        <f>'Raw Data'!L756</f>
        <v>0.77083333333333337</v>
      </c>
      <c r="M756" t="s">
        <v>23</v>
      </c>
      <c r="N756">
        <f>VALUE(IF(AND(ISERR(FIND(".",'Raw Data'!N756)),LEN('Raw Data'!N756)=5), IF(YEAR('Raw Data'!N756)=2026,CONCATENATE(DAY('Raw Data'!N756),".",IF(LEN(MONTH('Raw Data'!N756))=2,MONTH('Raw Data'!N756),CONCATENATE("0",MONTH('Raw Data'!N756)))),CONCATENATE(MONTH('Raw Data'!N756),".",RIGHT(YEAR('Raw Data'!N756),2))),'Raw Data'!N756))</f>
        <v>254.61</v>
      </c>
      <c r="O756" s="6">
        <f t="shared" si="34"/>
        <v>4.7619047619047636</v>
      </c>
      <c r="P756" s="6">
        <f t="shared" si="35"/>
        <v>12.730500000000006</v>
      </c>
      <c r="Q756">
        <f>VALUE(IF(AND(ISERR(FIND(".",'Raw Data'!Q756)),LEN('Raw Data'!Q756)=5), IF(YEAR('Raw Data'!Q756)=2026,CONCATENATE(DAY('Raw Data'!Q756),".",IF(LEN(MONTH('Raw Data'!Q756))=2,MONTH('Raw Data'!Q756),CONCATENATE(MONTH('Raw Data'!Q756)))),CONCATENATE(MONTH('Raw Data'!Q756),".",RIGHT(YEAR('Raw Data'!Q756),2))),'Raw Data'!Q756))</f>
        <v>7.4</v>
      </c>
    </row>
    <row r="757" spans="1:17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43</v>
      </c>
      <c r="G757">
        <f>VALUE(IF(AND(ISERR(FIND(".",'Raw Data'!G757)),LEN('Raw Data'!G757)=5), IF(YEAR('Raw Data'!G757)=2026,CONCATENATE(DAY('Raw Data'!G757),".",IF(LEN(MONTH('Raw Data'!G757))=2,MONTH('Raw Data'!G757),CONCATENATE("0",MONTH('Raw Data'!G757)))),CONCATENATE(MONTH('Raw Data'!G757),".",RIGHT(YEAR('Raw Data'!G757),2))),'Raw Data'!G757))</f>
        <v>97.29</v>
      </c>
      <c r="H757">
        <f>'Raw Data'!H757</f>
        <v>8</v>
      </c>
      <c r="I757" s="6">
        <f t="shared" si="33"/>
        <v>38.91599999999994</v>
      </c>
      <c r="J757" s="6">
        <f>'Raw Data'!J757</f>
        <v>817.23599999999999</v>
      </c>
      <c r="K757" s="1">
        <f>VALUE(IFERROR(VALUE('Raw Data'!K757),CONCATENATE(MID('Raw Data'!K757,3,2),".","0",LEFT('Raw Data'!K757,1),".", RIGHT('Raw Data'!K757,4))))</f>
        <v>43711</v>
      </c>
      <c r="L757" s="2">
        <f>'Raw Data'!L757</f>
        <v>0.5541666666666667</v>
      </c>
      <c r="M757" t="s">
        <v>33</v>
      </c>
      <c r="N757">
        <f>VALUE(IF(AND(ISERR(FIND(".",'Raw Data'!N757)),LEN('Raw Data'!N757)=5), IF(YEAR('Raw Data'!N757)=2026,CONCATENATE(DAY('Raw Data'!N757),".",IF(LEN(MONTH('Raw Data'!N757))=2,MONTH('Raw Data'!N757),CONCATENATE("0",MONTH('Raw Data'!N757)))),CONCATENATE(MONTH('Raw Data'!N757),".",RIGHT(YEAR('Raw Data'!N757),2))),'Raw Data'!N757))</f>
        <v>778.32</v>
      </c>
      <c r="O757" s="6">
        <f t="shared" si="34"/>
        <v>4.7619047619047548</v>
      </c>
      <c r="P757" s="6">
        <f t="shared" si="35"/>
        <v>38.91599999999994</v>
      </c>
      <c r="Q757">
        <f>VALUE(IF(AND(ISERR(FIND(".",'Raw Data'!Q757)),LEN('Raw Data'!Q757)=5), IF(YEAR('Raw Data'!Q757)=2026,CONCATENATE(DAY('Raw Data'!Q757),".",IF(LEN(MONTH('Raw Data'!Q757))=2,MONTH('Raw Data'!Q757),CONCATENATE(MONTH('Raw Data'!Q757)))),CONCATENATE(MONTH('Raw Data'!Q757),".",RIGHT(YEAR('Raw Data'!Q757),2))),'Raw Data'!Q757))</f>
        <v>6.2</v>
      </c>
    </row>
    <row r="758" spans="1:17">
      <c r="A758" t="s">
        <v>845</v>
      </c>
      <c r="B758" t="s">
        <v>34</v>
      </c>
      <c r="C758" t="s">
        <v>35</v>
      </c>
      <c r="D758" t="s">
        <v>20</v>
      </c>
      <c r="E758" t="s">
        <v>21</v>
      </c>
      <c r="F758" t="s">
        <v>28</v>
      </c>
      <c r="G758">
        <f>VALUE(IF(AND(ISERR(FIND(".",'Raw Data'!G758)),LEN('Raw Data'!G758)=5), IF(YEAR('Raw Data'!G758)=2026,CONCATENATE(DAY('Raw Data'!G758),".",IF(LEN(MONTH('Raw Data'!G758))=2,MONTH('Raw Data'!G758),CONCATENATE("0",MONTH('Raw Data'!G758)))),CONCATENATE(MONTH('Raw Data'!G758),".",RIGHT(YEAR('Raw Data'!G758),2))),'Raw Data'!G758))</f>
        <v>35.74</v>
      </c>
      <c r="H758">
        <f>'Raw Data'!H758</f>
        <v>8</v>
      </c>
      <c r="I758" s="6">
        <f t="shared" si="33"/>
        <v>14.295999999999992</v>
      </c>
      <c r="J758" s="6">
        <f>'Raw Data'!J758</f>
        <v>300.21600000000001</v>
      </c>
      <c r="K758" s="1">
        <f>VALUE(IFERROR(VALUE('Raw Data'!K758),CONCATENATE(MID('Raw Data'!K758,3,2),".","0",LEFT('Raw Data'!K758,1),".", RIGHT('Raw Data'!K758,4))))</f>
        <v>43513</v>
      </c>
      <c r="L758" s="2">
        <f>'Raw Data'!L758</f>
        <v>0.64444444444444449</v>
      </c>
      <c r="M758" t="s">
        <v>23</v>
      </c>
      <c r="N758">
        <f>VALUE(IF(AND(ISERR(FIND(".",'Raw Data'!N758)),LEN('Raw Data'!N758)=5), IF(YEAR('Raw Data'!N758)=2026,CONCATENATE(DAY('Raw Data'!N758),".",IF(LEN(MONTH('Raw Data'!N758))=2,MONTH('Raw Data'!N758),CONCATENATE("0",MONTH('Raw Data'!N758)))),CONCATENATE(MONTH('Raw Data'!N758),".",RIGHT(YEAR('Raw Data'!N758),2))),'Raw Data'!N758))</f>
        <v>285.92</v>
      </c>
      <c r="O758" s="6">
        <f t="shared" si="34"/>
        <v>4.7619047619047592</v>
      </c>
      <c r="P758" s="6">
        <f t="shared" si="35"/>
        <v>14.295999999999992</v>
      </c>
      <c r="Q758">
        <f>VALUE(IF(AND(ISERR(FIND(".",'Raw Data'!Q758)),LEN('Raw Data'!Q758)=5), IF(YEAR('Raw Data'!Q758)=2026,CONCATENATE(DAY('Raw Data'!Q758),".",IF(LEN(MONTH('Raw Data'!Q758))=2,MONTH('Raw Data'!Q758),CONCATENATE(MONTH('Raw Data'!Q758)))),CONCATENATE(MONTH('Raw Data'!Q758),".",RIGHT(YEAR('Raw Data'!Q758),2))),'Raw Data'!Q758))</f>
        <v>4.9000000000000004</v>
      </c>
    </row>
    <row r="759" spans="1:17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f>VALUE(IF(AND(ISERR(FIND(".",'Raw Data'!G759)),LEN('Raw Data'!G759)=5), IF(YEAR('Raw Data'!G759)=2026,CONCATENATE(DAY('Raw Data'!G759),".",IF(LEN(MONTH('Raw Data'!G759))=2,MONTH('Raw Data'!G759),CONCATENATE("0",MONTH('Raw Data'!G759)))),CONCATENATE(MONTH('Raw Data'!G759),".",RIGHT(YEAR('Raw Data'!G759),2))),'Raw Data'!G759))</f>
        <v>96.52</v>
      </c>
      <c r="H759">
        <f>'Raw Data'!H759</f>
        <v>6</v>
      </c>
      <c r="I759" s="6">
        <f t="shared" si="33"/>
        <v>28.956000000000017</v>
      </c>
      <c r="J759" s="6">
        <f>'Raw Data'!J759</f>
        <v>608.07600000000002</v>
      </c>
      <c r="K759" s="1">
        <f>VALUE(IFERROR(VALUE('Raw Data'!K759),CONCATENATE(MID('Raw Data'!K759,3,2),".","0",LEFT('Raw Data'!K759,1),".", RIGHT('Raw Data'!K759,4))))</f>
        <v>43770</v>
      </c>
      <c r="L759" s="2">
        <f>'Raw Data'!L759</f>
        <v>0.49444444444444446</v>
      </c>
      <c r="M759" t="s">
        <v>29</v>
      </c>
      <c r="N759">
        <f>VALUE(IF(AND(ISERR(FIND(".",'Raw Data'!N759)),LEN('Raw Data'!N759)=5), IF(YEAR('Raw Data'!N759)=2026,CONCATENATE(DAY('Raw Data'!N759),".",IF(LEN(MONTH('Raw Data'!N759))=2,MONTH('Raw Data'!N759),CONCATENATE("0",MONTH('Raw Data'!N759)))),CONCATENATE(MONTH('Raw Data'!N759),".",RIGHT(YEAR('Raw Data'!N759),2))),'Raw Data'!N759))</f>
        <v>579.12</v>
      </c>
      <c r="O759" s="6">
        <f t="shared" si="34"/>
        <v>4.7619047619047645</v>
      </c>
      <c r="P759" s="6">
        <f t="shared" si="35"/>
        <v>28.956000000000017</v>
      </c>
      <c r="Q759">
        <f>VALUE(IF(AND(ISERR(FIND(".",'Raw Data'!Q759)),LEN('Raw Data'!Q759)=5), IF(YEAR('Raw Data'!Q759)=2026,CONCATENATE(DAY('Raw Data'!Q759),".",IF(LEN(MONTH('Raw Data'!Q759))=2,MONTH('Raw Data'!Q759),CONCATENATE(MONTH('Raw Data'!Q759)))),CONCATENATE(MONTH('Raw Data'!Q759),".",RIGHT(YEAR('Raw Data'!Q759),2))),'Raw Data'!Q759))</f>
        <v>4.5</v>
      </c>
    </row>
    <row r="760" spans="1:17">
      <c r="A760" t="s">
        <v>847</v>
      </c>
      <c r="B760" t="s">
        <v>18</v>
      </c>
      <c r="C760" t="s">
        <v>19</v>
      </c>
      <c r="D760" t="s">
        <v>20</v>
      </c>
      <c r="E760" t="s">
        <v>30</v>
      </c>
      <c r="F760" t="s">
        <v>40</v>
      </c>
      <c r="G760">
        <f>VALUE(IF(AND(ISERR(FIND(".",'Raw Data'!G760)),LEN('Raw Data'!G760)=5), IF(YEAR('Raw Data'!G760)=2026,CONCATENATE(DAY('Raw Data'!G760),".",IF(LEN(MONTH('Raw Data'!G760))=2,MONTH('Raw Data'!G760),CONCATENATE("0",MONTH('Raw Data'!G760)))),CONCATENATE(MONTH('Raw Data'!G760),".",RIGHT(YEAR('Raw Data'!G760),2))),'Raw Data'!G760))</f>
        <v>18.850000000000001</v>
      </c>
      <c r="H760">
        <f>'Raw Data'!H760</f>
        <v>10</v>
      </c>
      <c r="I760" s="6">
        <f t="shared" si="33"/>
        <v>9.4250000000000114</v>
      </c>
      <c r="J760" s="6">
        <f>'Raw Data'!J760</f>
        <v>197.92500000000001</v>
      </c>
      <c r="K760" s="1">
        <f>VALUE(IFERROR(VALUE('Raw Data'!K760),CONCATENATE(MID('Raw Data'!K760,3,2),".","0",LEFT('Raw Data'!K760,1),".", RIGHT('Raw Data'!K760,4))))</f>
        <v>43523</v>
      </c>
      <c r="L760" s="2">
        <f>'Raw Data'!L760</f>
        <v>0.76666666666666661</v>
      </c>
      <c r="M760" t="s">
        <v>23</v>
      </c>
      <c r="N760">
        <f>VALUE(IF(AND(ISERR(FIND(".",'Raw Data'!N760)),LEN('Raw Data'!N760)=5), IF(YEAR('Raw Data'!N760)=2026,CONCATENATE(DAY('Raw Data'!N760),".",IF(LEN(MONTH('Raw Data'!N760))=2,MONTH('Raw Data'!N760),CONCATENATE("0",MONTH('Raw Data'!N760)))),CONCATENATE(MONTH('Raw Data'!N760),".",RIGHT(YEAR('Raw Data'!N760),2))),'Raw Data'!N760))</f>
        <v>188.5</v>
      </c>
      <c r="O760" s="6">
        <f t="shared" si="34"/>
        <v>4.7619047619047672</v>
      </c>
      <c r="P760" s="6">
        <f t="shared" si="35"/>
        <v>9.4250000000000114</v>
      </c>
      <c r="Q760">
        <f>VALUE(IF(AND(ISERR(FIND(".",'Raw Data'!Q760)),LEN('Raw Data'!Q760)=5), IF(YEAR('Raw Data'!Q760)=2026,CONCATENATE(DAY('Raw Data'!Q760),".",IF(LEN(MONTH('Raw Data'!Q760))=2,MONTH('Raw Data'!Q760),CONCATENATE(MONTH('Raw Data'!Q760)))),CONCATENATE(MONTH('Raw Data'!Q760),".",RIGHT(YEAR('Raw Data'!Q760),2))),'Raw Data'!Q760))</f>
        <v>5.6</v>
      </c>
    </row>
    <row r="761" spans="1:17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40</v>
      </c>
      <c r="G761">
        <f>VALUE(IF(AND(ISERR(FIND(".",'Raw Data'!G761)),LEN('Raw Data'!G761)=5), IF(YEAR('Raw Data'!G761)=2026,CONCATENATE(DAY('Raw Data'!G761),".",IF(LEN(MONTH('Raw Data'!G761))=2,MONTH('Raw Data'!G761),CONCATENATE("0",MONTH('Raw Data'!G761)))),CONCATENATE(MONTH('Raw Data'!G761),".",RIGHT(YEAR('Raw Data'!G761),2))),'Raw Data'!G761))</f>
        <v>55.39</v>
      </c>
      <c r="H761">
        <f>'Raw Data'!H761</f>
        <v>4</v>
      </c>
      <c r="I761" s="6">
        <f t="shared" si="33"/>
        <v>11.078000000000003</v>
      </c>
      <c r="J761" s="6">
        <f>'Raw Data'!J761</f>
        <v>232.63800000000001</v>
      </c>
      <c r="K761" s="1">
        <f>VALUE(IFERROR(VALUE('Raw Data'!K761),CONCATENATE(MID('Raw Data'!K761,3,2),".","0",LEFT('Raw Data'!K761,1),".", RIGHT('Raw Data'!K761,4))))</f>
        <v>43549</v>
      </c>
      <c r="L761" s="2">
        <f>'Raw Data'!L761</f>
        <v>0.6381944444444444</v>
      </c>
      <c r="M761" t="s">
        <v>23</v>
      </c>
      <c r="N761">
        <f>VALUE(IF(AND(ISERR(FIND(".",'Raw Data'!N761)),LEN('Raw Data'!N761)=5), IF(YEAR('Raw Data'!N761)=2026,CONCATENATE(DAY('Raw Data'!N761),".",IF(LEN(MONTH('Raw Data'!N761))=2,MONTH('Raw Data'!N761),CONCATENATE("0",MONTH('Raw Data'!N761)))),CONCATENATE(MONTH('Raw Data'!N761),".",RIGHT(YEAR('Raw Data'!N761),2))),'Raw Data'!N761))</f>
        <v>221.56</v>
      </c>
      <c r="O761" s="6">
        <f t="shared" si="34"/>
        <v>4.7619047619047628</v>
      </c>
      <c r="P761" s="6">
        <f t="shared" si="35"/>
        <v>11.078000000000003</v>
      </c>
      <c r="Q761">
        <f>VALUE(IF(AND(ISERR(FIND(".",'Raw Data'!Q761)),LEN('Raw Data'!Q761)=5), IF(YEAR('Raw Data'!Q761)=2026,CONCATENATE(DAY('Raw Data'!Q761),".",IF(LEN(MONTH('Raw Data'!Q761))=2,MONTH('Raw Data'!Q761),CONCATENATE(MONTH('Raw Data'!Q761)))),CONCATENATE(MONTH('Raw Data'!Q761),".",RIGHT(YEAR('Raw Data'!Q761),2))),'Raw Data'!Q761))</f>
        <v>8</v>
      </c>
    </row>
    <row r="762" spans="1:17">
      <c r="A762" t="s">
        <v>849</v>
      </c>
      <c r="B762" t="s">
        <v>34</v>
      </c>
      <c r="C762" t="s">
        <v>35</v>
      </c>
      <c r="D762" t="s">
        <v>20</v>
      </c>
      <c r="E762" t="s">
        <v>21</v>
      </c>
      <c r="F762" t="s">
        <v>40</v>
      </c>
      <c r="G762">
        <f>VALUE(IF(AND(ISERR(FIND(".",'Raw Data'!G762)),LEN('Raw Data'!G762)=5), IF(YEAR('Raw Data'!G762)=2026,CONCATENATE(DAY('Raw Data'!G762),".",IF(LEN(MONTH('Raw Data'!G762))=2,MONTH('Raw Data'!G762),CONCATENATE("0",MONTH('Raw Data'!G762)))),CONCATENATE(MONTH('Raw Data'!G762),".",RIGHT(YEAR('Raw Data'!G762),2))),'Raw Data'!G762))</f>
        <v>77.2</v>
      </c>
      <c r="H762">
        <f>'Raw Data'!H762</f>
        <v>10</v>
      </c>
      <c r="I762" s="6">
        <f t="shared" si="33"/>
        <v>38.600000000000023</v>
      </c>
      <c r="J762" s="6">
        <f>'Raw Data'!J762</f>
        <v>810.6</v>
      </c>
      <c r="K762" s="1">
        <f>VALUE(IFERROR(VALUE('Raw Data'!K762),CONCATENATE(MID('Raw Data'!K762,3,2),".","0",LEFT('Raw Data'!K762,1),".", RIGHT('Raw Data'!K762,4))))</f>
        <v>43771</v>
      </c>
      <c r="L762" s="2">
        <f>'Raw Data'!L762</f>
        <v>0.44305555555555554</v>
      </c>
      <c r="M762" t="s">
        <v>33</v>
      </c>
      <c r="N762">
        <f>VALUE(IF(AND(ISERR(FIND(".",'Raw Data'!N762)),LEN('Raw Data'!N762)=5), IF(YEAR('Raw Data'!N762)=2026,CONCATENATE(DAY('Raw Data'!N762),".",IF(LEN(MONTH('Raw Data'!N762))=2,MONTH('Raw Data'!N762),CONCATENATE("0",MONTH('Raw Data'!N762)))),CONCATENATE(MONTH('Raw Data'!N762),".",RIGHT(YEAR('Raw Data'!N762),2))),'Raw Data'!N762))</f>
        <v>772</v>
      </c>
      <c r="O762" s="6">
        <f t="shared" si="34"/>
        <v>4.7619047619047645</v>
      </c>
      <c r="P762" s="6">
        <f t="shared" si="35"/>
        <v>38.600000000000023</v>
      </c>
      <c r="Q762">
        <f>VALUE(IF(AND(ISERR(FIND(".",'Raw Data'!Q762)),LEN('Raw Data'!Q762)=5), IF(YEAR('Raw Data'!Q762)=2026,CONCATENATE(DAY('Raw Data'!Q762),".",IF(LEN(MONTH('Raw Data'!Q762))=2,MONTH('Raw Data'!Q762),CONCATENATE(MONTH('Raw Data'!Q762)))),CONCATENATE(MONTH('Raw Data'!Q762),".",RIGHT(YEAR('Raw Data'!Q762),2))),'Raw Data'!Q762))</f>
        <v>5.6</v>
      </c>
    </row>
    <row r="763" spans="1:17">
      <c r="A763" t="s">
        <v>850</v>
      </c>
      <c r="B763" t="s">
        <v>34</v>
      </c>
      <c r="C763" t="s">
        <v>35</v>
      </c>
      <c r="D763" t="s">
        <v>27</v>
      </c>
      <c r="E763" t="s">
        <v>30</v>
      </c>
      <c r="F763" t="s">
        <v>28</v>
      </c>
      <c r="G763">
        <f>VALUE(IF(AND(ISERR(FIND(".",'Raw Data'!G763)),LEN('Raw Data'!G763)=5), IF(YEAR('Raw Data'!G763)=2026,CONCATENATE(DAY('Raw Data'!G763),".",IF(LEN(MONTH('Raw Data'!G763))=2,MONTH('Raw Data'!G763),CONCATENATE("0",MONTH('Raw Data'!G763)))),CONCATENATE(MONTH('Raw Data'!G763),".",RIGHT(YEAR('Raw Data'!G763),2))),'Raw Data'!G763))</f>
        <v>72.13</v>
      </c>
      <c r="H763">
        <f>'Raw Data'!H763</f>
        <v>10</v>
      </c>
      <c r="I763" s="6">
        <f t="shared" si="33"/>
        <v>36.065000000000055</v>
      </c>
      <c r="J763" s="6">
        <f>'Raw Data'!J763</f>
        <v>757.36500000000001</v>
      </c>
      <c r="K763" s="1">
        <f>VALUE(IFERROR(VALUE('Raw Data'!K763),CONCATENATE(MID('Raw Data'!K763,3,2),".","0",LEFT('Raw Data'!K763,1),".", RIGHT('Raw Data'!K763,4))))</f>
        <v>43496</v>
      </c>
      <c r="L763" s="2">
        <f>'Raw Data'!L763</f>
        <v>0.6333333333333333</v>
      </c>
      <c r="M763" t="s">
        <v>33</v>
      </c>
      <c r="N763">
        <f>VALUE(IF(AND(ISERR(FIND(".",'Raw Data'!N763)),LEN('Raw Data'!N763)=5), IF(YEAR('Raw Data'!N763)=2026,CONCATENATE(DAY('Raw Data'!N763),".",IF(LEN(MONTH('Raw Data'!N763))=2,MONTH('Raw Data'!N763),CONCATENATE("0",MONTH('Raw Data'!N763)))),CONCATENATE(MONTH('Raw Data'!N763),".",RIGHT(YEAR('Raw Data'!N763),2))),'Raw Data'!N763))</f>
        <v>721.3</v>
      </c>
      <c r="O763" s="6">
        <f t="shared" si="34"/>
        <v>4.761904761904769</v>
      </c>
      <c r="P763" s="6">
        <f t="shared" si="35"/>
        <v>36.065000000000055</v>
      </c>
      <c r="Q763">
        <f>VALUE(IF(AND(ISERR(FIND(".",'Raw Data'!Q763)),LEN('Raw Data'!Q763)=5), IF(YEAR('Raw Data'!Q763)=2026,CONCATENATE(DAY('Raw Data'!Q763),".",IF(LEN(MONTH('Raw Data'!Q763))=2,MONTH('Raw Data'!Q763),CONCATENATE(MONTH('Raw Data'!Q763)))),CONCATENATE(MONTH('Raw Data'!Q763),".",RIGHT(YEAR('Raw Data'!Q763),2))),'Raw Data'!Q763))</f>
        <v>4.2</v>
      </c>
    </row>
    <row r="764" spans="1:17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43</v>
      </c>
      <c r="G764">
        <f>VALUE(IF(AND(ISERR(FIND(".",'Raw Data'!G764)),LEN('Raw Data'!G764)=5), IF(YEAR('Raw Data'!G764)=2026,CONCATENATE(DAY('Raw Data'!G764),".",IF(LEN(MONTH('Raw Data'!G764))=2,MONTH('Raw Data'!G764),CONCATENATE("0",MONTH('Raw Data'!G764)))),CONCATENATE(MONTH('Raw Data'!G764),".",RIGHT(YEAR('Raw Data'!G764),2))),'Raw Data'!G764))</f>
        <v>63.88</v>
      </c>
      <c r="H764">
        <f>'Raw Data'!H764</f>
        <v>8</v>
      </c>
      <c r="I764" s="6">
        <f t="shared" si="33"/>
        <v>25.551999999999964</v>
      </c>
      <c r="J764" s="6">
        <f>'Raw Data'!J764</f>
        <v>536.59199999999998</v>
      </c>
      <c r="K764" s="1">
        <f>VALUE(IFERROR(VALUE('Raw Data'!K764),CONCATENATE(MID('Raw Data'!K764,3,2),".","0",LEFT('Raw Data'!K764,1),".", RIGHT('Raw Data'!K764,4))))</f>
        <v>43485</v>
      </c>
      <c r="L764" s="2">
        <f>'Raw Data'!L764</f>
        <v>0.7416666666666667</v>
      </c>
      <c r="M764" t="s">
        <v>23</v>
      </c>
      <c r="N764">
        <f>VALUE(IF(AND(ISERR(FIND(".",'Raw Data'!N764)),LEN('Raw Data'!N764)=5), IF(YEAR('Raw Data'!N764)=2026,CONCATENATE(DAY('Raw Data'!N764),".",IF(LEN(MONTH('Raw Data'!N764))=2,MONTH('Raw Data'!N764),CONCATENATE("0",MONTH('Raw Data'!N764)))),CONCATENATE(MONTH('Raw Data'!N764),".",RIGHT(YEAR('Raw Data'!N764),2))),'Raw Data'!N764))</f>
        <v>511.04</v>
      </c>
      <c r="O764" s="6">
        <f t="shared" si="34"/>
        <v>4.7619047619047556</v>
      </c>
      <c r="P764" s="6">
        <f t="shared" si="35"/>
        <v>25.551999999999964</v>
      </c>
      <c r="Q764">
        <f>VALUE(IF(AND(ISERR(FIND(".",'Raw Data'!Q764)),LEN('Raw Data'!Q764)=5), IF(YEAR('Raw Data'!Q764)=2026,CONCATENATE(DAY('Raw Data'!Q764),".",IF(LEN(MONTH('Raw Data'!Q764))=2,MONTH('Raw Data'!Q764),CONCATENATE(MONTH('Raw Data'!Q764)))),CONCATENATE(MONTH('Raw Data'!Q764),".",RIGHT(YEAR('Raw Data'!Q764),2))),'Raw Data'!Q764))</f>
        <v>9.9</v>
      </c>
    </row>
    <row r="765" spans="1:17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f>VALUE(IF(AND(ISERR(FIND(".",'Raw Data'!G765)),LEN('Raw Data'!G765)=5), IF(YEAR('Raw Data'!G765)=2026,CONCATENATE(DAY('Raw Data'!G765),".",IF(LEN(MONTH('Raw Data'!G765))=2,MONTH('Raw Data'!G765),CONCATENATE("0",MONTH('Raw Data'!G765)))),CONCATENATE(MONTH('Raw Data'!G765),".",RIGHT(YEAR('Raw Data'!G765),2))),'Raw Data'!G765))</f>
        <v>10.69</v>
      </c>
      <c r="H765">
        <f>'Raw Data'!H765</f>
        <v>5</v>
      </c>
      <c r="I765" s="6">
        <f t="shared" si="33"/>
        <v>2.6725000000000065</v>
      </c>
      <c r="J765" s="6">
        <f>'Raw Data'!J765</f>
        <v>56.122500000000002</v>
      </c>
      <c r="K765" s="1">
        <f>VALUE(IFERROR(VALUE('Raw Data'!K765),CONCATENATE(MID('Raw Data'!K765,3,2),".","0",LEFT('Raw Data'!K765,1),".", RIGHT('Raw Data'!K765,4))))</f>
        <v>43550</v>
      </c>
      <c r="L765" s="2">
        <f>'Raw Data'!L765</f>
        <v>0.46319444444444446</v>
      </c>
      <c r="M765" t="s">
        <v>23</v>
      </c>
      <c r="N765">
        <f>VALUE(IF(AND(ISERR(FIND(".",'Raw Data'!N765)),LEN('Raw Data'!N765)=5), IF(YEAR('Raw Data'!N765)=2026,CONCATENATE(DAY('Raw Data'!N765),".",IF(LEN(MONTH('Raw Data'!N765))=2,MONTH('Raw Data'!N765),CONCATENATE("0",MONTH('Raw Data'!N765)))),CONCATENATE(MONTH('Raw Data'!N765),".",RIGHT(YEAR('Raw Data'!N765),2))),'Raw Data'!N765))</f>
        <v>53.45</v>
      </c>
      <c r="O765" s="6">
        <f t="shared" si="34"/>
        <v>4.761904761904761</v>
      </c>
      <c r="P765" s="6">
        <f t="shared" si="35"/>
        <v>2.6724999999999994</v>
      </c>
      <c r="Q765">
        <f>VALUE(IF(AND(ISERR(FIND(".",'Raw Data'!Q765)),LEN('Raw Data'!Q765)=5), IF(YEAR('Raw Data'!Q765)=2026,CONCATENATE(DAY('Raw Data'!Q765),".",IF(LEN(MONTH('Raw Data'!Q765))=2,MONTH('Raw Data'!Q765),CONCATENATE(MONTH('Raw Data'!Q765)))),CONCATENATE(MONTH('Raw Data'!Q765),".",RIGHT(YEAR('Raw Data'!Q765),2))),'Raw Data'!Q765))</f>
        <v>7.6</v>
      </c>
    </row>
    <row r="766" spans="1:17">
      <c r="A766" t="s">
        <v>853</v>
      </c>
      <c r="B766" t="s">
        <v>18</v>
      </c>
      <c r="C766" t="s">
        <v>19</v>
      </c>
      <c r="D766" t="s">
        <v>20</v>
      </c>
      <c r="E766" t="s">
        <v>30</v>
      </c>
      <c r="F766" t="s">
        <v>22</v>
      </c>
      <c r="G766">
        <f>VALUE(IF(AND(ISERR(FIND(".",'Raw Data'!G766)),LEN('Raw Data'!G766)=5), IF(YEAR('Raw Data'!G766)=2026,CONCATENATE(DAY('Raw Data'!G766),".",IF(LEN(MONTH('Raw Data'!G766))=2,MONTH('Raw Data'!G766),CONCATENATE("0",MONTH('Raw Data'!G766)))),CONCATENATE(MONTH('Raw Data'!G766),".",RIGHT(YEAR('Raw Data'!G766),2))),'Raw Data'!G766))</f>
        <v>55.5</v>
      </c>
      <c r="H766">
        <f>'Raw Data'!H766</f>
        <v>4</v>
      </c>
      <c r="I766" s="6">
        <f t="shared" si="33"/>
        <v>11.099999999999994</v>
      </c>
      <c r="J766" s="6">
        <f>'Raw Data'!J766</f>
        <v>233.1</v>
      </c>
      <c r="K766" s="1">
        <f>VALUE(IFERROR(VALUE('Raw Data'!K766),CONCATENATE(MID('Raw Data'!K766,3,2),".","0",LEFT('Raw Data'!K766,1),".", RIGHT('Raw Data'!K766,4))))</f>
        <v>43485</v>
      </c>
      <c r="L766" s="2">
        <f>'Raw Data'!L766</f>
        <v>0.65833333333333333</v>
      </c>
      <c r="M766" t="s">
        <v>33</v>
      </c>
      <c r="N766">
        <f>VALUE(IF(AND(ISERR(FIND(".",'Raw Data'!N766)),LEN('Raw Data'!N766)=5), IF(YEAR('Raw Data'!N766)=2026,CONCATENATE(DAY('Raw Data'!N766),".",IF(LEN(MONTH('Raw Data'!N766))=2,MONTH('Raw Data'!N766),CONCATENATE("0",MONTH('Raw Data'!N766)))),CONCATENATE(MONTH('Raw Data'!N766),".",RIGHT(YEAR('Raw Data'!N766),2))),'Raw Data'!N766))</f>
        <v>222</v>
      </c>
      <c r="O766" s="6">
        <f t="shared" si="34"/>
        <v>4.7619047619047592</v>
      </c>
      <c r="P766" s="6">
        <f t="shared" si="35"/>
        <v>11.099999999999994</v>
      </c>
      <c r="Q766">
        <f>VALUE(IF(AND(ISERR(FIND(".",'Raw Data'!Q766)),LEN('Raw Data'!Q766)=5), IF(YEAR('Raw Data'!Q766)=2026,CONCATENATE(DAY('Raw Data'!Q766),".",IF(LEN(MONTH('Raw Data'!Q766))=2,MONTH('Raw Data'!Q766),CONCATENATE(MONTH('Raw Data'!Q766)))),CONCATENATE(MONTH('Raw Data'!Q766),".",RIGHT(YEAR('Raw Data'!Q766),2))),'Raw Data'!Q766))</f>
        <v>6.6</v>
      </c>
    </row>
    <row r="767" spans="1:17">
      <c r="A767" t="s">
        <v>854</v>
      </c>
      <c r="B767" t="s">
        <v>34</v>
      </c>
      <c r="C767" t="s">
        <v>35</v>
      </c>
      <c r="D767" t="s">
        <v>27</v>
      </c>
      <c r="E767" t="s">
        <v>21</v>
      </c>
      <c r="F767" t="s">
        <v>32</v>
      </c>
      <c r="G767">
        <f>VALUE(IF(AND(ISERR(FIND(".",'Raw Data'!G767)),LEN('Raw Data'!G767)=5), IF(YEAR('Raw Data'!G767)=2026,CONCATENATE(DAY('Raw Data'!G767),".",IF(LEN(MONTH('Raw Data'!G767))=2,MONTH('Raw Data'!G767),CONCATENATE("0",MONTH('Raw Data'!G767)))),CONCATENATE(MONTH('Raw Data'!G767),".",RIGHT(YEAR('Raw Data'!G767),2))),'Raw Data'!G767))</f>
        <v>95.46</v>
      </c>
      <c r="H767">
        <f>'Raw Data'!H767</f>
        <v>8</v>
      </c>
      <c r="I767" s="6">
        <f t="shared" si="33"/>
        <v>38.184000000000083</v>
      </c>
      <c r="J767" s="6">
        <f>'Raw Data'!J767</f>
        <v>801.86400000000003</v>
      </c>
      <c r="K767" s="1">
        <f>VALUE(IFERROR(VALUE('Raw Data'!K767),CONCATENATE(MID('Raw Data'!K767,3,2),".","0",LEFT('Raw Data'!K767,1),".", RIGHT('Raw Data'!K767,4))))</f>
        <v>43588</v>
      </c>
      <c r="L767" s="2">
        <f>'Raw Data'!L767</f>
        <v>0.81944444444444453</v>
      </c>
      <c r="M767" t="s">
        <v>23</v>
      </c>
      <c r="N767">
        <f>VALUE(IF(AND(ISERR(FIND(".",'Raw Data'!N767)),LEN('Raw Data'!N767)=5), IF(YEAR('Raw Data'!N767)=2026,CONCATENATE(DAY('Raw Data'!N767),".",IF(LEN(MONTH('Raw Data'!N767))=2,MONTH('Raw Data'!N767),CONCATENATE("0",MONTH('Raw Data'!N767)))),CONCATENATE(MONTH('Raw Data'!N767),".",RIGHT(YEAR('Raw Data'!N767),2))),'Raw Data'!N767))</f>
        <v>763.68</v>
      </c>
      <c r="O767" s="6">
        <f t="shared" si="34"/>
        <v>4.7619047619047716</v>
      </c>
      <c r="P767" s="6">
        <f t="shared" si="35"/>
        <v>38.184000000000083</v>
      </c>
      <c r="Q767">
        <f>VALUE(IF(AND(ISERR(FIND(".",'Raw Data'!Q767)),LEN('Raw Data'!Q767)=5), IF(YEAR('Raw Data'!Q767)=2026,CONCATENATE(DAY('Raw Data'!Q767),".",IF(LEN(MONTH('Raw Data'!Q767))=2,MONTH('Raw Data'!Q767),CONCATENATE(MONTH('Raw Data'!Q767)))),CONCATENATE(MONTH('Raw Data'!Q767),".",RIGHT(YEAR('Raw Data'!Q767),2))),'Raw Data'!Q767))</f>
        <v>4.7</v>
      </c>
    </row>
    <row r="768" spans="1:17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43</v>
      </c>
      <c r="G768">
        <f>VALUE(IF(AND(ISERR(FIND(".",'Raw Data'!G768)),LEN('Raw Data'!G768)=5), IF(YEAR('Raw Data'!G768)=2026,CONCATENATE(DAY('Raw Data'!G768),".",IF(LEN(MONTH('Raw Data'!G768))=2,MONTH('Raw Data'!G768),CONCATENATE("0",MONTH('Raw Data'!G768)))),CONCATENATE(MONTH('Raw Data'!G768),".",RIGHT(YEAR('Raw Data'!G768),2))),'Raw Data'!G768))</f>
        <v>76.06</v>
      </c>
      <c r="H768">
        <f>'Raw Data'!H768</f>
        <v>3</v>
      </c>
      <c r="I768" s="6">
        <f t="shared" si="33"/>
        <v>11.408999999999992</v>
      </c>
      <c r="J768" s="6">
        <f>'Raw Data'!J768</f>
        <v>239.589</v>
      </c>
      <c r="K768" s="1">
        <f>VALUE(IFERROR(VALUE('Raw Data'!K768),CONCATENATE(MID('Raw Data'!K768,3,2),".","0",LEFT('Raw Data'!K768,1),".", RIGHT('Raw Data'!K768,4))))</f>
        <v>43586</v>
      </c>
      <c r="L768" s="2">
        <f>'Raw Data'!L768</f>
        <v>0.85416666666666663</v>
      </c>
      <c r="M768" t="s">
        <v>33</v>
      </c>
      <c r="N768">
        <f>VALUE(IF(AND(ISERR(FIND(".",'Raw Data'!N768)),LEN('Raw Data'!N768)=5), IF(YEAR('Raw Data'!N768)=2026,CONCATENATE(DAY('Raw Data'!N768),".",IF(LEN(MONTH('Raw Data'!N768))=2,MONTH('Raw Data'!N768),CONCATENATE("0",MONTH('Raw Data'!N768)))),CONCATENATE(MONTH('Raw Data'!N768),".",RIGHT(YEAR('Raw Data'!N768),2))),'Raw Data'!N768))</f>
        <v>228.18</v>
      </c>
      <c r="O768" s="6">
        <f t="shared" si="34"/>
        <v>4.7619047619047583</v>
      </c>
      <c r="P768" s="6">
        <f t="shared" si="35"/>
        <v>11.408999999999992</v>
      </c>
      <c r="Q768">
        <f>VALUE(IF(AND(ISERR(FIND(".",'Raw Data'!Q768)),LEN('Raw Data'!Q768)=5), IF(YEAR('Raw Data'!Q768)=2026,CONCATENATE(DAY('Raw Data'!Q768),".",IF(LEN(MONTH('Raw Data'!Q768))=2,MONTH('Raw Data'!Q768),CONCATENATE(MONTH('Raw Data'!Q768)))),CONCATENATE(MONTH('Raw Data'!Q768),".",RIGHT(YEAR('Raw Data'!Q768),2))),'Raw Data'!Q768))</f>
        <v>9.8000000000000007</v>
      </c>
    </row>
    <row r="769" spans="1:17">
      <c r="A769" t="s">
        <v>856</v>
      </c>
      <c r="B769" t="s">
        <v>34</v>
      </c>
      <c r="C769" t="s">
        <v>35</v>
      </c>
      <c r="D769" t="s">
        <v>27</v>
      </c>
      <c r="E769" t="s">
        <v>30</v>
      </c>
      <c r="F769" t="s">
        <v>38</v>
      </c>
      <c r="G769">
        <f>VALUE(IF(AND(ISERR(FIND(".",'Raw Data'!G769)),LEN('Raw Data'!G769)=5), IF(YEAR('Raw Data'!G769)=2026,CONCATENATE(DAY('Raw Data'!G769),".",IF(LEN(MONTH('Raw Data'!G769))=2,MONTH('Raw Data'!G769),CONCATENATE("0",MONTH('Raw Data'!G769)))),CONCATENATE(MONTH('Raw Data'!G769),".",RIGHT(YEAR('Raw Data'!G769),2))),'Raw Data'!G769))</f>
        <v>13.69</v>
      </c>
      <c r="H769">
        <f>'Raw Data'!H769</f>
        <v>6</v>
      </c>
      <c r="I769" s="6">
        <f t="shared" si="33"/>
        <v>4.1069999999999993</v>
      </c>
      <c r="J769" s="6">
        <f>'Raw Data'!J769</f>
        <v>86.247</v>
      </c>
      <c r="K769" s="1">
        <f>VALUE(IFERROR(VALUE('Raw Data'!K769),CONCATENATE(MID('Raw Data'!K769,3,2),".","0",LEFT('Raw Data'!K769,1),".", RIGHT('Raw Data'!K769,4))))</f>
        <v>43509</v>
      </c>
      <c r="L769" s="2">
        <f>'Raw Data'!L769</f>
        <v>0.58263888888888882</v>
      </c>
      <c r="M769" t="s">
        <v>29</v>
      </c>
      <c r="N769">
        <f>VALUE(IF(AND(ISERR(FIND(".",'Raw Data'!N769)),LEN('Raw Data'!N769)=5), IF(YEAR('Raw Data'!N769)=2026,CONCATENATE(DAY('Raw Data'!N769),".",IF(LEN(MONTH('Raw Data'!N769))=2,MONTH('Raw Data'!N769),CONCATENATE("0",MONTH('Raw Data'!N769)))),CONCATENATE(MONTH('Raw Data'!N769),".",RIGHT(YEAR('Raw Data'!N769),2))),'Raw Data'!N769))</f>
        <v>82.14</v>
      </c>
      <c r="O769" s="6">
        <f t="shared" si="34"/>
        <v>4.761904761904761</v>
      </c>
      <c r="P769" s="6">
        <f t="shared" si="35"/>
        <v>4.1069999999999993</v>
      </c>
      <c r="Q769">
        <f>VALUE(IF(AND(ISERR(FIND(".",'Raw Data'!Q769)),LEN('Raw Data'!Q769)=5), IF(YEAR('Raw Data'!Q769)=2026,CONCATENATE(DAY('Raw Data'!Q769),".",IF(LEN(MONTH('Raw Data'!Q769))=2,MONTH('Raw Data'!Q769),CONCATENATE(MONTH('Raw Data'!Q769)))),CONCATENATE(MONTH('Raw Data'!Q769),".",RIGHT(YEAR('Raw Data'!Q769),2))),'Raw Data'!Q769))</f>
        <v>6.3</v>
      </c>
    </row>
    <row r="770" spans="1:17">
      <c r="A770" t="s">
        <v>857</v>
      </c>
      <c r="B770" t="s">
        <v>34</v>
      </c>
      <c r="C770" t="s">
        <v>35</v>
      </c>
      <c r="D770" t="s">
        <v>27</v>
      </c>
      <c r="E770" t="s">
        <v>21</v>
      </c>
      <c r="F770" t="s">
        <v>28</v>
      </c>
      <c r="G770">
        <f>VALUE(IF(AND(ISERR(FIND(".",'Raw Data'!G770)),LEN('Raw Data'!G770)=5), IF(YEAR('Raw Data'!G770)=2026,CONCATENATE(DAY('Raw Data'!G770),".",IF(LEN(MONTH('Raw Data'!G770))=2,MONTH('Raw Data'!G770),CONCATENATE("0",MONTH('Raw Data'!G770)))),CONCATENATE(MONTH('Raw Data'!G770),".",RIGHT(YEAR('Raw Data'!G770),2))),'Raw Data'!G770))</f>
        <v>95.64</v>
      </c>
      <c r="H770">
        <f>'Raw Data'!H770</f>
        <v>4</v>
      </c>
      <c r="I770" s="6">
        <f t="shared" si="33"/>
        <v>19.127999999999986</v>
      </c>
      <c r="J770" s="6">
        <f>'Raw Data'!J770</f>
        <v>401.68799999999999</v>
      </c>
      <c r="K770" s="1">
        <f>VALUE(IFERROR(VALUE('Raw Data'!K770),CONCATENATE(MID('Raw Data'!K770,3,2),".","0",LEFT('Raw Data'!K770,1),".", RIGHT('Raw Data'!K770,4))))</f>
        <v>43540</v>
      </c>
      <c r="L770" s="2">
        <f>'Raw Data'!L770</f>
        <v>0.78541666666666676</v>
      </c>
      <c r="M770" t="s">
        <v>29</v>
      </c>
      <c r="N770">
        <f>VALUE(IF(AND(ISERR(FIND(".",'Raw Data'!N770)),LEN('Raw Data'!N770)=5), IF(YEAR('Raw Data'!N770)=2026,CONCATENATE(DAY('Raw Data'!N770),".",IF(LEN(MONTH('Raw Data'!N770))=2,MONTH('Raw Data'!N770),CONCATENATE("0",MONTH('Raw Data'!N770)))),CONCATENATE(MONTH('Raw Data'!N770),".",RIGHT(YEAR('Raw Data'!N770),2))),'Raw Data'!N770))</f>
        <v>382.56</v>
      </c>
      <c r="O770" s="6">
        <f t="shared" si="34"/>
        <v>4.7619047619047592</v>
      </c>
      <c r="P770" s="6">
        <f t="shared" si="35"/>
        <v>19.127999999999986</v>
      </c>
      <c r="Q770">
        <f>VALUE(IF(AND(ISERR(FIND(".",'Raw Data'!Q770)),LEN('Raw Data'!Q770)=5), IF(YEAR('Raw Data'!Q770)=2026,CONCATENATE(DAY('Raw Data'!Q770),".",IF(LEN(MONTH('Raw Data'!Q770))=2,MONTH('Raw Data'!Q770),CONCATENATE(MONTH('Raw Data'!Q770)))),CONCATENATE(MONTH('Raw Data'!Q770),".",RIGHT(YEAR('Raw Data'!Q770),2))),'Raw Data'!Q770))</f>
        <v>7.9</v>
      </c>
    </row>
    <row r="771" spans="1:17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f>VALUE(IF(AND(ISERR(FIND(".",'Raw Data'!G771)),LEN('Raw Data'!G771)=5), IF(YEAR('Raw Data'!G771)=2026,CONCATENATE(DAY('Raw Data'!G771),".",IF(LEN(MONTH('Raw Data'!G771))=2,MONTH('Raw Data'!G771),CONCATENATE("0",MONTH('Raw Data'!G771)))),CONCATENATE(MONTH('Raw Data'!G771),".",RIGHT(YEAR('Raw Data'!G771),2))),'Raw Data'!G771))</f>
        <v>11.43</v>
      </c>
      <c r="H771">
        <f>'Raw Data'!H771</f>
        <v>6</v>
      </c>
      <c r="I771" s="6">
        <f t="shared" ref="I771:I834" si="36">J771-G771*H771</f>
        <v>3.429000000000002</v>
      </c>
      <c r="J771" s="6">
        <f>'Raw Data'!J771</f>
        <v>72.009</v>
      </c>
      <c r="K771" s="1">
        <f>VALUE(IFERROR(VALUE('Raw Data'!K771),CONCATENATE(MID('Raw Data'!K771,3,2),".","0",LEFT('Raw Data'!K771,1),".", RIGHT('Raw Data'!K771,4))))</f>
        <v>43480</v>
      </c>
      <c r="L771" s="2">
        <f>'Raw Data'!L771</f>
        <v>0.72499999999999998</v>
      </c>
      <c r="M771" t="s">
        <v>29</v>
      </c>
      <c r="N771">
        <f>VALUE(IF(AND(ISERR(FIND(".",'Raw Data'!N771)),LEN('Raw Data'!N771)=5), IF(YEAR('Raw Data'!N771)=2026,CONCATENATE(DAY('Raw Data'!N771),".",IF(LEN(MONTH('Raw Data'!N771))=2,MONTH('Raw Data'!N771),CONCATENATE("0",MONTH('Raw Data'!N771)))),CONCATENATE(MONTH('Raw Data'!N771),".",RIGHT(YEAR('Raw Data'!N771),2))),'Raw Data'!N771))</f>
        <v>68.58</v>
      </c>
      <c r="O771" s="6">
        <f t="shared" ref="O771:O834" si="37">P771/J771*100</f>
        <v>4.7619047619047645</v>
      </c>
      <c r="P771" s="6">
        <f t="shared" ref="P771:P834" si="38">J771-N771</f>
        <v>3.429000000000002</v>
      </c>
      <c r="Q771">
        <f>VALUE(IF(AND(ISERR(FIND(".",'Raw Data'!Q771)),LEN('Raw Data'!Q771)=5), IF(YEAR('Raw Data'!Q771)=2026,CONCATENATE(DAY('Raw Data'!Q771),".",IF(LEN(MONTH('Raw Data'!Q771))=2,MONTH('Raw Data'!Q771),CONCATENATE(MONTH('Raw Data'!Q771)))),CONCATENATE(MONTH('Raw Data'!Q771),".",RIGHT(YEAR('Raw Data'!Q771),2))),'Raw Data'!Q771))</f>
        <v>7.7</v>
      </c>
    </row>
    <row r="772" spans="1:17">
      <c r="A772" t="s">
        <v>859</v>
      </c>
      <c r="B772" t="s">
        <v>34</v>
      </c>
      <c r="C772" t="s">
        <v>35</v>
      </c>
      <c r="D772" t="s">
        <v>20</v>
      </c>
      <c r="E772" t="s">
        <v>21</v>
      </c>
      <c r="F772" t="s">
        <v>38</v>
      </c>
      <c r="G772">
        <f>VALUE(IF(AND(ISERR(FIND(".",'Raw Data'!G772)),LEN('Raw Data'!G772)=5), IF(YEAR('Raw Data'!G772)=2026,CONCATENATE(DAY('Raw Data'!G772),".",IF(LEN(MONTH('Raw Data'!G772))=2,MONTH('Raw Data'!G772),CONCATENATE("0",MONTH('Raw Data'!G772)))),CONCATENATE(MONTH('Raw Data'!G772),".",RIGHT(YEAR('Raw Data'!G772),2))),'Raw Data'!G772))</f>
        <v>95.54</v>
      </c>
      <c r="H772">
        <f>'Raw Data'!H772</f>
        <v>4</v>
      </c>
      <c r="I772" s="6">
        <f t="shared" si="36"/>
        <v>19.107999999999947</v>
      </c>
      <c r="J772" s="6">
        <f>'Raw Data'!J772</f>
        <v>401.26799999999997</v>
      </c>
      <c r="K772" s="1">
        <f>VALUE(IFERROR(VALUE('Raw Data'!K772),CONCATENATE(MID('Raw Data'!K772,3,2),".","0",LEFT('Raw Data'!K772,1),".", RIGHT('Raw Data'!K772,4))))</f>
        <v>43522</v>
      </c>
      <c r="L772" s="2">
        <f>'Raw Data'!L772</f>
        <v>0.49861111111111112</v>
      </c>
      <c r="M772" t="s">
        <v>23</v>
      </c>
      <c r="N772">
        <f>VALUE(IF(AND(ISERR(FIND(".",'Raw Data'!N772)),LEN('Raw Data'!N772)=5), IF(YEAR('Raw Data'!N772)=2026,CONCATENATE(DAY('Raw Data'!N772),".",IF(LEN(MONTH('Raw Data'!N772))=2,MONTH('Raw Data'!N772),CONCATENATE("0",MONTH('Raw Data'!N772)))),CONCATENATE(MONTH('Raw Data'!N772),".",RIGHT(YEAR('Raw Data'!N772),2))),'Raw Data'!N772))</f>
        <v>382.16</v>
      </c>
      <c r="O772" s="6">
        <f t="shared" si="37"/>
        <v>4.7619047619047494</v>
      </c>
      <c r="P772" s="6">
        <f t="shared" si="38"/>
        <v>19.107999999999947</v>
      </c>
      <c r="Q772">
        <f>VALUE(IF(AND(ISERR(FIND(".",'Raw Data'!Q772)),LEN('Raw Data'!Q772)=5), IF(YEAR('Raw Data'!Q772)=2026,CONCATENATE(DAY('Raw Data'!Q772),".",IF(LEN(MONTH('Raw Data'!Q772))=2,MONTH('Raw Data'!Q772),CONCATENATE(MONTH('Raw Data'!Q772)))),CONCATENATE(MONTH('Raw Data'!Q772),".",RIGHT(YEAR('Raw Data'!Q772),2))),'Raw Data'!Q772))</f>
        <v>4.5</v>
      </c>
    </row>
    <row r="773" spans="1:17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f>VALUE(IF(AND(ISERR(FIND(".",'Raw Data'!G773)),LEN('Raw Data'!G773)=5), IF(YEAR('Raw Data'!G773)=2026,CONCATENATE(DAY('Raw Data'!G773),".",IF(LEN(MONTH('Raw Data'!G773))=2,MONTH('Raw Data'!G773),CONCATENATE("0",MONTH('Raw Data'!G773)))),CONCATENATE(MONTH('Raw Data'!G773),".",RIGHT(YEAR('Raw Data'!G773),2))),'Raw Data'!G773))</f>
        <v>85.87</v>
      </c>
      <c r="H773">
        <f>'Raw Data'!H773</f>
        <v>7</v>
      </c>
      <c r="I773" s="6">
        <f t="shared" si="36"/>
        <v>30.054499999999962</v>
      </c>
      <c r="J773" s="6">
        <f>'Raw Data'!J773</f>
        <v>631.14449999999999</v>
      </c>
      <c r="K773" s="1">
        <f>VALUE(IFERROR(VALUE('Raw Data'!K773),CONCATENATE(MID('Raw Data'!K773,3,2),".","0",LEFT('Raw Data'!K773,1),".", RIGHT('Raw Data'!K773,4))))</f>
        <v>43523</v>
      </c>
      <c r="L773" s="2">
        <f>'Raw Data'!L773</f>
        <v>0.79236111111111107</v>
      </c>
      <c r="M773" t="s">
        <v>33</v>
      </c>
      <c r="N773">
        <f>VALUE(IF(AND(ISERR(FIND(".",'Raw Data'!N773)),LEN('Raw Data'!N773)=5), IF(YEAR('Raw Data'!N773)=2026,CONCATENATE(DAY('Raw Data'!N773),".",IF(LEN(MONTH('Raw Data'!N773))=2,MONTH('Raw Data'!N773),CONCATENATE("0",MONTH('Raw Data'!N773)))),CONCATENATE(MONTH('Raw Data'!N773),".",RIGHT(YEAR('Raw Data'!N773),2))),'Raw Data'!N773))</f>
        <v>601.09</v>
      </c>
      <c r="O773" s="6">
        <f t="shared" si="37"/>
        <v>4.7619047619047556</v>
      </c>
      <c r="P773" s="6">
        <f t="shared" si="38"/>
        <v>30.054499999999962</v>
      </c>
      <c r="Q773">
        <f>VALUE(IF(AND(ISERR(FIND(".",'Raw Data'!Q773)),LEN('Raw Data'!Q773)=5), IF(YEAR('Raw Data'!Q773)=2026,CONCATENATE(DAY('Raw Data'!Q773),".",IF(LEN(MONTH('Raw Data'!Q773))=2,MONTH('Raw Data'!Q773),CONCATENATE(MONTH('Raw Data'!Q773)))),CONCATENATE(MONTH('Raw Data'!Q773),".",RIGHT(YEAR('Raw Data'!Q773),2))),'Raw Data'!Q773))</f>
        <v>8</v>
      </c>
    </row>
    <row r="774" spans="1:17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38</v>
      </c>
      <c r="G774">
        <f>VALUE(IF(AND(ISERR(FIND(".",'Raw Data'!G774)),LEN('Raw Data'!G774)=5), IF(YEAR('Raw Data'!G774)=2026,CONCATENATE(DAY('Raw Data'!G774),".",IF(LEN(MONTH('Raw Data'!G774))=2,MONTH('Raw Data'!G774),CONCATENATE("0",MONTH('Raw Data'!G774)))),CONCATENATE(MONTH('Raw Data'!G774),".",RIGHT(YEAR('Raw Data'!G774),2))),'Raw Data'!G774))</f>
        <v>67.989999999999995</v>
      </c>
      <c r="H774">
        <f>'Raw Data'!H774</f>
        <v>7</v>
      </c>
      <c r="I774" s="6">
        <f t="shared" si="36"/>
        <v>23.796500000000037</v>
      </c>
      <c r="J774" s="6">
        <f>'Raw Data'!J774</f>
        <v>499.72649999999999</v>
      </c>
      <c r="K774" s="1">
        <f>VALUE(IFERROR(VALUE('Raw Data'!K774),CONCATENATE(MID('Raw Data'!K774,3,2),".","0",LEFT('Raw Data'!K774,1),".", RIGHT('Raw Data'!K774,4))))</f>
        <v>43513</v>
      </c>
      <c r="L774" s="2">
        <f>'Raw Data'!L774</f>
        <v>0.70138888888888884</v>
      </c>
      <c r="M774" t="s">
        <v>23</v>
      </c>
      <c r="N774">
        <f>VALUE(IF(AND(ISERR(FIND(".",'Raw Data'!N774)),LEN('Raw Data'!N774)=5), IF(YEAR('Raw Data'!N774)=2026,CONCATENATE(DAY('Raw Data'!N774),".",IF(LEN(MONTH('Raw Data'!N774))=2,MONTH('Raw Data'!N774),CONCATENATE("0",MONTH('Raw Data'!N774)))),CONCATENATE(MONTH('Raw Data'!N774),".",RIGHT(YEAR('Raw Data'!N774),2))),'Raw Data'!N774))</f>
        <v>475.93</v>
      </c>
      <c r="O774" s="6">
        <f t="shared" si="37"/>
        <v>4.7619047619047583</v>
      </c>
      <c r="P774" s="6">
        <f t="shared" si="38"/>
        <v>23.79649999999998</v>
      </c>
      <c r="Q774">
        <f>VALUE(IF(AND(ISERR(FIND(".",'Raw Data'!Q774)),LEN('Raw Data'!Q774)=5), IF(YEAR('Raw Data'!Q774)=2026,CONCATENATE(DAY('Raw Data'!Q774),".",IF(LEN(MONTH('Raw Data'!Q774))=2,MONTH('Raw Data'!Q774),CONCATENATE(MONTH('Raw Data'!Q774)))),CONCATENATE(MONTH('Raw Data'!Q774),".",RIGHT(YEAR('Raw Data'!Q774),2))),'Raw Data'!Q774))</f>
        <v>5.7</v>
      </c>
    </row>
    <row r="775" spans="1:17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40</v>
      </c>
      <c r="G775">
        <f>VALUE(IF(AND(ISERR(FIND(".",'Raw Data'!G775)),LEN('Raw Data'!G775)=5), IF(YEAR('Raw Data'!G775)=2026,CONCATENATE(DAY('Raw Data'!G775),".",IF(LEN(MONTH('Raw Data'!G775))=2,MONTH('Raw Data'!G775),CONCATENATE("0",MONTH('Raw Data'!G775)))),CONCATENATE(MONTH('Raw Data'!G775),".",RIGHT(YEAR('Raw Data'!G775),2))),'Raw Data'!G775))</f>
        <v>52.42</v>
      </c>
      <c r="H775">
        <f>'Raw Data'!H775</f>
        <v>1</v>
      </c>
      <c r="I775" s="6">
        <f t="shared" si="36"/>
        <v>2.6209999999999951</v>
      </c>
      <c r="J775" s="6">
        <f>'Raw Data'!J775</f>
        <v>55.040999999999997</v>
      </c>
      <c r="K775" s="1">
        <f>VALUE(IFERROR(VALUE('Raw Data'!K775),CONCATENATE(MID('Raw Data'!K775,3,2),".","0",LEFT('Raw Data'!K775,1),".", RIGHT('Raw Data'!K775,4))))</f>
        <v>43618</v>
      </c>
      <c r="L775" s="2">
        <f>'Raw Data'!L775</f>
        <v>0.43194444444444446</v>
      </c>
      <c r="M775" t="s">
        <v>33</v>
      </c>
      <c r="N775">
        <f>VALUE(IF(AND(ISERR(FIND(".",'Raw Data'!N775)),LEN('Raw Data'!N775)=5), IF(YEAR('Raw Data'!N775)=2026,CONCATENATE(DAY('Raw Data'!N775),".",IF(LEN(MONTH('Raw Data'!N775))=2,MONTH('Raw Data'!N775),CONCATENATE("0",MONTH('Raw Data'!N775)))),CONCATENATE(MONTH('Raw Data'!N775),".",RIGHT(YEAR('Raw Data'!N775),2))),'Raw Data'!N775))</f>
        <v>52.42</v>
      </c>
      <c r="O775" s="6">
        <f t="shared" si="37"/>
        <v>4.761904761904753</v>
      </c>
      <c r="P775" s="6">
        <f t="shared" si="38"/>
        <v>2.6209999999999951</v>
      </c>
      <c r="Q775">
        <f>VALUE(IF(AND(ISERR(FIND(".",'Raw Data'!Q775)),LEN('Raw Data'!Q775)=5), IF(YEAR('Raw Data'!Q775)=2026,CONCATENATE(DAY('Raw Data'!Q775),".",IF(LEN(MONTH('Raw Data'!Q775))=2,MONTH('Raw Data'!Q775),CONCATENATE(MONTH('Raw Data'!Q775)))),CONCATENATE(MONTH('Raw Data'!Q775),".",RIGHT(YEAR('Raw Data'!Q775),2))),'Raw Data'!Q775))</f>
        <v>6.3</v>
      </c>
    </row>
    <row r="776" spans="1:17">
      <c r="A776" t="s">
        <v>863</v>
      </c>
      <c r="B776" t="s">
        <v>25</v>
      </c>
      <c r="C776" t="s">
        <v>26</v>
      </c>
      <c r="D776" t="s">
        <v>20</v>
      </c>
      <c r="E776" t="s">
        <v>30</v>
      </c>
      <c r="F776" t="s">
        <v>40</v>
      </c>
      <c r="G776">
        <f>VALUE(IF(AND(ISERR(FIND(".",'Raw Data'!G776)),LEN('Raw Data'!G776)=5), IF(YEAR('Raw Data'!G776)=2026,CONCATENATE(DAY('Raw Data'!G776),".",IF(LEN(MONTH('Raw Data'!G776))=2,MONTH('Raw Data'!G776),CONCATENATE("0",MONTH('Raw Data'!G776)))),CONCATENATE(MONTH('Raw Data'!G776),".",RIGHT(YEAR('Raw Data'!G776),2))),'Raw Data'!G776))</f>
        <v>65.650000000000006</v>
      </c>
      <c r="H776">
        <f>'Raw Data'!H776</f>
        <v>2</v>
      </c>
      <c r="I776" s="6">
        <f t="shared" si="36"/>
        <v>6.5649999999999977</v>
      </c>
      <c r="J776" s="6">
        <f>'Raw Data'!J776</f>
        <v>137.86500000000001</v>
      </c>
      <c r="K776" s="1">
        <f>VALUE(IFERROR(VALUE('Raw Data'!K776),CONCATENATE(MID('Raw Data'!K776,3,2),".","0",LEFT('Raw Data'!K776,1),".", RIGHT('Raw Data'!K776,4))))</f>
        <v>43482</v>
      </c>
      <c r="L776" s="2">
        <f>'Raw Data'!L776</f>
        <v>0.69861111111111107</v>
      </c>
      <c r="M776" t="s">
        <v>29</v>
      </c>
      <c r="N776">
        <f>VALUE(IF(AND(ISERR(FIND(".",'Raw Data'!N776)),LEN('Raw Data'!N776)=5), IF(YEAR('Raw Data'!N776)=2026,CONCATENATE(DAY('Raw Data'!N776),".",IF(LEN(MONTH('Raw Data'!N776))=2,MONTH('Raw Data'!N776),CONCATENATE("0",MONTH('Raw Data'!N776)))),CONCATENATE(MONTH('Raw Data'!N776),".",RIGHT(YEAR('Raw Data'!N776),2))),'Raw Data'!N776))</f>
        <v>131.30000000000001</v>
      </c>
      <c r="O776" s="6">
        <f t="shared" si="37"/>
        <v>4.7619047619047601</v>
      </c>
      <c r="P776" s="6">
        <f t="shared" si="38"/>
        <v>6.5649999999999977</v>
      </c>
      <c r="Q776">
        <f>VALUE(IF(AND(ISERR(FIND(".",'Raw Data'!Q776)),LEN('Raw Data'!Q776)=5), IF(YEAR('Raw Data'!Q776)=2026,CONCATENATE(DAY('Raw Data'!Q776),".",IF(LEN(MONTH('Raw Data'!Q776))=2,MONTH('Raw Data'!Q776),CONCATENATE(MONTH('Raw Data'!Q776)))),CONCATENATE(MONTH('Raw Data'!Q776),".",RIGHT(YEAR('Raw Data'!Q776),2))),'Raw Data'!Q776))</f>
        <v>6</v>
      </c>
    </row>
    <row r="777" spans="1:17">
      <c r="A777" t="s">
        <v>864</v>
      </c>
      <c r="B777" t="s">
        <v>34</v>
      </c>
      <c r="C777" t="s">
        <v>35</v>
      </c>
      <c r="D777" t="s">
        <v>27</v>
      </c>
      <c r="E777" t="s">
        <v>21</v>
      </c>
      <c r="F777" t="s">
        <v>40</v>
      </c>
      <c r="G777">
        <f>VALUE(IF(AND(ISERR(FIND(".",'Raw Data'!G777)),LEN('Raw Data'!G777)=5), IF(YEAR('Raw Data'!G777)=2026,CONCATENATE(DAY('Raw Data'!G777),".",IF(LEN(MONTH('Raw Data'!G777))=2,MONTH('Raw Data'!G777),CONCATENATE("0",MONTH('Raw Data'!G777)))),CONCATENATE(MONTH('Raw Data'!G777),".",RIGHT(YEAR('Raw Data'!G777),2))),'Raw Data'!G777))</f>
        <v>28.86</v>
      </c>
      <c r="H777">
        <f>'Raw Data'!H777</f>
        <v>5</v>
      </c>
      <c r="I777" s="6">
        <f t="shared" si="36"/>
        <v>7.214999999999975</v>
      </c>
      <c r="J777" s="6">
        <f>'Raw Data'!J777</f>
        <v>151.51499999999999</v>
      </c>
      <c r="K777" s="1">
        <f>VALUE(IFERROR(VALUE('Raw Data'!K777),CONCATENATE(MID('Raw Data'!K777,3,2),".","0",LEFT('Raw Data'!K777,1),".", RIGHT('Raw Data'!K777,4))))</f>
        <v>43487</v>
      </c>
      <c r="L777" s="2">
        <f>'Raw Data'!L777</f>
        <v>0.75555555555555554</v>
      </c>
      <c r="M777" t="s">
        <v>33</v>
      </c>
      <c r="N777">
        <f>VALUE(IF(AND(ISERR(FIND(".",'Raw Data'!N777)),LEN('Raw Data'!N777)=5), IF(YEAR('Raw Data'!N777)=2026,CONCATENATE(DAY('Raw Data'!N777),".",IF(LEN(MONTH('Raw Data'!N777))=2,MONTH('Raw Data'!N777),CONCATENATE("0",MONTH('Raw Data'!N777)))),CONCATENATE(MONTH('Raw Data'!N777),".",RIGHT(YEAR('Raw Data'!N777),2))),'Raw Data'!N777))</f>
        <v>144.30000000000001</v>
      </c>
      <c r="O777" s="6">
        <f t="shared" si="37"/>
        <v>4.7619047619047459</v>
      </c>
      <c r="P777" s="6">
        <f t="shared" si="38"/>
        <v>7.214999999999975</v>
      </c>
      <c r="Q777">
        <f>VALUE(IF(AND(ISERR(FIND(".",'Raw Data'!Q777)),LEN('Raw Data'!Q777)=5), IF(YEAR('Raw Data'!Q777)=2026,CONCATENATE(DAY('Raw Data'!Q777),".",IF(LEN(MONTH('Raw Data'!Q777))=2,MONTH('Raw Data'!Q777),CONCATENATE(MONTH('Raw Data'!Q777)))),CONCATENATE(MONTH('Raw Data'!Q777),".",RIGHT(YEAR('Raw Data'!Q777),2))),'Raw Data'!Q777))</f>
        <v>8</v>
      </c>
    </row>
    <row r="778" spans="1:17">
      <c r="A778" t="s">
        <v>865</v>
      </c>
      <c r="B778" t="s">
        <v>25</v>
      </c>
      <c r="C778" t="s">
        <v>26</v>
      </c>
      <c r="D778" t="s">
        <v>20</v>
      </c>
      <c r="E778" t="s">
        <v>30</v>
      </c>
      <c r="F778" t="s">
        <v>22</v>
      </c>
      <c r="G778">
        <f>VALUE(IF(AND(ISERR(FIND(".",'Raw Data'!G778)),LEN('Raw Data'!G778)=5), IF(YEAR('Raw Data'!G778)=2026,CONCATENATE(DAY('Raw Data'!G778),".",IF(LEN(MONTH('Raw Data'!G778))=2,MONTH('Raw Data'!G778),CONCATENATE("0",MONTH('Raw Data'!G778)))),CONCATENATE(MONTH('Raw Data'!G778),".",RIGHT(YEAR('Raw Data'!G778),2))),'Raw Data'!G778))</f>
        <v>65.31</v>
      </c>
      <c r="H778">
        <f>'Raw Data'!H778</f>
        <v>7</v>
      </c>
      <c r="I778" s="6">
        <f t="shared" si="36"/>
        <v>22.858499999999992</v>
      </c>
      <c r="J778" s="6">
        <f>'Raw Data'!J778</f>
        <v>480.02850000000001</v>
      </c>
      <c r="K778" s="1">
        <f>VALUE(IFERROR(VALUE('Raw Data'!K778),CONCATENATE(MID('Raw Data'!K778,3,2),".","0",LEFT('Raw Data'!K778,1),".", RIGHT('Raw Data'!K778,4))))</f>
        <v>43588</v>
      </c>
      <c r="L778" s="2">
        <f>'Raw Data'!L778</f>
        <v>0.75138888888888899</v>
      </c>
      <c r="M778" t="s">
        <v>33</v>
      </c>
      <c r="N778">
        <f>VALUE(IF(AND(ISERR(FIND(".",'Raw Data'!N778)),LEN('Raw Data'!N778)=5), IF(YEAR('Raw Data'!N778)=2026,CONCATENATE(DAY('Raw Data'!N778),".",IF(LEN(MONTH('Raw Data'!N778))=2,MONTH('Raw Data'!N778),CONCATENATE("0",MONTH('Raw Data'!N778)))),CONCATENATE(MONTH('Raw Data'!N778),".",RIGHT(YEAR('Raw Data'!N778),2))),'Raw Data'!N778))</f>
        <v>457.17</v>
      </c>
      <c r="O778" s="6">
        <f t="shared" si="37"/>
        <v>4.7619047619047601</v>
      </c>
      <c r="P778" s="6">
        <f t="shared" si="38"/>
        <v>22.858499999999992</v>
      </c>
      <c r="Q778">
        <f>VALUE(IF(AND(ISERR(FIND(".",'Raw Data'!Q778)),LEN('Raw Data'!Q778)=5), IF(YEAR('Raw Data'!Q778)=2026,CONCATENATE(DAY('Raw Data'!Q778),".",IF(LEN(MONTH('Raw Data'!Q778))=2,MONTH('Raw Data'!Q778),CONCATENATE(MONTH('Raw Data'!Q778)))),CONCATENATE(MONTH('Raw Data'!Q778),".",RIGHT(YEAR('Raw Data'!Q778),2))),'Raw Data'!Q778))</f>
        <v>4.2</v>
      </c>
    </row>
    <row r="779" spans="1:17">
      <c r="A779" t="s">
        <v>866</v>
      </c>
      <c r="B779" t="s">
        <v>34</v>
      </c>
      <c r="C779" t="s">
        <v>35</v>
      </c>
      <c r="D779" t="s">
        <v>27</v>
      </c>
      <c r="E779" t="s">
        <v>30</v>
      </c>
      <c r="F779" t="s">
        <v>38</v>
      </c>
      <c r="G779">
        <f>VALUE(IF(AND(ISERR(FIND(".",'Raw Data'!G779)),LEN('Raw Data'!G779)=5), IF(YEAR('Raw Data'!G779)=2026,CONCATENATE(DAY('Raw Data'!G779),".",IF(LEN(MONTH('Raw Data'!G779))=2,MONTH('Raw Data'!G779),CONCATENATE("0",MONTH('Raw Data'!G779)))),CONCATENATE(MONTH('Raw Data'!G779),".",RIGHT(YEAR('Raw Data'!G779),2))),'Raw Data'!G779))</f>
        <v>93.38</v>
      </c>
      <c r="H779">
        <f>'Raw Data'!H779</f>
        <v>1</v>
      </c>
      <c r="I779" s="6">
        <f t="shared" si="36"/>
        <v>4.6690000000000111</v>
      </c>
      <c r="J779" s="6">
        <f>'Raw Data'!J779</f>
        <v>98.049000000000007</v>
      </c>
      <c r="K779" s="1">
        <f>VALUE(IFERROR(VALUE('Raw Data'!K779),CONCATENATE(MID('Raw Data'!K779,3,2),".","0",LEFT('Raw Data'!K779,1),".", RIGHT('Raw Data'!K779,4))))</f>
        <v>43525</v>
      </c>
      <c r="L779" s="2">
        <f>'Raw Data'!L779</f>
        <v>0.54652777777777783</v>
      </c>
      <c r="M779" t="s">
        <v>29</v>
      </c>
      <c r="N779">
        <f>VALUE(IF(AND(ISERR(FIND(".",'Raw Data'!N779)),LEN('Raw Data'!N779)=5), IF(YEAR('Raw Data'!N779)=2026,CONCATENATE(DAY('Raw Data'!N779),".",IF(LEN(MONTH('Raw Data'!N779))=2,MONTH('Raw Data'!N779),CONCATENATE("0",MONTH('Raw Data'!N779)))),CONCATENATE(MONTH('Raw Data'!N779),".",RIGHT(YEAR('Raw Data'!N779),2))),'Raw Data'!N779))</f>
        <v>93.38</v>
      </c>
      <c r="O779" s="6">
        <f t="shared" si="37"/>
        <v>4.7619047619047725</v>
      </c>
      <c r="P779" s="6">
        <f t="shared" si="38"/>
        <v>4.6690000000000111</v>
      </c>
      <c r="Q779">
        <f>VALUE(IF(AND(ISERR(FIND(".",'Raw Data'!Q779)),LEN('Raw Data'!Q779)=5), IF(YEAR('Raw Data'!Q779)=2026,CONCATENATE(DAY('Raw Data'!Q779),".",IF(LEN(MONTH('Raw Data'!Q779))=2,MONTH('Raw Data'!Q779),CONCATENATE(MONTH('Raw Data'!Q779)))),CONCATENATE(MONTH('Raw Data'!Q779),".",RIGHT(YEAR('Raw Data'!Q779),2))),'Raw Data'!Q779))</f>
        <v>9.6</v>
      </c>
    </row>
    <row r="780" spans="1:17">
      <c r="A780" t="s">
        <v>867</v>
      </c>
      <c r="B780" t="s">
        <v>25</v>
      </c>
      <c r="C780" t="s">
        <v>26</v>
      </c>
      <c r="D780" t="s">
        <v>20</v>
      </c>
      <c r="E780" t="s">
        <v>30</v>
      </c>
      <c r="F780" t="s">
        <v>38</v>
      </c>
      <c r="G780">
        <f>VALUE(IF(AND(ISERR(FIND(".",'Raw Data'!G780)),LEN('Raw Data'!G780)=5), IF(YEAR('Raw Data'!G780)=2026,CONCATENATE(DAY('Raw Data'!G780),".",IF(LEN(MONTH('Raw Data'!G780))=2,MONTH('Raw Data'!G780),CONCATENATE("0",MONTH('Raw Data'!G780)))),CONCATENATE(MONTH('Raw Data'!G780),".",RIGHT(YEAR('Raw Data'!G780),2))),'Raw Data'!G780))</f>
        <v>25.25</v>
      </c>
      <c r="H780">
        <f>'Raw Data'!H780</f>
        <v>5</v>
      </c>
      <c r="I780" s="6">
        <f t="shared" si="36"/>
        <v>6.3125</v>
      </c>
      <c r="J780" s="6">
        <f>'Raw Data'!J780</f>
        <v>132.5625</v>
      </c>
      <c r="K780" s="1">
        <f>VALUE(IFERROR(VALUE('Raw Data'!K780),CONCATENATE(MID('Raw Data'!K780,3,2),".","0",LEFT('Raw Data'!K780,1),".", RIGHT('Raw Data'!K780,4))))</f>
        <v>43544</v>
      </c>
      <c r="L780" s="2">
        <f>'Raw Data'!L780</f>
        <v>0.74444444444444446</v>
      </c>
      <c r="M780" t="s">
        <v>29</v>
      </c>
      <c r="N780">
        <f>VALUE(IF(AND(ISERR(FIND(".",'Raw Data'!N780)),LEN('Raw Data'!N780)=5), IF(YEAR('Raw Data'!N780)=2026,CONCATENATE(DAY('Raw Data'!N780),".",IF(LEN(MONTH('Raw Data'!N780))=2,MONTH('Raw Data'!N780),CONCATENATE("0",MONTH('Raw Data'!N780)))),CONCATENATE(MONTH('Raw Data'!N780),".",RIGHT(YEAR('Raw Data'!N780),2))),'Raw Data'!N780))</f>
        <v>126.25</v>
      </c>
      <c r="O780" s="6">
        <f t="shared" si="37"/>
        <v>4.7619047619047619</v>
      </c>
      <c r="P780" s="6">
        <f t="shared" si="38"/>
        <v>6.3125</v>
      </c>
      <c r="Q780">
        <f>VALUE(IF(AND(ISERR(FIND(".",'Raw Data'!Q780)),LEN('Raw Data'!Q780)=5), IF(YEAR('Raw Data'!Q780)=2026,CONCATENATE(DAY('Raw Data'!Q780),".",IF(LEN(MONTH('Raw Data'!Q780))=2,MONTH('Raw Data'!Q780),CONCATENATE(MONTH('Raw Data'!Q780)))),CONCATENATE(MONTH('Raw Data'!Q780),".",RIGHT(YEAR('Raw Data'!Q780),2))),'Raw Data'!Q780))</f>
        <v>6.1</v>
      </c>
    </row>
    <row r="781" spans="1:17">
      <c r="A781" t="s">
        <v>868</v>
      </c>
      <c r="B781" t="s">
        <v>34</v>
      </c>
      <c r="C781" t="s">
        <v>35</v>
      </c>
      <c r="D781" t="s">
        <v>20</v>
      </c>
      <c r="E781" t="s">
        <v>30</v>
      </c>
      <c r="F781" t="s">
        <v>28</v>
      </c>
      <c r="G781">
        <f>VALUE(IF(AND(ISERR(FIND(".",'Raw Data'!G781)),LEN('Raw Data'!G781)=5), IF(YEAR('Raw Data'!G781)=2026,CONCATENATE(DAY('Raw Data'!G781),".",IF(LEN(MONTH('Raw Data'!G781))=2,MONTH('Raw Data'!G781),CONCATENATE("0",MONTH('Raw Data'!G781)))),CONCATENATE(MONTH('Raw Data'!G781),".",RIGHT(YEAR('Raw Data'!G781),2))),'Raw Data'!G781))</f>
        <v>87.87</v>
      </c>
      <c r="H781">
        <f>'Raw Data'!H781</f>
        <v>9</v>
      </c>
      <c r="I781" s="6">
        <f t="shared" si="36"/>
        <v>39.541499999999928</v>
      </c>
      <c r="J781" s="6">
        <f>'Raw Data'!J781</f>
        <v>830.37149999999997</v>
      </c>
      <c r="K781" s="1">
        <f>VALUE(IFERROR(VALUE('Raw Data'!K781),CONCATENATE(MID('Raw Data'!K781,3,2),".","0",LEFT('Raw Data'!K781,1),".", RIGHT('Raw Data'!K781,4))))</f>
        <v>43496</v>
      </c>
      <c r="L781" s="2">
        <f>'Raw Data'!L781</f>
        <v>0.85555555555555562</v>
      </c>
      <c r="M781" t="s">
        <v>23</v>
      </c>
      <c r="N781">
        <f>VALUE(IF(AND(ISERR(FIND(".",'Raw Data'!N781)),LEN('Raw Data'!N781)=5), IF(YEAR('Raw Data'!N781)=2026,CONCATENATE(DAY('Raw Data'!N781),".",IF(LEN(MONTH('Raw Data'!N781))=2,MONTH('Raw Data'!N781),CONCATENATE("0",MONTH('Raw Data'!N781)))),CONCATENATE(MONTH('Raw Data'!N781),".",RIGHT(YEAR('Raw Data'!N781),2))),'Raw Data'!N781))</f>
        <v>790.83</v>
      </c>
      <c r="O781" s="6">
        <f t="shared" si="37"/>
        <v>4.761904761904753</v>
      </c>
      <c r="P781" s="6">
        <f t="shared" si="38"/>
        <v>39.541499999999928</v>
      </c>
      <c r="Q781">
        <f>VALUE(IF(AND(ISERR(FIND(".",'Raw Data'!Q781)),LEN('Raw Data'!Q781)=5), IF(YEAR('Raw Data'!Q781)=2026,CONCATENATE(DAY('Raw Data'!Q781),".",IF(LEN(MONTH('Raw Data'!Q781))=2,MONTH('Raw Data'!Q781),CONCATENATE(MONTH('Raw Data'!Q781)))),CONCATENATE(MONTH('Raw Data'!Q781),".",RIGHT(YEAR('Raw Data'!Q781),2))),'Raw Data'!Q781))</f>
        <v>5.6</v>
      </c>
    </row>
    <row r="782" spans="1:17">
      <c r="A782" t="s">
        <v>869</v>
      </c>
      <c r="B782" t="s">
        <v>25</v>
      </c>
      <c r="C782" t="s">
        <v>26</v>
      </c>
      <c r="D782" t="s">
        <v>27</v>
      </c>
      <c r="E782" t="s">
        <v>30</v>
      </c>
      <c r="F782" t="s">
        <v>22</v>
      </c>
      <c r="G782">
        <f>VALUE(IF(AND(ISERR(FIND(".",'Raw Data'!G782)),LEN('Raw Data'!G782)=5), IF(YEAR('Raw Data'!G782)=2026,CONCATENATE(DAY('Raw Data'!G782),".",IF(LEN(MONTH('Raw Data'!G782))=2,MONTH('Raw Data'!G782),CONCATENATE("0",MONTH('Raw Data'!G782)))),CONCATENATE(MONTH('Raw Data'!G782),".",RIGHT(YEAR('Raw Data'!G782),2))),'Raw Data'!G782))</f>
        <v>21.08</v>
      </c>
      <c r="H782">
        <f>'Raw Data'!H782</f>
        <v>8</v>
      </c>
      <c r="I782" s="6">
        <f t="shared" si="36"/>
        <v>14.480000000000018</v>
      </c>
      <c r="J782" s="6">
        <f>'Raw Data'!J782</f>
        <v>183.12</v>
      </c>
      <c r="K782" s="1">
        <f>VALUE(IFERROR(VALUE('Raw Data'!K782),CONCATENATE(MID('Raw Data'!K782,3,2),".","0",LEFT('Raw Data'!K782,1),".", RIGHT('Raw Data'!K782,4))))</f>
        <v>43515</v>
      </c>
      <c r="L782" s="2">
        <f>'Raw Data'!L782</f>
        <v>0.80833333333333324</v>
      </c>
      <c r="M782" t="s">
        <v>29</v>
      </c>
      <c r="N782">
        <f>VALUE(IF(AND(ISERR(FIND(".",'Raw Data'!N782)),LEN('Raw Data'!N782)=5), IF(YEAR('Raw Data'!N782)=2026,CONCATENATE(DAY('Raw Data'!N782),".",IF(LEN(MONTH('Raw Data'!N782))=2,MONTH('Raw Data'!N782),CONCATENATE("0",MONTH('Raw Data'!N782)))),CONCATENATE(MONTH('Raw Data'!N782),".",RIGHT(YEAR('Raw Data'!N782),2))),'Raw Data'!N782))</f>
        <v>174.4</v>
      </c>
      <c r="O782" s="6">
        <f t="shared" si="37"/>
        <v>4.761904761904761</v>
      </c>
      <c r="P782" s="6">
        <f t="shared" si="38"/>
        <v>8.7199999999999989</v>
      </c>
      <c r="Q782">
        <f>VALUE(IF(AND(ISERR(FIND(".",'Raw Data'!Q782)),LEN('Raw Data'!Q782)=5), IF(YEAR('Raw Data'!Q782)=2026,CONCATENATE(DAY('Raw Data'!Q782),".",IF(LEN(MONTH('Raw Data'!Q782))=2,MONTH('Raw Data'!Q782),CONCATENATE(MONTH('Raw Data'!Q782)))),CONCATENATE(MONTH('Raw Data'!Q782),".",RIGHT(YEAR('Raw Data'!Q782),2))),'Raw Data'!Q782))</f>
        <v>8.3000000000000007</v>
      </c>
    </row>
    <row r="783" spans="1:17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38</v>
      </c>
      <c r="G783">
        <f>VALUE(IF(AND(ISERR(FIND(".",'Raw Data'!G783)),LEN('Raw Data'!G783)=5), IF(YEAR('Raw Data'!G783)=2026,CONCATENATE(DAY('Raw Data'!G783),".",IF(LEN(MONTH('Raw Data'!G783))=2,MONTH('Raw Data'!G783),CONCATENATE("0",MONTH('Raw Data'!G783)))),CONCATENATE(MONTH('Raw Data'!G783),".",RIGHT(YEAR('Raw Data'!G783),2))),'Raw Data'!G783))</f>
        <v>94.76</v>
      </c>
      <c r="H783">
        <f>'Raw Data'!H783</f>
        <v>4</v>
      </c>
      <c r="I783" s="6">
        <f t="shared" si="36"/>
        <v>18.951999999999998</v>
      </c>
      <c r="J783" s="6">
        <f>'Raw Data'!J783</f>
        <v>397.99200000000002</v>
      </c>
      <c r="K783" s="1">
        <f>VALUE(IFERROR(VALUE('Raw Data'!K783),CONCATENATE(MID('Raw Data'!K783,3,2),".","0",LEFT('Raw Data'!K783,1),".", RIGHT('Raw Data'!K783,4))))</f>
        <v>43771</v>
      </c>
      <c r="L783" s="2">
        <f>'Raw Data'!L783</f>
        <v>0.67083333333333339</v>
      </c>
      <c r="M783" t="s">
        <v>23</v>
      </c>
      <c r="N783">
        <f>VALUE(IF(AND(ISERR(FIND(".",'Raw Data'!N783)),LEN('Raw Data'!N783)=5), IF(YEAR('Raw Data'!N783)=2026,CONCATENATE(DAY('Raw Data'!N783),".",IF(LEN(MONTH('Raw Data'!N783))=2,MONTH('Raw Data'!N783),CONCATENATE("0",MONTH('Raw Data'!N783)))),CONCATENATE(MONTH('Raw Data'!N783),".",RIGHT(YEAR('Raw Data'!N783),2))),'Raw Data'!N783))</f>
        <v>379.04</v>
      </c>
      <c r="O783" s="6">
        <f t="shared" si="37"/>
        <v>4.761904761904761</v>
      </c>
      <c r="P783" s="6">
        <f t="shared" si="38"/>
        <v>18.951999999999998</v>
      </c>
      <c r="Q783">
        <f>VALUE(IF(AND(ISERR(FIND(".",'Raw Data'!Q783)),LEN('Raw Data'!Q783)=5), IF(YEAR('Raw Data'!Q783)=2026,CONCATENATE(DAY('Raw Data'!Q783),".",IF(LEN(MONTH('Raw Data'!Q783))=2,MONTH('Raw Data'!Q783),CONCATENATE(MONTH('Raw Data'!Q783)))),CONCATENATE(MONTH('Raw Data'!Q783),".",RIGHT(YEAR('Raw Data'!Q783),2))),'Raw Data'!Q783))</f>
        <v>7.8</v>
      </c>
    </row>
    <row r="784" spans="1:17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43</v>
      </c>
      <c r="G784">
        <f>VALUE(IF(AND(ISERR(FIND(".",'Raw Data'!G784)),LEN('Raw Data'!G784)=5), IF(YEAR('Raw Data'!G784)=2026,CONCATENATE(DAY('Raw Data'!G784),".",IF(LEN(MONTH('Raw Data'!G784))=2,MONTH('Raw Data'!G784),CONCATENATE("0",MONTH('Raw Data'!G784)))),CONCATENATE(MONTH('Raw Data'!G784),".",RIGHT(YEAR('Raw Data'!G784),2))),'Raw Data'!G784))</f>
        <v>30.62</v>
      </c>
      <c r="H784">
        <f>'Raw Data'!H784</f>
        <v>1</v>
      </c>
      <c r="I784" s="6">
        <f t="shared" si="36"/>
        <v>1.5310000000000024</v>
      </c>
      <c r="J784" s="6">
        <f>'Raw Data'!J784</f>
        <v>32.151000000000003</v>
      </c>
      <c r="K784" s="1">
        <f>VALUE(IFERROR(VALUE('Raw Data'!K784),CONCATENATE(MID('Raw Data'!K784,3,2),".","0",LEFT('Raw Data'!K784,1),".", RIGHT('Raw Data'!K784,4))))</f>
        <v>43587</v>
      </c>
      <c r="L784" s="2">
        <f>'Raw Data'!L784</f>
        <v>0.59305555555555556</v>
      </c>
      <c r="M784" t="s">
        <v>33</v>
      </c>
      <c r="N784">
        <f>VALUE(IF(AND(ISERR(FIND(".",'Raw Data'!N784)),LEN('Raw Data'!N784)=5), IF(YEAR('Raw Data'!N784)=2026,CONCATENATE(DAY('Raw Data'!N784),".",IF(LEN(MONTH('Raw Data'!N784))=2,MONTH('Raw Data'!N784),CONCATENATE("0",MONTH('Raw Data'!N784)))),CONCATENATE(MONTH('Raw Data'!N784),".",RIGHT(YEAR('Raw Data'!N784),2))),'Raw Data'!N784))</f>
        <v>30.62</v>
      </c>
      <c r="O784" s="6">
        <f t="shared" si="37"/>
        <v>4.761904761904769</v>
      </c>
      <c r="P784" s="6">
        <f t="shared" si="38"/>
        <v>1.5310000000000024</v>
      </c>
      <c r="Q784">
        <f>VALUE(IF(AND(ISERR(FIND(".",'Raw Data'!Q784)),LEN('Raw Data'!Q784)=5), IF(YEAR('Raw Data'!Q784)=2026,CONCATENATE(DAY('Raw Data'!Q784),".",IF(LEN(MONTH('Raw Data'!Q784))=2,MONTH('Raw Data'!Q784),CONCATENATE(MONTH('Raw Data'!Q784)))),CONCATENATE(MONTH('Raw Data'!Q784),".",RIGHT(YEAR('Raw Data'!Q784),2))),'Raw Data'!Q784))</f>
        <v>4.0999999999999996</v>
      </c>
    </row>
    <row r="785" spans="1:17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f>VALUE(IF(AND(ISERR(FIND(".",'Raw Data'!G785)),LEN('Raw Data'!G785)=5), IF(YEAR('Raw Data'!G785)=2026,CONCATENATE(DAY('Raw Data'!G785),".",IF(LEN(MONTH('Raw Data'!G785))=2,MONTH('Raw Data'!G785),CONCATENATE("0",MONTH('Raw Data'!G785)))),CONCATENATE(MONTH('Raw Data'!G785),".",RIGHT(YEAR('Raw Data'!G785),2))),'Raw Data'!G785))</f>
        <v>44.01</v>
      </c>
      <c r="H785">
        <f>'Raw Data'!H785</f>
        <v>8</v>
      </c>
      <c r="I785" s="6">
        <f t="shared" si="36"/>
        <v>17.604000000000042</v>
      </c>
      <c r="J785" s="6">
        <f>'Raw Data'!J785</f>
        <v>369.68400000000003</v>
      </c>
      <c r="K785" s="1">
        <f>VALUE(IFERROR(VALUE('Raw Data'!K785),CONCATENATE(MID('Raw Data'!K785,3,2),".","0",LEFT('Raw Data'!K785,1),".", RIGHT('Raw Data'!K785,4))))</f>
        <v>43527</v>
      </c>
      <c r="L785" s="2">
        <f>'Raw Data'!L785</f>
        <v>0.73333333333333339</v>
      </c>
      <c r="M785" t="s">
        <v>29</v>
      </c>
      <c r="N785">
        <f>VALUE(IF(AND(ISERR(FIND(".",'Raw Data'!N785)),LEN('Raw Data'!N785)=5), IF(YEAR('Raw Data'!N785)=2026,CONCATENATE(DAY('Raw Data'!N785),".",IF(LEN(MONTH('Raw Data'!N785))=2,MONTH('Raw Data'!N785),CONCATENATE("0",MONTH('Raw Data'!N785)))),CONCATENATE(MONTH('Raw Data'!N785),".",RIGHT(YEAR('Raw Data'!N785),2))),'Raw Data'!N785))</f>
        <v>352.08</v>
      </c>
      <c r="O785" s="6">
        <f t="shared" si="37"/>
        <v>4.7619047619047725</v>
      </c>
      <c r="P785" s="6">
        <f t="shared" si="38"/>
        <v>17.604000000000042</v>
      </c>
      <c r="Q785">
        <f>VALUE(IF(AND(ISERR(FIND(".",'Raw Data'!Q785)),LEN('Raw Data'!Q785)=5), IF(YEAR('Raw Data'!Q785)=2026,CONCATENATE(DAY('Raw Data'!Q785),".",IF(LEN(MONTH('Raw Data'!Q785))=2,MONTH('Raw Data'!Q785),CONCATENATE(MONTH('Raw Data'!Q785)))),CONCATENATE(MONTH('Raw Data'!Q785),".",RIGHT(YEAR('Raw Data'!Q785),2))),'Raw Data'!Q785))</f>
        <v>8.8000000000000007</v>
      </c>
    </row>
    <row r="786" spans="1:17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f>VALUE(IF(AND(ISERR(FIND(".",'Raw Data'!G786)),LEN('Raw Data'!G786)=5), IF(YEAR('Raw Data'!G786)=2026,CONCATENATE(DAY('Raw Data'!G786),".",IF(LEN(MONTH('Raw Data'!G786))=2,MONTH('Raw Data'!G786),CONCATENATE("0",MONTH('Raw Data'!G786)))),CONCATENATE(MONTH('Raw Data'!G786),".",RIGHT(YEAR('Raw Data'!G786),2))),'Raw Data'!G786))</f>
        <v>10.16</v>
      </c>
      <c r="H786">
        <f>'Raw Data'!H786</f>
        <v>5</v>
      </c>
      <c r="I786" s="6">
        <f t="shared" si="36"/>
        <v>2.5400000000000063</v>
      </c>
      <c r="J786" s="6">
        <f>'Raw Data'!J786</f>
        <v>53.34</v>
      </c>
      <c r="K786" s="1">
        <f>VALUE(IFERROR(VALUE('Raw Data'!K786),CONCATENATE(MID('Raw Data'!K786,3,2),".","0",LEFT('Raw Data'!K786,1),".", RIGHT('Raw Data'!K786,4))))</f>
        <v>43520</v>
      </c>
      <c r="L786" s="2">
        <f>'Raw Data'!L786</f>
        <v>0.54722222222222217</v>
      </c>
      <c r="M786" t="s">
        <v>23</v>
      </c>
      <c r="N786">
        <f>VALUE(IF(AND(ISERR(FIND(".",'Raw Data'!N786)),LEN('Raw Data'!N786)=5), IF(YEAR('Raw Data'!N786)=2026,CONCATENATE(DAY('Raw Data'!N786),".",IF(LEN(MONTH('Raw Data'!N786))=2,MONTH('Raw Data'!N786),CONCATENATE("0",MONTH('Raw Data'!N786)))),CONCATENATE(MONTH('Raw Data'!N786),".",RIGHT(YEAR('Raw Data'!N786),2))),'Raw Data'!N786))</f>
        <v>50.8</v>
      </c>
      <c r="O786" s="6">
        <f t="shared" si="37"/>
        <v>4.7619047619047734</v>
      </c>
      <c r="P786" s="6">
        <f t="shared" si="38"/>
        <v>2.5400000000000063</v>
      </c>
      <c r="Q786">
        <f>VALUE(IF(AND(ISERR(FIND(".",'Raw Data'!Q786)),LEN('Raw Data'!Q786)=5), IF(YEAR('Raw Data'!Q786)=2026,CONCATENATE(DAY('Raw Data'!Q786),".",IF(LEN(MONTH('Raw Data'!Q786))=2,MONTH('Raw Data'!Q786),CONCATENATE(MONTH('Raw Data'!Q786)))),CONCATENATE(MONTH('Raw Data'!Q786),".",RIGHT(YEAR('Raw Data'!Q786),2))),'Raw Data'!Q786))</f>
        <v>4.0999999999999996</v>
      </c>
    </row>
    <row r="787" spans="1:17">
      <c r="A787" t="s">
        <v>874</v>
      </c>
      <c r="B787" t="s">
        <v>18</v>
      </c>
      <c r="C787" t="s">
        <v>19</v>
      </c>
      <c r="D787" t="s">
        <v>27</v>
      </c>
      <c r="E787" t="s">
        <v>30</v>
      </c>
      <c r="F787" t="s">
        <v>28</v>
      </c>
      <c r="G787">
        <f>VALUE(IF(AND(ISERR(FIND(".",'Raw Data'!G787)),LEN('Raw Data'!G787)=5), IF(YEAR('Raw Data'!G787)=2026,CONCATENATE(DAY('Raw Data'!G787),".",IF(LEN(MONTH('Raw Data'!G787))=2,MONTH('Raw Data'!G787),CONCATENATE("0",MONTH('Raw Data'!G787)))),CONCATENATE(MONTH('Raw Data'!G787),".",RIGHT(YEAR('Raw Data'!G787),2))),'Raw Data'!G787))</f>
        <v>74.58</v>
      </c>
      <c r="H787">
        <f>'Raw Data'!H787</f>
        <v>7</v>
      </c>
      <c r="I787" s="6">
        <f t="shared" si="36"/>
        <v>26.103000000000065</v>
      </c>
      <c r="J787" s="6">
        <f>'Raw Data'!J787</f>
        <v>548.16300000000001</v>
      </c>
      <c r="K787" s="1">
        <f>VALUE(IFERROR(VALUE('Raw Data'!K787),CONCATENATE(MID('Raw Data'!K787,3,2),".","0",LEFT('Raw Data'!K787,1),".", RIGHT('Raw Data'!K787,4))))</f>
        <v>43557</v>
      </c>
      <c r="L787" s="2">
        <f>'Raw Data'!L787</f>
        <v>0.67291666666666661</v>
      </c>
      <c r="M787" t="s">
        <v>33</v>
      </c>
      <c r="N787">
        <f>VALUE(IF(AND(ISERR(FIND(".",'Raw Data'!N787)),LEN('Raw Data'!N787)=5), IF(YEAR('Raw Data'!N787)=2026,CONCATENATE(DAY('Raw Data'!N787),".",IF(LEN(MONTH('Raw Data'!N787))=2,MONTH('Raw Data'!N787),CONCATENATE("0",MONTH('Raw Data'!N787)))),CONCATENATE(MONTH('Raw Data'!N787),".",RIGHT(YEAR('Raw Data'!N787),2))),'Raw Data'!N787))</f>
        <v>522.05999999999995</v>
      </c>
      <c r="O787" s="6">
        <f t="shared" si="37"/>
        <v>4.7619047619047734</v>
      </c>
      <c r="P787" s="6">
        <f t="shared" si="38"/>
        <v>26.103000000000065</v>
      </c>
      <c r="Q787">
        <f>VALUE(IF(AND(ISERR(FIND(".",'Raw Data'!Q787)),LEN('Raw Data'!Q787)=5), IF(YEAR('Raw Data'!Q787)=2026,CONCATENATE(DAY('Raw Data'!Q787),".",IF(LEN(MONTH('Raw Data'!Q787))=2,MONTH('Raw Data'!Q787),CONCATENATE(MONTH('Raw Data'!Q787)))),CONCATENATE(MONTH('Raw Data'!Q787),".",RIGHT(YEAR('Raw Data'!Q787),2))),'Raw Data'!Q787))</f>
        <v>9</v>
      </c>
    </row>
    <row r="788" spans="1:17">
      <c r="A788" t="s">
        <v>875</v>
      </c>
      <c r="B788" t="s">
        <v>25</v>
      </c>
      <c r="C788" t="s">
        <v>26</v>
      </c>
      <c r="D788" t="s">
        <v>27</v>
      </c>
      <c r="E788" t="s">
        <v>30</v>
      </c>
      <c r="F788" t="s">
        <v>28</v>
      </c>
      <c r="G788">
        <f>VALUE(IF(AND(ISERR(FIND(".",'Raw Data'!G788)),LEN('Raw Data'!G788)=5), IF(YEAR('Raw Data'!G788)=2026,CONCATENATE(DAY('Raw Data'!G788),".",IF(LEN(MONTH('Raw Data'!G788))=2,MONTH('Raw Data'!G788),CONCATENATE("0",MONTH('Raw Data'!G788)))),CONCATENATE(MONTH('Raw Data'!G788),".",RIGHT(YEAR('Raw Data'!G788),2))),'Raw Data'!G788))</f>
        <v>71.89</v>
      </c>
      <c r="H788">
        <f>'Raw Data'!H788</f>
        <v>8</v>
      </c>
      <c r="I788" s="6">
        <f t="shared" si="36"/>
        <v>28.755999999999972</v>
      </c>
      <c r="J788" s="6">
        <f>'Raw Data'!J788</f>
        <v>603.87599999999998</v>
      </c>
      <c r="K788" s="1">
        <f>VALUE(IFERROR(VALUE('Raw Data'!K788),CONCATENATE(MID('Raw Data'!K788,3,2),".","0",LEFT('Raw Data'!K788,1),".", RIGHT('Raw Data'!K788,4))))</f>
        <v>43515</v>
      </c>
      <c r="L788" s="2">
        <f>'Raw Data'!L788</f>
        <v>0.48125000000000001</v>
      </c>
      <c r="M788" t="s">
        <v>23</v>
      </c>
      <c r="N788">
        <f>VALUE(IF(AND(ISERR(FIND(".",'Raw Data'!N788)),LEN('Raw Data'!N788)=5), IF(YEAR('Raw Data'!N788)=2026,CONCATENATE(DAY('Raw Data'!N788),".",IF(LEN(MONTH('Raw Data'!N788))=2,MONTH('Raw Data'!N788),CONCATENATE("0",MONTH('Raw Data'!N788)))),CONCATENATE(MONTH('Raw Data'!N788),".",RIGHT(YEAR('Raw Data'!N788),2))),'Raw Data'!N788))</f>
        <v>575.12</v>
      </c>
      <c r="O788" s="6">
        <f t="shared" si="37"/>
        <v>4.7619047619047574</v>
      </c>
      <c r="P788" s="6">
        <f t="shared" si="38"/>
        <v>28.755999999999972</v>
      </c>
      <c r="Q788">
        <f>VALUE(IF(AND(ISERR(FIND(".",'Raw Data'!Q788)),LEN('Raw Data'!Q788)=5), IF(YEAR('Raw Data'!Q788)=2026,CONCATENATE(DAY('Raw Data'!Q788),".",IF(LEN(MONTH('Raw Data'!Q788))=2,MONTH('Raw Data'!Q788),CONCATENATE(MONTH('Raw Data'!Q788)))),CONCATENATE(MONTH('Raw Data'!Q788),".",RIGHT(YEAR('Raw Data'!Q788),2))),'Raw Data'!Q788))</f>
        <v>5.5</v>
      </c>
    </row>
    <row r="789" spans="1:17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f>VALUE(IF(AND(ISERR(FIND(".",'Raw Data'!G789)),LEN('Raw Data'!G789)=5), IF(YEAR('Raw Data'!G789)=2026,CONCATENATE(DAY('Raw Data'!G789),".",IF(LEN(MONTH('Raw Data'!G789))=2,MONTH('Raw Data'!G789),CONCATENATE("0",MONTH('Raw Data'!G789)))),CONCATENATE(MONTH('Raw Data'!G789),".",RIGHT(YEAR('Raw Data'!G789),2))),'Raw Data'!G789))</f>
        <v>10.99</v>
      </c>
      <c r="H789">
        <f>'Raw Data'!H789</f>
        <v>5</v>
      </c>
      <c r="I789" s="6">
        <f t="shared" si="36"/>
        <v>2.7474999999999952</v>
      </c>
      <c r="J789" s="6">
        <f>'Raw Data'!J789</f>
        <v>57.697499999999998</v>
      </c>
      <c r="K789" s="1">
        <f>VALUE(IFERROR(VALUE('Raw Data'!K789),CONCATENATE(MID('Raw Data'!K789,3,2),".","0",LEFT('Raw Data'!K789,1),".", RIGHT('Raw Data'!K789,4))))</f>
        <v>43488</v>
      </c>
      <c r="L789" s="2">
        <f>'Raw Data'!L789</f>
        <v>0.4291666666666667</v>
      </c>
      <c r="M789" t="s">
        <v>33</v>
      </c>
      <c r="N789">
        <f>VALUE(IF(AND(ISERR(FIND(".",'Raw Data'!N789)),LEN('Raw Data'!N789)=5), IF(YEAR('Raw Data'!N789)=2026,CONCATENATE(DAY('Raw Data'!N789),".",IF(LEN(MONTH('Raw Data'!N789))=2,MONTH('Raw Data'!N789),CONCATENATE("0",MONTH('Raw Data'!N789)))),CONCATENATE(MONTH('Raw Data'!N789),".",RIGHT(YEAR('Raw Data'!N789),2))),'Raw Data'!N789))</f>
        <v>54.95</v>
      </c>
      <c r="O789" s="6">
        <f t="shared" si="37"/>
        <v>4.7619047619047539</v>
      </c>
      <c r="P789" s="6">
        <f t="shared" si="38"/>
        <v>2.7474999999999952</v>
      </c>
      <c r="Q789">
        <f>VALUE(IF(AND(ISERR(FIND(".",'Raw Data'!Q789)),LEN('Raw Data'!Q789)=5), IF(YEAR('Raw Data'!Q789)=2026,CONCATENATE(DAY('Raw Data'!Q789),".",IF(LEN(MONTH('Raw Data'!Q789))=2,MONTH('Raw Data'!Q789),CONCATENATE(MONTH('Raw Data'!Q789)))),CONCATENATE(MONTH('Raw Data'!Q789),".",RIGHT(YEAR('Raw Data'!Q789),2))),'Raw Data'!Q789))</f>
        <v>9.3000000000000007</v>
      </c>
    </row>
    <row r="790" spans="1:17">
      <c r="A790" t="s">
        <v>877</v>
      </c>
      <c r="B790" t="s">
        <v>25</v>
      </c>
      <c r="C790" t="s">
        <v>26</v>
      </c>
      <c r="D790" t="s">
        <v>20</v>
      </c>
      <c r="E790" t="s">
        <v>30</v>
      </c>
      <c r="F790" t="s">
        <v>22</v>
      </c>
      <c r="G790">
        <f>VALUE(IF(AND(ISERR(FIND(".",'Raw Data'!G790)),LEN('Raw Data'!G790)=5), IF(YEAR('Raw Data'!G790)=2026,CONCATENATE(DAY('Raw Data'!G790),".",IF(LEN(MONTH('Raw Data'!G790))=2,MONTH('Raw Data'!G790),CONCATENATE("0",MONTH('Raw Data'!G790)))),CONCATENATE(MONTH('Raw Data'!G790),".",RIGHT(YEAR('Raw Data'!G790),2))),'Raw Data'!G790))</f>
        <v>60.47</v>
      </c>
      <c r="H790">
        <f>'Raw Data'!H790</f>
        <v>3</v>
      </c>
      <c r="I790" s="6">
        <f t="shared" si="36"/>
        <v>9.0705000000000098</v>
      </c>
      <c r="J790" s="6">
        <f>'Raw Data'!J790</f>
        <v>190.48050000000001</v>
      </c>
      <c r="K790" s="1">
        <f>VALUE(IFERROR(VALUE('Raw Data'!K790),CONCATENATE(MID('Raw Data'!K790,3,2),".","0",LEFT('Raw Data'!K790,1),".", RIGHT('Raw Data'!K790,4))))</f>
        <v>43479</v>
      </c>
      <c r="L790" s="2">
        <f>'Raw Data'!L790</f>
        <v>0.4548611111111111</v>
      </c>
      <c r="M790" t="s">
        <v>33</v>
      </c>
      <c r="N790">
        <f>VALUE(IF(AND(ISERR(FIND(".",'Raw Data'!N790)),LEN('Raw Data'!N790)=5), IF(YEAR('Raw Data'!N790)=2026,CONCATENATE(DAY('Raw Data'!N790),".",IF(LEN(MONTH('Raw Data'!N790))=2,MONTH('Raw Data'!N790),CONCATENATE("0",MONTH('Raw Data'!N790)))),CONCATENATE(MONTH('Raw Data'!N790),".",RIGHT(YEAR('Raw Data'!N790),2))),'Raw Data'!N790))</f>
        <v>181.41</v>
      </c>
      <c r="O790" s="6">
        <f t="shared" si="37"/>
        <v>4.7619047619047672</v>
      </c>
      <c r="P790" s="6">
        <f t="shared" si="38"/>
        <v>9.0705000000000098</v>
      </c>
      <c r="Q790">
        <f>VALUE(IF(AND(ISERR(FIND(".",'Raw Data'!Q790)),LEN('Raw Data'!Q790)=5), IF(YEAR('Raw Data'!Q790)=2026,CONCATENATE(DAY('Raw Data'!Q790),".",IF(LEN(MONTH('Raw Data'!Q790))=2,MONTH('Raw Data'!Q790),CONCATENATE(MONTH('Raw Data'!Q790)))),CONCATENATE(MONTH('Raw Data'!Q790),".",RIGHT(YEAR('Raw Data'!Q790),2))),'Raw Data'!Q790))</f>
        <v>5.6</v>
      </c>
    </row>
    <row r="791" spans="1:17">
      <c r="A791" t="s">
        <v>878</v>
      </c>
      <c r="B791" t="s">
        <v>18</v>
      </c>
      <c r="C791" t="s">
        <v>19</v>
      </c>
      <c r="D791" t="s">
        <v>27</v>
      </c>
      <c r="E791" t="s">
        <v>30</v>
      </c>
      <c r="F791" t="s">
        <v>38</v>
      </c>
      <c r="G791">
        <f>VALUE(IF(AND(ISERR(FIND(".",'Raw Data'!G791)),LEN('Raw Data'!G791)=5), IF(YEAR('Raw Data'!G791)=2026,CONCATENATE(DAY('Raw Data'!G791),".",IF(LEN(MONTH('Raw Data'!G791))=2,MONTH('Raw Data'!G791),CONCATENATE("0",MONTH('Raw Data'!G791)))),CONCATENATE(MONTH('Raw Data'!G791),".",RIGHT(YEAR('Raw Data'!G791),2))),'Raw Data'!G791))</f>
        <v>58.91</v>
      </c>
      <c r="H791">
        <f>'Raw Data'!H791</f>
        <v>7</v>
      </c>
      <c r="I791" s="6">
        <f t="shared" si="36"/>
        <v>20.618499999999983</v>
      </c>
      <c r="J791" s="6">
        <f>'Raw Data'!J791</f>
        <v>432.98849999999999</v>
      </c>
      <c r="K791" s="1">
        <f>VALUE(IFERROR(VALUE('Raw Data'!K791),CONCATENATE(MID('Raw Data'!K791,3,2),".","0",LEFT('Raw Data'!K791,1),".", RIGHT('Raw Data'!K791,4))))</f>
        <v>43482</v>
      </c>
      <c r="L791" s="2">
        <f>'Raw Data'!L791</f>
        <v>0.63541666666666663</v>
      </c>
      <c r="M791" t="s">
        <v>23</v>
      </c>
      <c r="N791">
        <f>VALUE(IF(AND(ISERR(FIND(".",'Raw Data'!N791)),LEN('Raw Data'!N791)=5), IF(YEAR('Raw Data'!N791)=2026,CONCATENATE(DAY('Raw Data'!N791),".",IF(LEN(MONTH('Raw Data'!N791))=2,MONTH('Raw Data'!N791),CONCATENATE("0",MONTH('Raw Data'!N791)))),CONCATENATE(MONTH('Raw Data'!N791),".",RIGHT(YEAR('Raw Data'!N791),2))),'Raw Data'!N791))</f>
        <v>412.37</v>
      </c>
      <c r="O791" s="6">
        <f t="shared" si="37"/>
        <v>4.7619047619047583</v>
      </c>
      <c r="P791" s="6">
        <f t="shared" si="38"/>
        <v>20.618499999999983</v>
      </c>
      <c r="Q791">
        <f>VALUE(IF(AND(ISERR(FIND(".",'Raw Data'!Q791)),LEN('Raw Data'!Q791)=5), IF(YEAR('Raw Data'!Q791)=2026,CONCATENATE(DAY('Raw Data'!Q791),".",IF(LEN(MONTH('Raw Data'!Q791))=2,MONTH('Raw Data'!Q791),CONCATENATE(MONTH('Raw Data'!Q791)))),CONCATENATE(MONTH('Raw Data'!Q791),".",RIGHT(YEAR('Raw Data'!Q791),2))),'Raw Data'!Q791))</f>
        <v>9.6999999999999993</v>
      </c>
    </row>
    <row r="792" spans="1:17">
      <c r="A792" t="s">
        <v>879</v>
      </c>
      <c r="B792" t="s">
        <v>18</v>
      </c>
      <c r="C792" t="s">
        <v>19</v>
      </c>
      <c r="D792" t="s">
        <v>27</v>
      </c>
      <c r="E792" t="s">
        <v>30</v>
      </c>
      <c r="F792" t="s">
        <v>43</v>
      </c>
      <c r="G792">
        <f>VALUE(IF(AND(ISERR(FIND(".",'Raw Data'!G792)),LEN('Raw Data'!G792)=5), IF(YEAR('Raw Data'!G792)=2026,CONCATENATE(DAY('Raw Data'!G792),".",IF(LEN(MONTH('Raw Data'!G792))=2,MONTH('Raw Data'!G792),CONCATENATE("0",MONTH('Raw Data'!G792)))),CONCATENATE(MONTH('Raw Data'!G792),".",RIGHT(YEAR('Raw Data'!G792),2))),'Raw Data'!G792))</f>
        <v>46.41</v>
      </c>
      <c r="H792">
        <f>'Raw Data'!H792</f>
        <v>1</v>
      </c>
      <c r="I792" s="6">
        <f t="shared" si="36"/>
        <v>2.3205000000000027</v>
      </c>
      <c r="J792" s="6">
        <f>'Raw Data'!J792</f>
        <v>48.730499999999999</v>
      </c>
      <c r="K792" s="1">
        <f>VALUE(IFERROR(VALUE('Raw Data'!K792),CONCATENATE(MID('Raw Data'!K792,3,2),".","0",LEFT('Raw Data'!K792,1),".", RIGHT('Raw Data'!K792,4))))</f>
        <v>43527</v>
      </c>
      <c r="L792" s="2">
        <f>'Raw Data'!L792</f>
        <v>0.83750000000000002</v>
      </c>
      <c r="M792" t="s">
        <v>33</v>
      </c>
      <c r="N792">
        <f>VALUE(IF(AND(ISERR(FIND(".",'Raw Data'!N792)),LEN('Raw Data'!N792)=5), IF(YEAR('Raw Data'!N792)=2026,CONCATENATE(DAY('Raw Data'!N792),".",IF(LEN(MONTH('Raw Data'!N792))=2,MONTH('Raw Data'!N792),CONCATENATE("0",MONTH('Raw Data'!N792)))),CONCATENATE(MONTH('Raw Data'!N792),".",RIGHT(YEAR('Raw Data'!N792),2))),'Raw Data'!N792))</f>
        <v>46.41</v>
      </c>
      <c r="O792" s="6">
        <f t="shared" si="37"/>
        <v>4.7619047619047672</v>
      </c>
      <c r="P792" s="6">
        <f t="shared" si="38"/>
        <v>2.3205000000000027</v>
      </c>
      <c r="Q792">
        <f>VALUE(IF(AND(ISERR(FIND(".",'Raw Data'!Q792)),LEN('Raw Data'!Q792)=5), IF(YEAR('Raw Data'!Q792)=2026,CONCATENATE(DAY('Raw Data'!Q792),".",IF(LEN(MONTH('Raw Data'!Q792))=2,MONTH('Raw Data'!Q792),CONCATENATE(MONTH('Raw Data'!Q792)))),CONCATENATE(MONTH('Raw Data'!Q792),".",RIGHT(YEAR('Raw Data'!Q792),2))),'Raw Data'!Q792))</f>
        <v>4</v>
      </c>
    </row>
    <row r="793" spans="1:17">
      <c r="A793" t="s">
        <v>880</v>
      </c>
      <c r="B793" t="s">
        <v>25</v>
      </c>
      <c r="C793" t="s">
        <v>26</v>
      </c>
      <c r="D793" t="s">
        <v>20</v>
      </c>
      <c r="E793" t="s">
        <v>30</v>
      </c>
      <c r="F793" t="s">
        <v>22</v>
      </c>
      <c r="G793">
        <f>VALUE(IF(AND(ISERR(FIND(".",'Raw Data'!G793)),LEN('Raw Data'!G793)=5), IF(YEAR('Raw Data'!G793)=2026,CONCATENATE(DAY('Raw Data'!G793),".",IF(LEN(MONTH('Raw Data'!G793))=2,MONTH('Raw Data'!G793),CONCATENATE("0",MONTH('Raw Data'!G793)))),CONCATENATE(MONTH('Raw Data'!G793),".",RIGHT(YEAR('Raw Data'!G793),2))),'Raw Data'!G793))</f>
        <v>68.55</v>
      </c>
      <c r="H793">
        <f>'Raw Data'!H793</f>
        <v>4</v>
      </c>
      <c r="I793" s="6">
        <f t="shared" si="36"/>
        <v>13.710000000000036</v>
      </c>
      <c r="J793" s="6">
        <f>'Raw Data'!J793</f>
        <v>287.91000000000003</v>
      </c>
      <c r="K793" s="1">
        <f>VALUE(IFERROR(VALUE('Raw Data'!K793),CONCATENATE(MID('Raw Data'!K793,3,2),".","0",LEFT('Raw Data'!K793,1),".", RIGHT('Raw Data'!K793,4))))</f>
        <v>43511</v>
      </c>
      <c r="L793" s="2">
        <f>'Raw Data'!L793</f>
        <v>0.84791666666666676</v>
      </c>
      <c r="M793" t="s">
        <v>33</v>
      </c>
      <c r="N793">
        <f>VALUE(IF(AND(ISERR(FIND(".",'Raw Data'!N793)),LEN('Raw Data'!N793)=5), IF(YEAR('Raw Data'!N793)=2026,CONCATENATE(DAY('Raw Data'!N793),".",IF(LEN(MONTH('Raw Data'!N793))=2,MONTH('Raw Data'!N793),CONCATENATE("0",MONTH('Raw Data'!N793)))),CONCATENATE(MONTH('Raw Data'!N793),".",RIGHT(YEAR('Raw Data'!N793),2))),'Raw Data'!N793))</f>
        <v>274.2</v>
      </c>
      <c r="O793" s="6">
        <f t="shared" si="37"/>
        <v>4.7619047619047743</v>
      </c>
      <c r="P793" s="6">
        <f t="shared" si="38"/>
        <v>13.710000000000036</v>
      </c>
      <c r="Q793">
        <f>VALUE(IF(AND(ISERR(FIND(".",'Raw Data'!Q793)),LEN('Raw Data'!Q793)=5), IF(YEAR('Raw Data'!Q793)=2026,CONCATENATE(DAY('Raw Data'!Q793),".",IF(LEN(MONTH('Raw Data'!Q793))=2,MONTH('Raw Data'!Q793),CONCATENATE(MONTH('Raw Data'!Q793)))),CONCATENATE(MONTH('Raw Data'!Q793),".",RIGHT(YEAR('Raw Data'!Q793),2))),'Raw Data'!Q793))</f>
        <v>9.1999999999999993</v>
      </c>
    </row>
    <row r="794" spans="1:17">
      <c r="A794" t="s">
        <v>881</v>
      </c>
      <c r="B794" t="s">
        <v>34</v>
      </c>
      <c r="C794" t="s">
        <v>35</v>
      </c>
      <c r="D794" t="s">
        <v>27</v>
      </c>
      <c r="E794" t="s">
        <v>21</v>
      </c>
      <c r="F794" t="s">
        <v>32</v>
      </c>
      <c r="G794">
        <f>VALUE(IF(AND(ISERR(FIND(".",'Raw Data'!G794)),LEN('Raw Data'!G794)=5), IF(YEAR('Raw Data'!G794)=2026,CONCATENATE(DAY('Raw Data'!G794),".",IF(LEN(MONTH('Raw Data'!G794))=2,MONTH('Raw Data'!G794),CONCATENATE("0",MONTH('Raw Data'!G794)))),CONCATENATE(MONTH('Raw Data'!G794),".",RIGHT(YEAR('Raw Data'!G794),2))),'Raw Data'!G794))</f>
        <v>97.37</v>
      </c>
      <c r="H794">
        <f>'Raw Data'!H794</f>
        <v>10</v>
      </c>
      <c r="I794" s="6">
        <f t="shared" si="36"/>
        <v>48.684999999999945</v>
      </c>
      <c r="J794" s="6">
        <f>'Raw Data'!J794</f>
        <v>1022.385</v>
      </c>
      <c r="K794" s="1">
        <f>VALUE(IFERROR(VALUE('Raw Data'!K794),CONCATENATE(MID('Raw Data'!K794,3,2),".","0",LEFT('Raw Data'!K794,1),".", RIGHT('Raw Data'!K794,4))))</f>
        <v>43480</v>
      </c>
      <c r="L794" s="2">
        <f>'Raw Data'!L794</f>
        <v>0.57500000000000007</v>
      </c>
      <c r="M794" t="s">
        <v>33</v>
      </c>
      <c r="N794">
        <f>VALUE(IF(AND(ISERR(FIND(".",'Raw Data'!N794)),LEN('Raw Data'!N794)=5), IF(YEAR('Raw Data'!N794)=2026,CONCATENATE(DAY('Raw Data'!N794),".",IF(LEN(MONTH('Raw Data'!N794))=2,MONTH('Raw Data'!N794),CONCATENATE("0",MONTH('Raw Data'!N794)))),CONCATENATE(MONTH('Raw Data'!N794),".",RIGHT(YEAR('Raw Data'!N794),2))),'Raw Data'!N794))</f>
        <v>973.7</v>
      </c>
      <c r="O794" s="6">
        <f t="shared" si="37"/>
        <v>4.7619047619047565</v>
      </c>
      <c r="P794" s="6">
        <f t="shared" si="38"/>
        <v>48.684999999999945</v>
      </c>
      <c r="Q794">
        <f>VALUE(IF(AND(ISERR(FIND(".",'Raw Data'!Q794)),LEN('Raw Data'!Q794)=5), IF(YEAR('Raw Data'!Q794)=2026,CONCATENATE(DAY('Raw Data'!Q794),".",IF(LEN(MONTH('Raw Data'!Q794))=2,MONTH('Raw Data'!Q794),CONCATENATE(MONTH('Raw Data'!Q794)))),CONCATENATE(MONTH('Raw Data'!Q794),".",RIGHT(YEAR('Raw Data'!Q794),2))),'Raw Data'!Q794))</f>
        <v>4.9000000000000004</v>
      </c>
    </row>
    <row r="795" spans="1:17">
      <c r="A795" t="s">
        <v>882</v>
      </c>
      <c r="B795" t="s">
        <v>18</v>
      </c>
      <c r="C795" t="s">
        <v>19</v>
      </c>
      <c r="D795" t="s">
        <v>20</v>
      </c>
      <c r="E795" t="s">
        <v>30</v>
      </c>
      <c r="F795" t="s">
        <v>28</v>
      </c>
      <c r="G795">
        <f>VALUE(IF(AND(ISERR(FIND(".",'Raw Data'!G795)),LEN('Raw Data'!G795)=5), IF(YEAR('Raw Data'!G795)=2026,CONCATENATE(DAY('Raw Data'!G795),".",IF(LEN(MONTH('Raw Data'!G795))=2,MONTH('Raw Data'!G795),CONCATENATE("0",MONTH('Raw Data'!G795)))),CONCATENATE(MONTH('Raw Data'!G795),".",RIGHT(YEAR('Raw Data'!G795),2))),'Raw Data'!G795))</f>
        <v>92.6</v>
      </c>
      <c r="H795">
        <f>'Raw Data'!H795</f>
        <v>7</v>
      </c>
      <c r="I795" s="6">
        <f t="shared" si="36"/>
        <v>32.410000000000082</v>
      </c>
      <c r="J795" s="6">
        <f>'Raw Data'!J795</f>
        <v>680.61</v>
      </c>
      <c r="K795" s="1">
        <f>VALUE(IFERROR(VALUE('Raw Data'!K795),CONCATENATE(MID('Raw Data'!K795,3,2),".","0",LEFT('Raw Data'!K795,1),".", RIGHT('Raw Data'!K795,4))))</f>
        <v>43523</v>
      </c>
      <c r="L795" s="2">
        <f>'Raw Data'!L795</f>
        <v>0.53611111111111109</v>
      </c>
      <c r="M795" t="s">
        <v>33</v>
      </c>
      <c r="N795">
        <f>VALUE(IF(AND(ISERR(FIND(".",'Raw Data'!N795)),LEN('Raw Data'!N795)=5), IF(YEAR('Raw Data'!N795)=2026,CONCATENATE(DAY('Raw Data'!N795),".",IF(LEN(MONTH('Raw Data'!N795))=2,MONTH('Raw Data'!N795),CONCATENATE("0",MONTH('Raw Data'!N795)))),CONCATENATE(MONTH('Raw Data'!N795),".",RIGHT(YEAR('Raw Data'!N795),2))),'Raw Data'!N795))</f>
        <v>648.20000000000005</v>
      </c>
      <c r="O795" s="6">
        <f t="shared" si="37"/>
        <v>4.7619047619047574</v>
      </c>
      <c r="P795" s="6">
        <f t="shared" si="38"/>
        <v>32.409999999999968</v>
      </c>
      <c r="Q795">
        <f>VALUE(IF(AND(ISERR(FIND(".",'Raw Data'!Q795)),LEN('Raw Data'!Q795)=5), IF(YEAR('Raw Data'!Q795)=2026,CONCATENATE(DAY('Raw Data'!Q795),".",IF(LEN(MONTH('Raw Data'!Q795))=2,MONTH('Raw Data'!Q795),CONCATENATE(MONTH('Raw Data'!Q795)))),CONCATENATE(MONTH('Raw Data'!Q795),".",RIGHT(YEAR('Raw Data'!Q795),2))),'Raw Data'!Q795))</f>
        <v>9.3000000000000007</v>
      </c>
    </row>
    <row r="796" spans="1:17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f>VALUE(IF(AND(ISERR(FIND(".",'Raw Data'!G796)),LEN('Raw Data'!G796)=5), IF(YEAR('Raw Data'!G796)=2026,CONCATENATE(DAY('Raw Data'!G796),".",IF(LEN(MONTH('Raw Data'!G796))=2,MONTH('Raw Data'!G796),CONCATENATE("0",MONTH('Raw Data'!G796)))),CONCATENATE(MONTH('Raw Data'!G796),".",RIGHT(YEAR('Raw Data'!G796),2))),'Raw Data'!G796))</f>
        <v>46.61</v>
      </c>
      <c r="H796">
        <f>'Raw Data'!H796</f>
        <v>2</v>
      </c>
      <c r="I796" s="6">
        <f t="shared" si="36"/>
        <v>4.6610000000000014</v>
      </c>
      <c r="J796" s="6">
        <f>'Raw Data'!J796</f>
        <v>97.881</v>
      </c>
      <c r="K796" s="1">
        <f>VALUE(IFERROR(VALUE('Raw Data'!K796),CONCATENATE(MID('Raw Data'!K796,3,2),".","0",LEFT('Raw Data'!K796,1),".", RIGHT('Raw Data'!K796,4))))</f>
        <v>43522</v>
      </c>
      <c r="L796" s="2">
        <f>'Raw Data'!L796</f>
        <v>0.51944444444444449</v>
      </c>
      <c r="M796" t="s">
        <v>33</v>
      </c>
      <c r="N796">
        <f>VALUE(IF(AND(ISERR(FIND(".",'Raw Data'!N796)),LEN('Raw Data'!N796)=5), IF(YEAR('Raw Data'!N796)=2026,CONCATENATE(DAY('Raw Data'!N796),".",IF(LEN(MONTH('Raw Data'!N796))=2,MONTH('Raw Data'!N796),CONCATENATE("0",MONTH('Raw Data'!N796)))),CONCATENATE(MONTH('Raw Data'!N796),".",RIGHT(YEAR('Raw Data'!N796),2))),'Raw Data'!N796))</f>
        <v>93.22</v>
      </c>
      <c r="O796" s="6">
        <f t="shared" si="37"/>
        <v>4.7619047619047628</v>
      </c>
      <c r="P796" s="6">
        <f t="shared" si="38"/>
        <v>4.6610000000000014</v>
      </c>
      <c r="Q796">
        <f>VALUE(IF(AND(ISERR(FIND(".",'Raw Data'!Q796)),LEN('Raw Data'!Q796)=5), IF(YEAR('Raw Data'!Q796)=2026,CONCATENATE(DAY('Raw Data'!Q796),".",IF(LEN(MONTH('Raw Data'!Q796))=2,MONTH('Raw Data'!Q796),CONCATENATE(MONTH('Raw Data'!Q796)))),CONCATENATE(MONTH('Raw Data'!Q796),".",RIGHT(YEAR('Raw Data'!Q796),2))),'Raw Data'!Q796))</f>
        <v>6.6</v>
      </c>
    </row>
    <row r="797" spans="1:17">
      <c r="A797" t="s">
        <v>884</v>
      </c>
      <c r="B797" t="s">
        <v>34</v>
      </c>
      <c r="C797" t="s">
        <v>35</v>
      </c>
      <c r="D797" t="s">
        <v>27</v>
      </c>
      <c r="E797" t="s">
        <v>30</v>
      </c>
      <c r="F797" t="s">
        <v>43</v>
      </c>
      <c r="G797">
        <f>VALUE(IF(AND(ISERR(FIND(".",'Raw Data'!G797)),LEN('Raw Data'!G797)=5), IF(YEAR('Raw Data'!G797)=2026,CONCATENATE(DAY('Raw Data'!G797),".",IF(LEN(MONTH('Raw Data'!G797))=2,MONTH('Raw Data'!G797),CONCATENATE("0",MONTH('Raw Data'!G797)))),CONCATENATE(MONTH('Raw Data'!G797),".",RIGHT(YEAR('Raw Data'!G797),2))),'Raw Data'!G797))</f>
        <v>27.18</v>
      </c>
      <c r="H797">
        <f>'Raw Data'!H797</f>
        <v>2</v>
      </c>
      <c r="I797" s="6">
        <f t="shared" si="36"/>
        <v>2.7180000000000035</v>
      </c>
      <c r="J797" s="6">
        <f>'Raw Data'!J797</f>
        <v>57.078000000000003</v>
      </c>
      <c r="K797" s="1">
        <f>VALUE(IFERROR(VALUE('Raw Data'!K797),CONCATENATE(MID('Raw Data'!K797,3,2),".","0",LEFT('Raw Data'!K797,1),".", RIGHT('Raw Data'!K797,4))))</f>
        <v>43539</v>
      </c>
      <c r="L797" s="2">
        <f>'Raw Data'!L797</f>
        <v>0.68472222222222223</v>
      </c>
      <c r="M797" t="s">
        <v>23</v>
      </c>
      <c r="N797">
        <f>VALUE(IF(AND(ISERR(FIND(".",'Raw Data'!N797)),LEN('Raw Data'!N797)=5), IF(YEAR('Raw Data'!N797)=2026,CONCATENATE(DAY('Raw Data'!N797),".",IF(LEN(MONTH('Raw Data'!N797))=2,MONTH('Raw Data'!N797),CONCATENATE("0",MONTH('Raw Data'!N797)))),CONCATENATE(MONTH('Raw Data'!N797),".",RIGHT(YEAR('Raw Data'!N797),2))),'Raw Data'!N797))</f>
        <v>54.36</v>
      </c>
      <c r="O797" s="6">
        <f t="shared" si="37"/>
        <v>4.7619047619047681</v>
      </c>
      <c r="P797" s="6">
        <f t="shared" si="38"/>
        <v>2.7180000000000035</v>
      </c>
      <c r="Q797">
        <f>VALUE(IF(AND(ISERR(FIND(".",'Raw Data'!Q797)),LEN('Raw Data'!Q797)=5), IF(YEAR('Raw Data'!Q797)=2026,CONCATENATE(DAY('Raw Data'!Q797),".",IF(LEN(MONTH('Raw Data'!Q797))=2,MONTH('Raw Data'!Q797),CONCATENATE(MONTH('Raw Data'!Q797)))),CONCATENATE(MONTH('Raw Data'!Q797),".",RIGHT(YEAR('Raw Data'!Q797),2))),'Raw Data'!Q797))</f>
        <v>4.3</v>
      </c>
    </row>
    <row r="798" spans="1:17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f>VALUE(IF(AND(ISERR(FIND(".",'Raw Data'!G798)),LEN('Raw Data'!G798)=5), IF(YEAR('Raw Data'!G798)=2026,CONCATENATE(DAY('Raw Data'!G798),".",IF(LEN(MONTH('Raw Data'!G798))=2,MONTH('Raw Data'!G798),CONCATENATE("0",MONTH('Raw Data'!G798)))),CONCATENATE(MONTH('Raw Data'!G798),".",RIGHT(YEAR('Raw Data'!G798),2))),'Raw Data'!G798))</f>
        <v>60.87</v>
      </c>
      <c r="H798">
        <f>'Raw Data'!H798</f>
        <v>1</v>
      </c>
      <c r="I798" s="6">
        <f t="shared" si="36"/>
        <v>3.0435000000000016</v>
      </c>
      <c r="J798" s="6">
        <f>'Raw Data'!J798</f>
        <v>63.913499999999999</v>
      </c>
      <c r="K798" s="1">
        <f>VALUE(IFERROR(VALUE('Raw Data'!K798),CONCATENATE(MID('Raw Data'!K798,3,2),".","0",LEFT('Raw Data'!K798,1),".", RIGHT('Raw Data'!K798,4))))</f>
        <v>43489</v>
      </c>
      <c r="L798" s="2">
        <f>'Raw Data'!L798</f>
        <v>0.55833333333333335</v>
      </c>
      <c r="M798" t="s">
        <v>29</v>
      </c>
      <c r="N798">
        <f>VALUE(IF(AND(ISERR(FIND(".",'Raw Data'!N798)),LEN('Raw Data'!N798)=5), IF(YEAR('Raw Data'!N798)=2026,CONCATENATE(DAY('Raw Data'!N798),".",IF(LEN(MONTH('Raw Data'!N798))=2,MONTH('Raw Data'!N798),CONCATENATE("0",MONTH('Raw Data'!N798)))),CONCATENATE(MONTH('Raw Data'!N798),".",RIGHT(YEAR('Raw Data'!N798),2))),'Raw Data'!N798))</f>
        <v>60.87</v>
      </c>
      <c r="O798" s="6">
        <f t="shared" si="37"/>
        <v>4.7619047619047645</v>
      </c>
      <c r="P798" s="6">
        <f t="shared" si="38"/>
        <v>3.0435000000000016</v>
      </c>
      <c r="Q798">
        <f>VALUE(IF(AND(ISERR(FIND(".",'Raw Data'!Q798)),LEN('Raw Data'!Q798)=5), IF(YEAR('Raw Data'!Q798)=2026,CONCATENATE(DAY('Raw Data'!Q798),".",IF(LEN(MONTH('Raw Data'!Q798))=2,MONTH('Raw Data'!Q798),CONCATENATE(MONTH('Raw Data'!Q798)))),CONCATENATE(MONTH('Raw Data'!Q798),".",RIGHT(YEAR('Raw Data'!Q798),2))),'Raw Data'!Q798))</f>
        <v>5.5</v>
      </c>
    </row>
    <row r="799" spans="1:17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38</v>
      </c>
      <c r="G799">
        <f>VALUE(IF(AND(ISERR(FIND(".",'Raw Data'!G799)),LEN('Raw Data'!G799)=5), IF(YEAR('Raw Data'!G799)=2026,CONCATENATE(DAY('Raw Data'!G799),".",IF(LEN(MONTH('Raw Data'!G799))=2,MONTH('Raw Data'!G799),CONCATENATE("0",MONTH('Raw Data'!G799)))),CONCATENATE(MONTH('Raw Data'!G799),".",RIGHT(YEAR('Raw Data'!G799),2))),'Raw Data'!G799))</f>
        <v>24.49</v>
      </c>
      <c r="H799">
        <f>'Raw Data'!H799</f>
        <v>10</v>
      </c>
      <c r="I799" s="6">
        <f t="shared" si="36"/>
        <v>12.245000000000005</v>
      </c>
      <c r="J799" s="6">
        <f>'Raw Data'!J799</f>
        <v>257.14499999999998</v>
      </c>
      <c r="K799" s="1">
        <f>VALUE(IFERROR(VALUE('Raw Data'!K799),CONCATENATE(MID('Raw Data'!K799,3,2),".","0",LEFT('Raw Data'!K799,1),".", RIGHT('Raw Data'!K799,4))))</f>
        <v>43518</v>
      </c>
      <c r="L799" s="2">
        <f>'Raw Data'!L799</f>
        <v>0.63541666666666663</v>
      </c>
      <c r="M799" t="s">
        <v>29</v>
      </c>
      <c r="N799">
        <f>VALUE(IF(AND(ISERR(FIND(".",'Raw Data'!N799)),LEN('Raw Data'!N799)=5), IF(YEAR('Raw Data'!N799)=2026,CONCATENATE(DAY('Raw Data'!N799),".",IF(LEN(MONTH('Raw Data'!N799))=2,MONTH('Raw Data'!N799),CONCATENATE("0",MONTH('Raw Data'!N799)))),CONCATENATE(MONTH('Raw Data'!N799),".",RIGHT(YEAR('Raw Data'!N799),2))),'Raw Data'!N799))</f>
        <v>244.9</v>
      </c>
      <c r="O799" s="6">
        <f t="shared" si="37"/>
        <v>4.761904761904753</v>
      </c>
      <c r="P799" s="6">
        <f t="shared" si="38"/>
        <v>12.244999999999976</v>
      </c>
      <c r="Q799">
        <f>VALUE(IF(AND(ISERR(FIND(".",'Raw Data'!Q799)),LEN('Raw Data'!Q799)=5), IF(YEAR('Raw Data'!Q799)=2026,CONCATENATE(DAY('Raw Data'!Q799),".",IF(LEN(MONTH('Raw Data'!Q799))=2,MONTH('Raw Data'!Q799),CONCATENATE(MONTH('Raw Data'!Q799)))),CONCATENATE(MONTH('Raw Data'!Q799),".",RIGHT(YEAR('Raw Data'!Q799),2))),'Raw Data'!Q799))</f>
        <v>8.1</v>
      </c>
    </row>
    <row r="800" spans="1:17">
      <c r="A800" t="s">
        <v>887</v>
      </c>
      <c r="B800" t="s">
        <v>34</v>
      </c>
      <c r="C800" t="s">
        <v>35</v>
      </c>
      <c r="D800" t="s">
        <v>27</v>
      </c>
      <c r="E800" t="s">
        <v>30</v>
      </c>
      <c r="F800" t="s">
        <v>22</v>
      </c>
      <c r="G800">
        <f>VALUE(IF(AND(ISERR(FIND(".",'Raw Data'!G800)),LEN('Raw Data'!G800)=5), IF(YEAR('Raw Data'!G800)=2026,CONCATENATE(DAY('Raw Data'!G800),".",IF(LEN(MONTH('Raw Data'!G800))=2,MONTH('Raw Data'!G800),CONCATENATE("0",MONTH('Raw Data'!G800)))),CONCATENATE(MONTH('Raw Data'!G800),".",RIGHT(YEAR('Raw Data'!G800),2))),'Raw Data'!G800))</f>
        <v>92.78</v>
      </c>
      <c r="H800">
        <f>'Raw Data'!H800</f>
        <v>1</v>
      </c>
      <c r="I800" s="6">
        <f t="shared" si="36"/>
        <v>4.6389999999999958</v>
      </c>
      <c r="J800" s="6">
        <f>'Raw Data'!J800</f>
        <v>97.418999999999997</v>
      </c>
      <c r="K800" s="1">
        <f>VALUE(IFERROR(VALUE('Raw Data'!K800),CONCATENATE(MID('Raw Data'!K800,3,2),".","0",LEFT('Raw Data'!K800,1),".", RIGHT('Raw Data'!K800,4))))</f>
        <v>43539</v>
      </c>
      <c r="L800" s="2">
        <f>'Raw Data'!L800</f>
        <v>0.4513888888888889</v>
      </c>
      <c r="M800" t="s">
        <v>33</v>
      </c>
      <c r="N800">
        <f>VALUE(IF(AND(ISERR(FIND(".",'Raw Data'!N800)),LEN('Raw Data'!N800)=5), IF(YEAR('Raw Data'!N800)=2026,CONCATENATE(DAY('Raw Data'!N800),".",IF(LEN(MONTH('Raw Data'!N800))=2,MONTH('Raw Data'!N800),CONCATENATE("0",MONTH('Raw Data'!N800)))),CONCATENATE(MONTH('Raw Data'!N800),".",RIGHT(YEAR('Raw Data'!N800),2))),'Raw Data'!N800))</f>
        <v>92.78</v>
      </c>
      <c r="O800" s="6">
        <f t="shared" si="37"/>
        <v>4.7619047619047574</v>
      </c>
      <c r="P800" s="6">
        <f t="shared" si="38"/>
        <v>4.6389999999999958</v>
      </c>
      <c r="Q800">
        <f>VALUE(IF(AND(ISERR(FIND(".",'Raw Data'!Q800)),LEN('Raw Data'!Q800)=5), IF(YEAR('Raw Data'!Q800)=2026,CONCATENATE(DAY('Raw Data'!Q800),".",IF(LEN(MONTH('Raw Data'!Q800))=2,MONTH('Raw Data'!Q800),CONCATENATE(MONTH('Raw Data'!Q800)))),CONCATENATE(MONTH('Raw Data'!Q800),".",RIGHT(YEAR('Raw Data'!Q800),2))),'Raw Data'!Q800))</f>
        <v>9.8000000000000007</v>
      </c>
    </row>
    <row r="801" spans="1:17">
      <c r="A801" t="s">
        <v>888</v>
      </c>
      <c r="B801" t="s">
        <v>25</v>
      </c>
      <c r="C801" t="s">
        <v>26</v>
      </c>
      <c r="D801" t="s">
        <v>20</v>
      </c>
      <c r="E801" t="s">
        <v>30</v>
      </c>
      <c r="F801" t="s">
        <v>32</v>
      </c>
      <c r="G801">
        <f>VALUE(IF(AND(ISERR(FIND(".",'Raw Data'!G801)),LEN('Raw Data'!G801)=5), IF(YEAR('Raw Data'!G801)=2026,CONCATENATE(DAY('Raw Data'!G801),".",IF(LEN(MONTH('Raw Data'!G801))=2,MONTH('Raw Data'!G801),CONCATENATE("0",MONTH('Raw Data'!G801)))),CONCATENATE(MONTH('Raw Data'!G801),".",RIGHT(YEAR('Raw Data'!G801),2))),'Raw Data'!G801))</f>
        <v>86.69</v>
      </c>
      <c r="H801">
        <f>'Raw Data'!H801</f>
        <v>5</v>
      </c>
      <c r="I801" s="6">
        <f t="shared" si="36"/>
        <v>21.672500000000014</v>
      </c>
      <c r="J801" s="6">
        <f>'Raw Data'!J801</f>
        <v>455.1225</v>
      </c>
      <c r="K801" s="1">
        <f>VALUE(IFERROR(VALUE('Raw Data'!K801),CONCATENATE(MID('Raw Data'!K801,3,2),".","0",LEFT('Raw Data'!K801,1),".", RIGHT('Raw Data'!K801,4))))</f>
        <v>43771</v>
      </c>
      <c r="L801" s="2">
        <f>'Raw Data'!L801</f>
        <v>0.77638888888888891</v>
      </c>
      <c r="M801" t="s">
        <v>23</v>
      </c>
      <c r="N801">
        <f>VALUE(IF(AND(ISERR(FIND(".",'Raw Data'!N801)),LEN('Raw Data'!N801)=5), IF(YEAR('Raw Data'!N801)=2026,CONCATENATE(DAY('Raw Data'!N801),".",IF(LEN(MONTH('Raw Data'!N801))=2,MONTH('Raw Data'!N801),CONCATENATE("0",MONTH('Raw Data'!N801)))),CONCATENATE(MONTH('Raw Data'!N801),".",RIGHT(YEAR('Raw Data'!N801),2))),'Raw Data'!N801))</f>
        <v>433.45</v>
      </c>
      <c r="O801" s="6">
        <f t="shared" si="37"/>
        <v>4.7619047619047654</v>
      </c>
      <c r="P801" s="6">
        <f t="shared" si="38"/>
        <v>21.672500000000014</v>
      </c>
      <c r="Q801">
        <f>VALUE(IF(AND(ISERR(FIND(".",'Raw Data'!Q801)),LEN('Raw Data'!Q801)=5), IF(YEAR('Raw Data'!Q801)=2026,CONCATENATE(DAY('Raw Data'!Q801),".",IF(LEN(MONTH('Raw Data'!Q801))=2,MONTH('Raw Data'!Q801),CONCATENATE(MONTH('Raw Data'!Q801)))),CONCATENATE(MONTH('Raw Data'!Q801),".",RIGHT(YEAR('Raw Data'!Q801),2))),'Raw Data'!Q801))</f>
        <v>9.4</v>
      </c>
    </row>
    <row r="802" spans="1:17">
      <c r="A802" t="s">
        <v>889</v>
      </c>
      <c r="B802" t="s">
        <v>34</v>
      </c>
      <c r="C802" t="s">
        <v>35</v>
      </c>
      <c r="D802" t="s">
        <v>27</v>
      </c>
      <c r="E802" t="s">
        <v>30</v>
      </c>
      <c r="F802" t="s">
        <v>38</v>
      </c>
      <c r="G802">
        <f>VALUE(IF(AND(ISERR(FIND(".",'Raw Data'!G802)),LEN('Raw Data'!G802)=5), IF(YEAR('Raw Data'!G802)=2026,CONCATENATE(DAY('Raw Data'!G802),".",IF(LEN(MONTH('Raw Data'!G802))=2,MONTH('Raw Data'!G802),CONCATENATE("0",MONTH('Raw Data'!G802)))),CONCATENATE(MONTH('Raw Data'!G802),".",RIGHT(YEAR('Raw Data'!G802),2))),'Raw Data'!G802))</f>
        <v>23.01</v>
      </c>
      <c r="H802">
        <f>'Raw Data'!H802</f>
        <v>6</v>
      </c>
      <c r="I802" s="6">
        <f t="shared" si="36"/>
        <v>6.9029999999999916</v>
      </c>
      <c r="J802" s="6">
        <f>'Raw Data'!J802</f>
        <v>144.96299999999999</v>
      </c>
      <c r="K802" s="1">
        <f>VALUE(IFERROR(VALUE('Raw Data'!K802),CONCATENATE(MID('Raw Data'!K802,3,2),".","0",LEFT('Raw Data'!K802,1),".", RIGHT('Raw Data'!K802,4))))</f>
        <v>43800</v>
      </c>
      <c r="L802" s="2">
        <f>'Raw Data'!L802</f>
        <v>0.69791666666666663</v>
      </c>
      <c r="M802" t="s">
        <v>23</v>
      </c>
      <c r="N802">
        <f>VALUE(IF(AND(ISERR(FIND(".",'Raw Data'!N802)),LEN('Raw Data'!N802)=5), IF(YEAR('Raw Data'!N802)=2026,CONCATENATE(DAY('Raw Data'!N802),".",IF(LEN(MONTH('Raw Data'!N802))=2,MONTH('Raw Data'!N802),CONCATENATE("0",MONTH('Raw Data'!N802)))),CONCATENATE(MONTH('Raw Data'!N802),".",RIGHT(YEAR('Raw Data'!N802),2))),'Raw Data'!N802))</f>
        <v>138.06</v>
      </c>
      <c r="O802" s="6">
        <f t="shared" si="37"/>
        <v>4.7619047619047556</v>
      </c>
      <c r="P802" s="6">
        <f t="shared" si="38"/>
        <v>6.9029999999999916</v>
      </c>
      <c r="Q802">
        <f>VALUE(IF(AND(ISERR(FIND(".",'Raw Data'!Q802)),LEN('Raw Data'!Q802)=5), IF(YEAR('Raw Data'!Q802)=2026,CONCATENATE(DAY('Raw Data'!Q802),".",IF(LEN(MONTH('Raw Data'!Q802))=2,MONTH('Raw Data'!Q802),CONCATENATE(MONTH('Raw Data'!Q802)))),CONCATENATE(MONTH('Raw Data'!Q802),".",RIGHT(YEAR('Raw Data'!Q802),2))),'Raw Data'!Q802))</f>
        <v>7.9</v>
      </c>
    </row>
    <row r="803" spans="1:17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f>VALUE(IF(AND(ISERR(FIND(".",'Raw Data'!G803)),LEN('Raw Data'!G803)=5), IF(YEAR('Raw Data'!G803)=2026,CONCATENATE(DAY('Raw Data'!G803),".",IF(LEN(MONTH('Raw Data'!G803))=2,MONTH('Raw Data'!G803),CONCATENATE("0",MONTH('Raw Data'!G803)))),CONCATENATE(MONTH('Raw Data'!G803),".",RIGHT(YEAR('Raw Data'!G803),2))),'Raw Data'!G803))</f>
        <v>30.2</v>
      </c>
      <c r="H803">
        <f>'Raw Data'!H803</f>
        <v>8</v>
      </c>
      <c r="I803" s="6">
        <f t="shared" si="36"/>
        <v>12.080000000000013</v>
      </c>
      <c r="J803" s="6">
        <f>'Raw Data'!J803</f>
        <v>253.68</v>
      </c>
      <c r="K803" s="1">
        <f>VALUE(IFERROR(VALUE('Raw Data'!K803),CONCATENATE(MID('Raw Data'!K803,3,2),".","0",LEFT('Raw Data'!K803,1),".", RIGHT('Raw Data'!K803,4))))</f>
        <v>43527</v>
      </c>
      <c r="L803" s="2">
        <f>'Raw Data'!L803</f>
        <v>0.8125</v>
      </c>
      <c r="M803" t="s">
        <v>23</v>
      </c>
      <c r="N803">
        <f>VALUE(IF(AND(ISERR(FIND(".",'Raw Data'!N803)),LEN('Raw Data'!N803)=5), IF(YEAR('Raw Data'!N803)=2026,CONCATENATE(DAY('Raw Data'!N803),".",IF(LEN(MONTH('Raw Data'!N803))=2,MONTH('Raw Data'!N803),CONCATENATE("0",MONTH('Raw Data'!N803)))),CONCATENATE(MONTH('Raw Data'!N803),".",RIGHT(YEAR('Raw Data'!N803),2))),'Raw Data'!N803))</f>
        <v>241.6</v>
      </c>
      <c r="O803" s="6">
        <f t="shared" si="37"/>
        <v>4.7619047619047663</v>
      </c>
      <c r="P803" s="6">
        <f t="shared" si="38"/>
        <v>12.080000000000013</v>
      </c>
      <c r="Q803">
        <f>VALUE(IF(AND(ISERR(FIND(".",'Raw Data'!Q803)),LEN('Raw Data'!Q803)=5), IF(YEAR('Raw Data'!Q803)=2026,CONCATENATE(DAY('Raw Data'!Q803),".",IF(LEN(MONTH('Raw Data'!Q803))=2,MONTH('Raw Data'!Q803),CONCATENATE(MONTH('Raw Data'!Q803)))),CONCATENATE(MONTH('Raw Data'!Q803),".",RIGHT(YEAR('Raw Data'!Q803),2))),'Raw Data'!Q803))</f>
        <v>5.0999999999999996</v>
      </c>
    </row>
    <row r="804" spans="1:17">
      <c r="A804" t="s">
        <v>891</v>
      </c>
      <c r="B804" t="s">
        <v>25</v>
      </c>
      <c r="C804" t="s">
        <v>26</v>
      </c>
      <c r="D804" t="s">
        <v>20</v>
      </c>
      <c r="E804" t="s">
        <v>30</v>
      </c>
      <c r="F804" t="s">
        <v>43</v>
      </c>
      <c r="G804">
        <f>VALUE(IF(AND(ISERR(FIND(".",'Raw Data'!G804)),LEN('Raw Data'!G804)=5), IF(YEAR('Raw Data'!G804)=2026,CONCATENATE(DAY('Raw Data'!G804),".",IF(LEN(MONTH('Raw Data'!G804))=2,MONTH('Raw Data'!G804),CONCATENATE("0",MONTH('Raw Data'!G804)))),CONCATENATE(MONTH('Raw Data'!G804),".",RIGHT(YEAR('Raw Data'!G804),2))),'Raw Data'!G804))</f>
        <v>67.39</v>
      </c>
      <c r="H804">
        <f>'Raw Data'!H804</f>
        <v>7</v>
      </c>
      <c r="I804" s="6">
        <f t="shared" si="36"/>
        <v>23.586500000000001</v>
      </c>
      <c r="J804" s="6">
        <f>'Raw Data'!J804</f>
        <v>495.31650000000002</v>
      </c>
      <c r="K804" s="1">
        <f>VALUE(IFERROR(VALUE('Raw Data'!K804),CONCATENATE(MID('Raw Data'!K804,3,2),".","0",LEFT('Raw Data'!K804,1),".", RIGHT('Raw Data'!K804,4))))</f>
        <v>43547</v>
      </c>
      <c r="L804" s="2">
        <f>'Raw Data'!L804</f>
        <v>0.55763888888888891</v>
      </c>
      <c r="M804" t="s">
        <v>23</v>
      </c>
      <c r="N804">
        <f>VALUE(IF(AND(ISERR(FIND(".",'Raw Data'!N804)),LEN('Raw Data'!N804)=5), IF(YEAR('Raw Data'!N804)=2026,CONCATENATE(DAY('Raw Data'!N804),".",IF(LEN(MONTH('Raw Data'!N804))=2,MONTH('Raw Data'!N804),CONCATENATE("0",MONTH('Raw Data'!N804)))),CONCATENATE(MONTH('Raw Data'!N804),".",RIGHT(YEAR('Raw Data'!N804),2))),'Raw Data'!N804))</f>
        <v>471.73</v>
      </c>
      <c r="O804" s="6">
        <f t="shared" si="37"/>
        <v>4.7619047619047619</v>
      </c>
      <c r="P804" s="6">
        <f t="shared" si="38"/>
        <v>23.586500000000001</v>
      </c>
      <c r="Q804">
        <f>VALUE(IF(AND(ISERR(FIND(".",'Raw Data'!Q804)),LEN('Raw Data'!Q804)=5), IF(YEAR('Raw Data'!Q804)=2026,CONCATENATE(DAY('Raw Data'!Q804),".",IF(LEN(MONTH('Raw Data'!Q804))=2,MONTH('Raw Data'!Q804),CONCATENATE(MONTH('Raw Data'!Q804)))),CONCATENATE(MONTH('Raw Data'!Q804),".",RIGHT(YEAR('Raw Data'!Q804),2))),'Raw Data'!Q804))</f>
        <v>6.9</v>
      </c>
    </row>
    <row r="805" spans="1:17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43</v>
      </c>
      <c r="G805">
        <f>VALUE(IF(AND(ISERR(FIND(".",'Raw Data'!G805)),LEN('Raw Data'!G805)=5), IF(YEAR('Raw Data'!G805)=2026,CONCATENATE(DAY('Raw Data'!G805),".",IF(LEN(MONTH('Raw Data'!G805))=2,MONTH('Raw Data'!G805),CONCATENATE("0",MONTH('Raw Data'!G805)))),CONCATENATE(MONTH('Raw Data'!G805),".",RIGHT(YEAR('Raw Data'!G805),2))),'Raw Data'!G805))</f>
        <v>48.96</v>
      </c>
      <c r="H805">
        <f>'Raw Data'!H805</f>
        <v>9</v>
      </c>
      <c r="I805" s="6">
        <f t="shared" si="36"/>
        <v>22.032000000000039</v>
      </c>
      <c r="J805" s="6">
        <f>'Raw Data'!J805</f>
        <v>462.67200000000003</v>
      </c>
      <c r="K805" s="1">
        <f>VALUE(IFERROR(VALUE('Raw Data'!K805),CONCATENATE(MID('Raw Data'!K805,3,2),".","0",LEFT('Raw Data'!K805,1),".", RIGHT('Raw Data'!K805,4))))</f>
        <v>43558</v>
      </c>
      <c r="L805" s="2">
        <f>'Raw Data'!L805</f>
        <v>0.4770833333333333</v>
      </c>
      <c r="M805" t="s">
        <v>29</v>
      </c>
      <c r="N805">
        <f>VALUE(IF(AND(ISERR(FIND(".",'Raw Data'!N805)),LEN('Raw Data'!N805)=5), IF(YEAR('Raw Data'!N805)=2026,CONCATENATE(DAY('Raw Data'!N805),".",IF(LEN(MONTH('Raw Data'!N805))=2,MONTH('Raw Data'!N805),CONCATENATE("0",MONTH('Raw Data'!N805)))),CONCATENATE(MONTH('Raw Data'!N805),".",RIGHT(YEAR('Raw Data'!N805),2))),'Raw Data'!N805))</f>
        <v>440.64</v>
      </c>
      <c r="O805" s="6">
        <f t="shared" si="37"/>
        <v>4.7619047619047699</v>
      </c>
      <c r="P805" s="6">
        <f t="shared" si="38"/>
        <v>22.032000000000039</v>
      </c>
      <c r="Q805">
        <f>VALUE(IF(AND(ISERR(FIND(".",'Raw Data'!Q805)),LEN('Raw Data'!Q805)=5), IF(YEAR('Raw Data'!Q805)=2026,CONCATENATE(DAY('Raw Data'!Q805),".",IF(LEN(MONTH('Raw Data'!Q805))=2,MONTH('Raw Data'!Q805),CONCATENATE(MONTH('Raw Data'!Q805)))),CONCATENATE(MONTH('Raw Data'!Q805),".",RIGHT(YEAR('Raw Data'!Q805),2))),'Raw Data'!Q805))</f>
        <v>8</v>
      </c>
    </row>
    <row r="806" spans="1:17">
      <c r="A806" t="s">
        <v>893</v>
      </c>
      <c r="B806" t="s">
        <v>34</v>
      </c>
      <c r="C806" t="s">
        <v>35</v>
      </c>
      <c r="D806" t="s">
        <v>20</v>
      </c>
      <c r="E806" t="s">
        <v>21</v>
      </c>
      <c r="F806" t="s">
        <v>28</v>
      </c>
      <c r="G806">
        <f>VALUE(IF(AND(ISERR(FIND(".",'Raw Data'!G806)),LEN('Raw Data'!G806)=5), IF(YEAR('Raw Data'!G806)=2026,CONCATENATE(DAY('Raw Data'!G806),".",IF(LEN(MONTH('Raw Data'!G806))=2,MONTH('Raw Data'!G806),CONCATENATE("0",MONTH('Raw Data'!G806)))),CONCATENATE(MONTH('Raw Data'!G806),".",RIGHT(YEAR('Raw Data'!G806),2))),'Raw Data'!G806))</f>
        <v>75.59</v>
      </c>
      <c r="H806">
        <f>'Raw Data'!H806</f>
        <v>9</v>
      </c>
      <c r="I806" s="6">
        <f t="shared" si="36"/>
        <v>34.015499999999975</v>
      </c>
      <c r="J806" s="6">
        <f>'Raw Data'!J806</f>
        <v>714.32550000000003</v>
      </c>
      <c r="K806" s="1">
        <f>VALUE(IFERROR(VALUE('Raw Data'!K806),CONCATENATE(MID('Raw Data'!K806,3,2),".","0",LEFT('Raw Data'!K806,1),".", RIGHT('Raw Data'!K806,4))))</f>
        <v>43519</v>
      </c>
      <c r="L806" s="2">
        <f>'Raw Data'!L806</f>
        <v>0.46666666666666662</v>
      </c>
      <c r="M806" t="s">
        <v>29</v>
      </c>
      <c r="N806">
        <f>VALUE(IF(AND(ISERR(FIND(".",'Raw Data'!N806)),LEN('Raw Data'!N806)=5), IF(YEAR('Raw Data'!N806)=2026,CONCATENATE(DAY('Raw Data'!N806),".",IF(LEN(MONTH('Raw Data'!N806))=2,MONTH('Raw Data'!N806),CONCATENATE("0",MONTH('Raw Data'!N806)))),CONCATENATE(MONTH('Raw Data'!N806),".",RIGHT(YEAR('Raw Data'!N806),2))),'Raw Data'!N806))</f>
        <v>680.31</v>
      </c>
      <c r="O806" s="6">
        <f t="shared" si="37"/>
        <v>4.7619047619047743</v>
      </c>
      <c r="P806" s="6">
        <f t="shared" si="38"/>
        <v>34.015500000000088</v>
      </c>
      <c r="Q806">
        <f>VALUE(IF(AND(ISERR(FIND(".",'Raw Data'!Q806)),LEN('Raw Data'!Q806)=5), IF(YEAR('Raw Data'!Q806)=2026,CONCATENATE(DAY('Raw Data'!Q806),".",IF(LEN(MONTH('Raw Data'!Q806))=2,MONTH('Raw Data'!Q806),CONCATENATE(MONTH('Raw Data'!Q806)))),CONCATENATE(MONTH('Raw Data'!Q806),".",RIGHT(YEAR('Raw Data'!Q806),2))),'Raw Data'!Q806))</f>
        <v>8</v>
      </c>
    </row>
    <row r="807" spans="1:17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f>VALUE(IF(AND(ISERR(FIND(".",'Raw Data'!G807)),LEN('Raw Data'!G807)=5), IF(YEAR('Raw Data'!G807)=2026,CONCATENATE(DAY('Raw Data'!G807),".",IF(LEN(MONTH('Raw Data'!G807))=2,MONTH('Raw Data'!G807),CONCATENATE("0",MONTH('Raw Data'!G807)))),CONCATENATE(MONTH('Raw Data'!G807),".",RIGHT(YEAR('Raw Data'!G807),2))),'Raw Data'!G807))</f>
        <v>77.47</v>
      </c>
      <c r="H807">
        <f>'Raw Data'!H807</f>
        <v>4</v>
      </c>
      <c r="I807" s="6">
        <f t="shared" si="36"/>
        <v>15.494000000000028</v>
      </c>
      <c r="J807" s="6">
        <f>'Raw Data'!J807</f>
        <v>325.37400000000002</v>
      </c>
      <c r="K807" s="1">
        <f>VALUE(IFERROR(VALUE('Raw Data'!K807),CONCATENATE(MID('Raw Data'!K807,3,2),".","0",LEFT('Raw Data'!K807,1),".", RIGHT('Raw Data'!K807,4))))</f>
        <v>43541</v>
      </c>
      <c r="L807" s="2">
        <f>'Raw Data'!L807</f>
        <v>0.69166666666666676</v>
      </c>
      <c r="M807" t="s">
        <v>29</v>
      </c>
      <c r="N807">
        <f>VALUE(IF(AND(ISERR(FIND(".",'Raw Data'!N807)),LEN('Raw Data'!N807)=5), IF(YEAR('Raw Data'!N807)=2026,CONCATENATE(DAY('Raw Data'!N807),".",IF(LEN(MONTH('Raw Data'!N807))=2,MONTH('Raw Data'!N807),CONCATENATE("0",MONTH('Raw Data'!N807)))),CONCATENATE(MONTH('Raw Data'!N807),".",RIGHT(YEAR('Raw Data'!N807),2))),'Raw Data'!N807))</f>
        <v>309.88</v>
      </c>
      <c r="O807" s="6">
        <f t="shared" si="37"/>
        <v>4.7619047619047699</v>
      </c>
      <c r="P807" s="6">
        <f t="shared" si="38"/>
        <v>15.494000000000028</v>
      </c>
      <c r="Q807">
        <f>VALUE(IF(AND(ISERR(FIND(".",'Raw Data'!Q807)),LEN('Raw Data'!Q807)=5), IF(YEAR('Raw Data'!Q807)=2026,CONCATENATE(DAY('Raw Data'!Q807),".",IF(LEN(MONTH('Raw Data'!Q807))=2,MONTH('Raw Data'!Q807),CONCATENATE(MONTH('Raw Data'!Q807)))),CONCATENATE(MONTH('Raw Data'!Q807),".",RIGHT(YEAR('Raw Data'!Q807),2))),'Raw Data'!Q807))</f>
        <v>4.2</v>
      </c>
    </row>
    <row r="808" spans="1:17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38</v>
      </c>
      <c r="G808">
        <f>VALUE(IF(AND(ISERR(FIND(".",'Raw Data'!G808)),LEN('Raw Data'!G808)=5), IF(YEAR('Raw Data'!G808)=2026,CONCATENATE(DAY('Raw Data'!G808),".",IF(LEN(MONTH('Raw Data'!G808))=2,MONTH('Raw Data'!G808),CONCATENATE("0",MONTH('Raw Data'!G808)))),CONCATENATE(MONTH('Raw Data'!G808),".",RIGHT(YEAR('Raw Data'!G808),2))),'Raw Data'!G808))</f>
        <v>93.18</v>
      </c>
      <c r="H808">
        <f>'Raw Data'!H808</f>
        <v>2</v>
      </c>
      <c r="I808" s="6">
        <f t="shared" si="36"/>
        <v>9.3179999999999836</v>
      </c>
      <c r="J808" s="6">
        <f>'Raw Data'!J808</f>
        <v>195.678</v>
      </c>
      <c r="K808" s="1">
        <f>VALUE(IFERROR(VALUE('Raw Data'!K808),CONCATENATE(MID('Raw Data'!K808,3,2),".","0",LEFT('Raw Data'!K808,1),".", RIGHT('Raw Data'!K808,4))))</f>
        <v>43481</v>
      </c>
      <c r="L808" s="2">
        <f>'Raw Data'!L808</f>
        <v>0.77847222222222223</v>
      </c>
      <c r="M808" t="s">
        <v>33</v>
      </c>
      <c r="N808">
        <f>VALUE(IF(AND(ISERR(FIND(".",'Raw Data'!N808)),LEN('Raw Data'!N808)=5), IF(YEAR('Raw Data'!N808)=2026,CONCATENATE(DAY('Raw Data'!N808),".",IF(LEN(MONTH('Raw Data'!N808))=2,MONTH('Raw Data'!N808),CONCATENATE("0",MONTH('Raw Data'!N808)))),CONCATENATE(MONTH('Raw Data'!N808),".",RIGHT(YEAR('Raw Data'!N808),2))),'Raw Data'!N808))</f>
        <v>186.36</v>
      </c>
      <c r="O808" s="6">
        <f t="shared" si="37"/>
        <v>4.761904761904753</v>
      </c>
      <c r="P808" s="6">
        <f t="shared" si="38"/>
        <v>9.3179999999999836</v>
      </c>
      <c r="Q808">
        <f>VALUE(IF(AND(ISERR(FIND(".",'Raw Data'!Q808)),LEN('Raw Data'!Q808)=5), IF(YEAR('Raw Data'!Q808)=2026,CONCATENATE(DAY('Raw Data'!Q808),".",IF(LEN(MONTH('Raw Data'!Q808))=2,MONTH('Raw Data'!Q808),CONCATENATE(MONTH('Raw Data'!Q808)))),CONCATENATE(MONTH('Raw Data'!Q808),".",RIGHT(YEAR('Raw Data'!Q808),2))),'Raw Data'!Q808))</f>
        <v>8.5</v>
      </c>
    </row>
    <row r="809" spans="1:17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f>VALUE(IF(AND(ISERR(FIND(".",'Raw Data'!G809)),LEN('Raw Data'!G809)=5), IF(YEAR('Raw Data'!G809)=2026,CONCATENATE(DAY('Raw Data'!G809),".",IF(LEN(MONTH('Raw Data'!G809))=2,MONTH('Raw Data'!G809),CONCATENATE("0",MONTH('Raw Data'!G809)))),CONCATENATE(MONTH('Raw Data'!G809),".",RIGHT(YEAR('Raw Data'!G809),2))),'Raw Data'!G809))</f>
        <v>50.23</v>
      </c>
      <c r="H809">
        <f>'Raw Data'!H809</f>
        <v>4</v>
      </c>
      <c r="I809" s="6">
        <f t="shared" si="36"/>
        <v>10.046000000000021</v>
      </c>
      <c r="J809" s="6">
        <f>'Raw Data'!J809</f>
        <v>210.96600000000001</v>
      </c>
      <c r="K809" s="1">
        <f>VALUE(IFERROR(VALUE('Raw Data'!K809),CONCATENATE(MID('Raw Data'!K809,3,2),".","0",LEFT('Raw Data'!K809,1),".", RIGHT('Raw Data'!K809,4))))</f>
        <v>43678</v>
      </c>
      <c r="L809" s="2">
        <f>'Raw Data'!L809</f>
        <v>0.71666666666666667</v>
      </c>
      <c r="M809" t="s">
        <v>29</v>
      </c>
      <c r="N809">
        <f>VALUE(IF(AND(ISERR(FIND(".",'Raw Data'!N809)),LEN('Raw Data'!N809)=5), IF(YEAR('Raw Data'!N809)=2026,CONCATENATE(DAY('Raw Data'!N809),".",IF(LEN(MONTH('Raw Data'!N809))=2,MONTH('Raw Data'!N809),CONCATENATE("0",MONTH('Raw Data'!N809)))),CONCATENATE(MONTH('Raw Data'!N809),".",RIGHT(YEAR('Raw Data'!N809),2))),'Raw Data'!N809))</f>
        <v>200.92</v>
      </c>
      <c r="O809" s="6">
        <f t="shared" si="37"/>
        <v>4.7619047619047716</v>
      </c>
      <c r="P809" s="6">
        <f t="shared" si="38"/>
        <v>10.046000000000021</v>
      </c>
      <c r="Q809">
        <f>VALUE(IF(AND(ISERR(FIND(".",'Raw Data'!Q809)),LEN('Raw Data'!Q809)=5), IF(YEAR('Raw Data'!Q809)=2026,CONCATENATE(DAY('Raw Data'!Q809),".",IF(LEN(MONTH('Raw Data'!Q809))=2,MONTH('Raw Data'!Q809),CONCATENATE(MONTH('Raw Data'!Q809)))),CONCATENATE(MONTH('Raw Data'!Q809),".",RIGHT(YEAR('Raw Data'!Q809),2))),'Raw Data'!Q809))</f>
        <v>9</v>
      </c>
    </row>
    <row r="810" spans="1:17">
      <c r="A810" t="s">
        <v>897</v>
      </c>
      <c r="B810" t="s">
        <v>34</v>
      </c>
      <c r="C810" t="s">
        <v>35</v>
      </c>
      <c r="D810" t="s">
        <v>27</v>
      </c>
      <c r="E810" t="s">
        <v>21</v>
      </c>
      <c r="F810" t="s">
        <v>22</v>
      </c>
      <c r="G810">
        <f>VALUE(IF(AND(ISERR(FIND(".",'Raw Data'!G810)),LEN('Raw Data'!G810)=5), IF(YEAR('Raw Data'!G810)=2026,CONCATENATE(DAY('Raw Data'!G810),".",IF(LEN(MONTH('Raw Data'!G810))=2,MONTH('Raw Data'!G810),CONCATENATE("0",MONTH('Raw Data'!G810)))),CONCATENATE(MONTH('Raw Data'!G810),".",RIGHT(YEAR('Raw Data'!G810),2))),'Raw Data'!G810))</f>
        <v>17.75</v>
      </c>
      <c r="H810">
        <f>'Raw Data'!H810</f>
        <v>1</v>
      </c>
      <c r="I810" s="6">
        <f t="shared" si="36"/>
        <v>0.88749999999999929</v>
      </c>
      <c r="J810" s="6">
        <f>'Raw Data'!J810</f>
        <v>18.637499999999999</v>
      </c>
      <c r="K810" s="1">
        <f>VALUE(IFERROR(VALUE('Raw Data'!K810),CONCATENATE(MID('Raw Data'!K810,3,2),".","0",LEFT('Raw Data'!K810,1),".", RIGHT('Raw Data'!K810,4))))</f>
        <v>43479</v>
      </c>
      <c r="L810" s="2">
        <f>'Raw Data'!L810</f>
        <v>0.44305555555555554</v>
      </c>
      <c r="M810" t="s">
        <v>29</v>
      </c>
      <c r="N810">
        <f>VALUE(IF(AND(ISERR(FIND(".",'Raw Data'!N810)),LEN('Raw Data'!N810)=5), IF(YEAR('Raw Data'!N810)=2026,CONCATENATE(DAY('Raw Data'!N810),".",IF(LEN(MONTH('Raw Data'!N810))=2,MONTH('Raw Data'!N810),CONCATENATE("0",MONTH('Raw Data'!N810)))),CONCATENATE(MONTH('Raw Data'!N810),".",RIGHT(YEAR('Raw Data'!N810),2))),'Raw Data'!N810))</f>
        <v>17.75</v>
      </c>
      <c r="O810" s="6">
        <f t="shared" si="37"/>
        <v>4.7619047619047583</v>
      </c>
      <c r="P810" s="6">
        <f t="shared" si="38"/>
        <v>0.88749999999999929</v>
      </c>
      <c r="Q810">
        <f>VALUE(IF(AND(ISERR(FIND(".",'Raw Data'!Q810)),LEN('Raw Data'!Q810)=5), IF(YEAR('Raw Data'!Q810)=2026,CONCATENATE(DAY('Raw Data'!Q810),".",IF(LEN(MONTH('Raw Data'!Q810))=2,MONTH('Raw Data'!Q810),CONCATENATE(MONTH('Raw Data'!Q810)))),CONCATENATE(MONTH('Raw Data'!Q810),".",RIGHT(YEAR('Raw Data'!Q810),2))),'Raw Data'!Q810))</f>
        <v>8.6</v>
      </c>
    </row>
    <row r="811" spans="1:17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43</v>
      </c>
      <c r="G811">
        <f>VALUE(IF(AND(ISERR(FIND(".",'Raw Data'!G811)),LEN('Raw Data'!G811)=5), IF(YEAR('Raw Data'!G811)=2026,CONCATENATE(DAY('Raw Data'!G811),".",IF(LEN(MONTH('Raw Data'!G811))=2,MONTH('Raw Data'!G811),CONCATENATE("0",MONTH('Raw Data'!G811)))),CONCATENATE(MONTH('Raw Data'!G811),".",RIGHT(YEAR('Raw Data'!G811),2))),'Raw Data'!G811))</f>
        <v>62.18</v>
      </c>
      <c r="H811">
        <f>'Raw Data'!H811</f>
        <v>10</v>
      </c>
      <c r="I811" s="6">
        <f t="shared" si="36"/>
        <v>31.090000000000032</v>
      </c>
      <c r="J811" s="6">
        <f>'Raw Data'!J811</f>
        <v>652.89</v>
      </c>
      <c r="K811" s="1">
        <f>VALUE(IFERROR(VALUE('Raw Data'!K811),CONCATENATE(MID('Raw Data'!K811,3,2),".","0",LEFT('Raw Data'!K811,1),".", RIGHT('Raw Data'!K811,4))))</f>
        <v>43496</v>
      </c>
      <c r="L811" s="2">
        <f>'Raw Data'!L811</f>
        <v>0.43958333333333338</v>
      </c>
      <c r="M811" t="s">
        <v>23</v>
      </c>
      <c r="N811">
        <f>VALUE(IF(AND(ISERR(FIND(".",'Raw Data'!N811)),LEN('Raw Data'!N811)=5), IF(YEAR('Raw Data'!N811)=2026,CONCATENATE(DAY('Raw Data'!N811),".",IF(LEN(MONTH('Raw Data'!N811))=2,MONTH('Raw Data'!N811),CONCATENATE("0",MONTH('Raw Data'!N811)))),CONCATENATE(MONTH('Raw Data'!N811),".",RIGHT(YEAR('Raw Data'!N811),2))),'Raw Data'!N811))</f>
        <v>621.79999999999995</v>
      </c>
      <c r="O811" s="6">
        <f t="shared" si="37"/>
        <v>4.7619047619047672</v>
      </c>
      <c r="P811" s="6">
        <f t="shared" si="38"/>
        <v>31.090000000000032</v>
      </c>
      <c r="Q811">
        <f>VALUE(IF(AND(ISERR(FIND(".",'Raw Data'!Q811)),LEN('Raw Data'!Q811)=5), IF(YEAR('Raw Data'!Q811)=2026,CONCATENATE(DAY('Raw Data'!Q811),".",IF(LEN(MONTH('Raw Data'!Q811))=2,MONTH('Raw Data'!Q811),CONCATENATE(MONTH('Raw Data'!Q811)))),CONCATENATE(MONTH('Raw Data'!Q811),".",RIGHT(YEAR('Raw Data'!Q811),2))),'Raw Data'!Q811))</f>
        <v>6</v>
      </c>
    </row>
    <row r="812" spans="1:17">
      <c r="A812" t="s">
        <v>899</v>
      </c>
      <c r="B812" t="s">
        <v>34</v>
      </c>
      <c r="C812" t="s">
        <v>35</v>
      </c>
      <c r="D812" t="s">
        <v>27</v>
      </c>
      <c r="E812" t="s">
        <v>30</v>
      </c>
      <c r="F812" t="s">
        <v>22</v>
      </c>
      <c r="G812">
        <f>VALUE(IF(AND(ISERR(FIND(".",'Raw Data'!G812)),LEN('Raw Data'!G812)=5), IF(YEAR('Raw Data'!G812)=2026,CONCATENATE(DAY('Raw Data'!G812),".",IF(LEN(MONTH('Raw Data'!G812))=2,MONTH('Raw Data'!G812),CONCATENATE("0",MONTH('Raw Data'!G812)))),CONCATENATE(MONTH('Raw Data'!G812),".",RIGHT(YEAR('Raw Data'!G812),2))),'Raw Data'!G812))</f>
        <v>10.75</v>
      </c>
      <c r="H812">
        <f>'Raw Data'!H812</f>
        <v>8</v>
      </c>
      <c r="I812" s="6">
        <f t="shared" si="36"/>
        <v>4.2999999999999972</v>
      </c>
      <c r="J812" s="6">
        <f>'Raw Data'!J812</f>
        <v>90.3</v>
      </c>
      <c r="K812" s="1">
        <f>VALUE(IFERROR(VALUE('Raw Data'!K812),CONCATENATE(MID('Raw Data'!K812,3,2),".","0",LEFT('Raw Data'!K812,1),".", RIGHT('Raw Data'!K812,4))))</f>
        <v>43539</v>
      </c>
      <c r="L812" s="2">
        <f>'Raw Data'!L812</f>
        <v>0.60972222222222217</v>
      </c>
      <c r="M812" t="s">
        <v>23</v>
      </c>
      <c r="N812">
        <f>VALUE(IF(AND(ISERR(FIND(".",'Raw Data'!N812)),LEN('Raw Data'!N812)=5), IF(YEAR('Raw Data'!N812)=2026,CONCATENATE(DAY('Raw Data'!N812),".",IF(LEN(MONTH('Raw Data'!N812))=2,MONTH('Raw Data'!N812),CONCATENATE("0",MONTH('Raw Data'!N812)))),CONCATENATE(MONTH('Raw Data'!N812),".",RIGHT(YEAR('Raw Data'!N812),2))),'Raw Data'!N812))</f>
        <v>86</v>
      </c>
      <c r="O812" s="6">
        <f t="shared" si="37"/>
        <v>4.7619047619047592</v>
      </c>
      <c r="P812" s="6">
        <f t="shared" si="38"/>
        <v>4.2999999999999972</v>
      </c>
      <c r="Q812">
        <f>VALUE(IF(AND(ISERR(FIND(".",'Raw Data'!Q812)),LEN('Raw Data'!Q812)=5), IF(YEAR('Raw Data'!Q812)=2026,CONCATENATE(DAY('Raw Data'!Q812),".",IF(LEN(MONTH('Raw Data'!Q812))=2,MONTH('Raw Data'!Q812),CONCATENATE(MONTH('Raw Data'!Q812)))),CONCATENATE(MONTH('Raw Data'!Q812),".",RIGHT(YEAR('Raw Data'!Q812),2))),'Raw Data'!Q812))</f>
        <v>6.2</v>
      </c>
    </row>
    <row r="813" spans="1:17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f>VALUE(IF(AND(ISERR(FIND(".",'Raw Data'!G813)),LEN('Raw Data'!G813)=5), IF(YEAR('Raw Data'!G813)=2026,CONCATENATE(DAY('Raw Data'!G813),".",IF(LEN(MONTH('Raw Data'!G813))=2,MONTH('Raw Data'!G813),CONCATENATE("0",MONTH('Raw Data'!G813)))),CONCATENATE(MONTH('Raw Data'!G813),".",RIGHT(YEAR('Raw Data'!G813),2))),'Raw Data'!G813))</f>
        <v>40.26</v>
      </c>
      <c r="H813">
        <f>'Raw Data'!H813</f>
        <v>10</v>
      </c>
      <c r="I813" s="6">
        <f t="shared" si="36"/>
        <v>20.130000000000052</v>
      </c>
      <c r="J813" s="6">
        <f>'Raw Data'!J813</f>
        <v>422.73</v>
      </c>
      <c r="K813" s="1">
        <f>VALUE(IFERROR(VALUE('Raw Data'!K813),CONCATENATE(MID('Raw Data'!K813,3,2),".","0",LEFT('Raw Data'!K813,1),".", RIGHT('Raw Data'!K813,4))))</f>
        <v>43520</v>
      </c>
      <c r="L813" s="2">
        <f>'Raw Data'!L813</f>
        <v>0.75416666666666676</v>
      </c>
      <c r="M813" t="s">
        <v>33</v>
      </c>
      <c r="N813">
        <f>VALUE(IF(AND(ISERR(FIND(".",'Raw Data'!N813)),LEN('Raw Data'!N813)=5), IF(YEAR('Raw Data'!N813)=2026,CONCATENATE(DAY('Raw Data'!N813),".",IF(LEN(MONTH('Raw Data'!N813))=2,MONTH('Raw Data'!N813),CONCATENATE("0",MONTH('Raw Data'!N813)))),CONCATENATE(MONTH('Raw Data'!N813),".",RIGHT(YEAR('Raw Data'!N813),2))),'Raw Data'!N813))</f>
        <v>402.6</v>
      </c>
      <c r="O813" s="6">
        <f t="shared" si="37"/>
        <v>4.761904761904761</v>
      </c>
      <c r="P813" s="6">
        <f t="shared" si="38"/>
        <v>20.129999999999995</v>
      </c>
      <c r="Q813">
        <f>VALUE(IF(AND(ISERR(FIND(".",'Raw Data'!Q813)),LEN('Raw Data'!Q813)=5), IF(YEAR('Raw Data'!Q813)=2026,CONCATENATE(DAY('Raw Data'!Q813),".",IF(LEN(MONTH('Raw Data'!Q813))=2,MONTH('Raw Data'!Q813),CONCATENATE(MONTH('Raw Data'!Q813)))),CONCATENATE(MONTH('Raw Data'!Q813),".",RIGHT(YEAR('Raw Data'!Q813),2))),'Raw Data'!Q813))</f>
        <v>5</v>
      </c>
    </row>
    <row r="814" spans="1:17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38</v>
      </c>
      <c r="G814">
        <f>VALUE(IF(AND(ISERR(FIND(".",'Raw Data'!G814)),LEN('Raw Data'!G814)=5), IF(YEAR('Raw Data'!G814)=2026,CONCATENATE(DAY('Raw Data'!G814),".",IF(LEN(MONTH('Raw Data'!G814))=2,MONTH('Raw Data'!G814),CONCATENATE("0",MONTH('Raw Data'!G814)))),CONCATENATE(MONTH('Raw Data'!G814),".",RIGHT(YEAR('Raw Data'!G814),2))),'Raw Data'!G814))</f>
        <v>64.97</v>
      </c>
      <c r="H814">
        <f>'Raw Data'!H814</f>
        <v>5</v>
      </c>
      <c r="I814" s="6">
        <f t="shared" si="36"/>
        <v>16.24249999999995</v>
      </c>
      <c r="J814" s="6">
        <f>'Raw Data'!J814</f>
        <v>341.09249999999997</v>
      </c>
      <c r="K814" s="1">
        <f>VALUE(IFERROR(VALUE('Raw Data'!K814),CONCATENATE(MID('Raw Data'!K814,3,2),".","0",LEFT('Raw Data'!K814,1),".", RIGHT('Raw Data'!K814,4))))</f>
        <v>43679</v>
      </c>
      <c r="L814" s="2">
        <f>'Raw Data'!L814</f>
        <v>0.53611111111111109</v>
      </c>
      <c r="M814" t="s">
        <v>33</v>
      </c>
      <c r="N814">
        <f>VALUE(IF(AND(ISERR(FIND(".",'Raw Data'!N814)),LEN('Raw Data'!N814)=5), IF(YEAR('Raw Data'!N814)=2026,CONCATENATE(DAY('Raw Data'!N814),".",IF(LEN(MONTH('Raw Data'!N814))=2,MONTH('Raw Data'!N814),CONCATENATE("0",MONTH('Raw Data'!N814)))),CONCATENATE(MONTH('Raw Data'!N814),".",RIGHT(YEAR('Raw Data'!N814),2))),'Raw Data'!N814))</f>
        <v>324.85000000000002</v>
      </c>
      <c r="O814" s="6">
        <f t="shared" si="37"/>
        <v>4.7619047619047477</v>
      </c>
      <c r="P814" s="6">
        <f t="shared" si="38"/>
        <v>16.24249999999995</v>
      </c>
      <c r="Q814">
        <f>VALUE(IF(AND(ISERR(FIND(".",'Raw Data'!Q814)),LEN('Raw Data'!Q814)=5), IF(YEAR('Raw Data'!Q814)=2026,CONCATENATE(DAY('Raw Data'!Q814),".",IF(LEN(MONTH('Raw Data'!Q814))=2,MONTH('Raw Data'!Q814),CONCATENATE(MONTH('Raw Data'!Q814)))),CONCATENATE(MONTH('Raw Data'!Q814),".",RIGHT(YEAR('Raw Data'!Q814),2))),'Raw Data'!Q814))</f>
        <v>6.5</v>
      </c>
    </row>
    <row r="815" spans="1:17">
      <c r="A815" t="s">
        <v>902</v>
      </c>
      <c r="B815" t="s">
        <v>18</v>
      </c>
      <c r="C815" t="s">
        <v>19</v>
      </c>
      <c r="D815" t="s">
        <v>27</v>
      </c>
      <c r="E815" t="s">
        <v>30</v>
      </c>
      <c r="F815" t="s">
        <v>28</v>
      </c>
      <c r="G815">
        <f>VALUE(IF(AND(ISERR(FIND(".",'Raw Data'!G815)),LEN('Raw Data'!G815)=5), IF(YEAR('Raw Data'!G815)=2026,CONCATENATE(DAY('Raw Data'!G815),".",IF(LEN(MONTH('Raw Data'!G815))=2,MONTH('Raw Data'!G815),CONCATENATE("0",MONTH('Raw Data'!G815)))),CONCATENATE(MONTH('Raw Data'!G815),".",RIGHT(YEAR('Raw Data'!G815),2))),'Raw Data'!G815))</f>
        <v>95.15</v>
      </c>
      <c r="H815">
        <f>'Raw Data'!H815</f>
        <v>1</v>
      </c>
      <c r="I815" s="6">
        <f t="shared" si="36"/>
        <v>4.7574999999999932</v>
      </c>
      <c r="J815" s="6">
        <f>'Raw Data'!J815</f>
        <v>99.907499999999999</v>
      </c>
      <c r="K815" s="1">
        <f>VALUE(IFERROR(VALUE('Raw Data'!K815),CONCATENATE(MID('Raw Data'!K815,3,2),".","0",LEFT('Raw Data'!K815,1),".", RIGHT('Raw Data'!K815,4))))</f>
        <v>43546</v>
      </c>
      <c r="L815" s="2">
        <f>'Raw Data'!L815</f>
        <v>0.58333333333333337</v>
      </c>
      <c r="M815" t="s">
        <v>29</v>
      </c>
      <c r="N815">
        <f>VALUE(IF(AND(ISERR(FIND(".",'Raw Data'!N815)),LEN('Raw Data'!N815)=5), IF(YEAR('Raw Data'!N815)=2026,CONCATENATE(DAY('Raw Data'!N815),".",IF(LEN(MONTH('Raw Data'!N815))=2,MONTH('Raw Data'!N815),CONCATENATE("0",MONTH('Raw Data'!N815)))),CONCATENATE(MONTH('Raw Data'!N815),".",RIGHT(YEAR('Raw Data'!N815),2))),'Raw Data'!N815))</f>
        <v>95.15</v>
      </c>
      <c r="O815" s="6">
        <f t="shared" si="37"/>
        <v>4.7619047619047556</v>
      </c>
      <c r="P815" s="6">
        <f t="shared" si="38"/>
        <v>4.7574999999999932</v>
      </c>
      <c r="Q815">
        <f>VALUE(IF(AND(ISERR(FIND(".",'Raw Data'!Q815)),LEN('Raw Data'!Q815)=5), IF(YEAR('Raw Data'!Q815)=2026,CONCATENATE(DAY('Raw Data'!Q815),".",IF(LEN(MONTH('Raw Data'!Q815))=2,MONTH('Raw Data'!Q815),CONCATENATE(MONTH('Raw Data'!Q815)))),CONCATENATE(MONTH('Raw Data'!Q815),".",RIGHT(YEAR('Raw Data'!Q815),2))),'Raw Data'!Q815))</f>
        <v>6</v>
      </c>
    </row>
    <row r="816" spans="1:17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f>VALUE(IF(AND(ISERR(FIND(".",'Raw Data'!G816)),LEN('Raw Data'!G816)=5), IF(YEAR('Raw Data'!G816)=2026,CONCATENATE(DAY('Raw Data'!G816),".",IF(LEN(MONTH('Raw Data'!G816))=2,MONTH('Raw Data'!G816),CONCATENATE("0",MONTH('Raw Data'!G816)))),CONCATENATE(MONTH('Raw Data'!G816),".",RIGHT(YEAR('Raw Data'!G816),2))),'Raw Data'!G816))</f>
        <v>48.62</v>
      </c>
      <c r="H816">
        <f>'Raw Data'!H816</f>
        <v>8</v>
      </c>
      <c r="I816" s="6">
        <f t="shared" si="36"/>
        <v>19.448000000000036</v>
      </c>
      <c r="J816" s="6">
        <f>'Raw Data'!J816</f>
        <v>408.40800000000002</v>
      </c>
      <c r="K816" s="1">
        <f>VALUE(IFERROR(VALUE('Raw Data'!K816),CONCATENATE(MID('Raw Data'!K816,3,2),".","0",LEFT('Raw Data'!K816,1),".", RIGHT('Raw Data'!K816,4))))</f>
        <v>43489</v>
      </c>
      <c r="L816" s="2">
        <f>'Raw Data'!L816</f>
        <v>0.45624999999999999</v>
      </c>
      <c r="M816" t="s">
        <v>29</v>
      </c>
      <c r="N816">
        <f>VALUE(IF(AND(ISERR(FIND(".",'Raw Data'!N816)),LEN('Raw Data'!N816)=5), IF(YEAR('Raw Data'!N816)=2026,CONCATENATE(DAY('Raw Data'!N816),".",IF(LEN(MONTH('Raw Data'!N816))=2,MONTH('Raw Data'!N816),CONCATENATE("0",MONTH('Raw Data'!N816)))),CONCATENATE(MONTH('Raw Data'!N816),".",RIGHT(YEAR('Raw Data'!N816),2))),'Raw Data'!N816))</f>
        <v>388.96</v>
      </c>
      <c r="O816" s="6">
        <f t="shared" si="37"/>
        <v>4.7619047619047707</v>
      </c>
      <c r="P816" s="6">
        <f t="shared" si="38"/>
        <v>19.448000000000036</v>
      </c>
      <c r="Q816">
        <f>VALUE(IF(AND(ISERR(FIND(".",'Raw Data'!Q816)),LEN('Raw Data'!Q816)=5), IF(YEAR('Raw Data'!Q816)=2026,CONCATENATE(DAY('Raw Data'!Q816),".",IF(LEN(MONTH('Raw Data'!Q816))=2,MONTH('Raw Data'!Q816),CONCATENATE(MONTH('Raw Data'!Q816)))),CONCATENATE(MONTH('Raw Data'!Q816),".",RIGHT(YEAR('Raw Data'!Q816),2))),'Raw Data'!Q816))</f>
        <v>5</v>
      </c>
    </row>
    <row r="817" spans="1:17">
      <c r="A817" t="s">
        <v>904</v>
      </c>
      <c r="B817" t="s">
        <v>34</v>
      </c>
      <c r="C817" t="s">
        <v>35</v>
      </c>
      <c r="D817" t="s">
        <v>27</v>
      </c>
      <c r="E817" t="s">
        <v>21</v>
      </c>
      <c r="F817" t="s">
        <v>40</v>
      </c>
      <c r="G817">
        <f>VALUE(IF(AND(ISERR(FIND(".",'Raw Data'!G817)),LEN('Raw Data'!G817)=5), IF(YEAR('Raw Data'!G817)=2026,CONCATENATE(DAY('Raw Data'!G817),".",IF(LEN(MONTH('Raw Data'!G817))=2,MONTH('Raw Data'!G817),CONCATENATE("0",MONTH('Raw Data'!G817)))),CONCATENATE(MONTH('Raw Data'!G817),".",RIGHT(YEAR('Raw Data'!G817),2))),'Raw Data'!G817))</f>
        <v>53.21</v>
      </c>
      <c r="H817">
        <f>'Raw Data'!H817</f>
        <v>8</v>
      </c>
      <c r="I817" s="6">
        <f t="shared" si="36"/>
        <v>21.283999999999992</v>
      </c>
      <c r="J817" s="6">
        <f>'Raw Data'!J817</f>
        <v>446.964</v>
      </c>
      <c r="K817" s="1">
        <f>VALUE(IFERROR(VALUE('Raw Data'!K817),CONCATENATE(MID('Raw Data'!K817,3,2),".","0",LEFT('Raw Data'!K817,1),".", RIGHT('Raw Data'!K817,4))))</f>
        <v>43538</v>
      </c>
      <c r="L817" s="2">
        <f>'Raw Data'!L817</f>
        <v>0.69791666666666663</v>
      </c>
      <c r="M817" t="s">
        <v>23</v>
      </c>
      <c r="N817">
        <f>VALUE(IF(AND(ISERR(FIND(".",'Raw Data'!N817)),LEN('Raw Data'!N817)=5), IF(YEAR('Raw Data'!N817)=2026,CONCATENATE(DAY('Raw Data'!N817),".",IF(LEN(MONTH('Raw Data'!N817))=2,MONTH('Raw Data'!N817),CONCATENATE("0",MONTH('Raw Data'!N817)))),CONCATENATE(MONTH('Raw Data'!N817),".",RIGHT(YEAR('Raw Data'!N817),2))),'Raw Data'!N817))</f>
        <v>425.68</v>
      </c>
      <c r="O817" s="6">
        <f t="shared" si="37"/>
        <v>4.7619047619047601</v>
      </c>
      <c r="P817" s="6">
        <f t="shared" si="38"/>
        <v>21.283999999999992</v>
      </c>
      <c r="Q817">
        <f>VALUE(IF(AND(ISERR(FIND(".",'Raw Data'!Q817)),LEN('Raw Data'!Q817)=5), IF(YEAR('Raw Data'!Q817)=2026,CONCATENATE(DAY('Raw Data'!Q817),".",IF(LEN(MONTH('Raw Data'!Q817))=2,MONTH('Raw Data'!Q817),CONCATENATE(MONTH('Raw Data'!Q817)))),CONCATENATE(MONTH('Raw Data'!Q817),".",RIGHT(YEAR('Raw Data'!Q817),2))),'Raw Data'!Q817))</f>
        <v>5</v>
      </c>
    </row>
    <row r="818" spans="1:17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43</v>
      </c>
      <c r="G818">
        <f>VALUE(IF(AND(ISERR(FIND(".",'Raw Data'!G818)),LEN('Raw Data'!G818)=5), IF(YEAR('Raw Data'!G818)=2026,CONCATENATE(DAY('Raw Data'!G818),".",IF(LEN(MONTH('Raw Data'!G818))=2,MONTH('Raw Data'!G818),CONCATENATE("0",MONTH('Raw Data'!G818)))),CONCATENATE(MONTH('Raw Data'!G818),".",RIGHT(YEAR('Raw Data'!G818),2))),'Raw Data'!G818))</f>
        <v>45.44</v>
      </c>
      <c r="H818">
        <f>'Raw Data'!H818</f>
        <v>7</v>
      </c>
      <c r="I818" s="6">
        <f t="shared" si="36"/>
        <v>15.903999999999996</v>
      </c>
      <c r="J818" s="6">
        <f>'Raw Data'!J818</f>
        <v>333.98399999999998</v>
      </c>
      <c r="K818" s="1">
        <f>VALUE(IFERROR(VALUE('Raw Data'!K818),CONCATENATE(MID('Raw Data'!K818,3,2),".","0",LEFT('Raw Data'!K818,1),".", RIGHT('Raw Data'!K818,4))))</f>
        <v>43488</v>
      </c>
      <c r="L818" s="2">
        <f>'Raw Data'!L818</f>
        <v>0.46875</v>
      </c>
      <c r="M818" t="s">
        <v>29</v>
      </c>
      <c r="N818">
        <f>VALUE(IF(AND(ISERR(FIND(".",'Raw Data'!N818)),LEN('Raw Data'!N818)=5), IF(YEAR('Raw Data'!N818)=2026,CONCATENATE(DAY('Raw Data'!N818),".",IF(LEN(MONTH('Raw Data'!N818))=2,MONTH('Raw Data'!N818),CONCATENATE("0",MONTH('Raw Data'!N818)))),CONCATENATE(MONTH('Raw Data'!N818),".",RIGHT(YEAR('Raw Data'!N818),2))),'Raw Data'!N818))</f>
        <v>318.08</v>
      </c>
      <c r="O818" s="6">
        <f t="shared" si="37"/>
        <v>4.761904761904761</v>
      </c>
      <c r="P818" s="6">
        <f t="shared" si="38"/>
        <v>15.903999999999996</v>
      </c>
      <c r="Q818">
        <f>VALUE(IF(AND(ISERR(FIND(".",'Raw Data'!Q818)),LEN('Raw Data'!Q818)=5), IF(YEAR('Raw Data'!Q818)=2026,CONCATENATE(DAY('Raw Data'!Q818),".",IF(LEN(MONTH('Raw Data'!Q818))=2,MONTH('Raw Data'!Q818),CONCATENATE(MONTH('Raw Data'!Q818)))),CONCATENATE(MONTH('Raw Data'!Q818),".",RIGHT(YEAR('Raw Data'!Q818),2))),'Raw Data'!Q818))</f>
        <v>9.1999999999999993</v>
      </c>
    </row>
    <row r="819" spans="1:17">
      <c r="A819" t="s">
        <v>906</v>
      </c>
      <c r="B819" t="s">
        <v>18</v>
      </c>
      <c r="C819" t="s">
        <v>19</v>
      </c>
      <c r="D819" t="s">
        <v>27</v>
      </c>
      <c r="E819" t="s">
        <v>30</v>
      </c>
      <c r="F819" t="s">
        <v>40</v>
      </c>
      <c r="G819">
        <f>VALUE(IF(AND(ISERR(FIND(".",'Raw Data'!G819)),LEN('Raw Data'!G819)=5), IF(YEAR('Raw Data'!G819)=2026,CONCATENATE(DAY('Raw Data'!G819),".",IF(LEN(MONTH('Raw Data'!G819))=2,MONTH('Raw Data'!G819),CONCATENATE("0",MONTH('Raw Data'!G819)))),CONCATENATE(MONTH('Raw Data'!G819),".",RIGHT(YEAR('Raw Data'!G819),2))),'Raw Data'!G819))</f>
        <v>33.880000000000003</v>
      </c>
      <c r="H819">
        <f>'Raw Data'!H819</f>
        <v>8</v>
      </c>
      <c r="I819" s="6">
        <f t="shared" si="36"/>
        <v>13.551999999999964</v>
      </c>
      <c r="J819" s="6">
        <f>'Raw Data'!J819</f>
        <v>284.59199999999998</v>
      </c>
      <c r="K819" s="1">
        <f>VALUE(IFERROR(VALUE('Raw Data'!K819),CONCATENATE(MID('Raw Data'!K819,3,2),".","0",LEFT('Raw Data'!K819,1),".", RIGHT('Raw Data'!K819,4))))</f>
        <v>43484</v>
      </c>
      <c r="L819" s="2">
        <f>'Raw Data'!L819</f>
        <v>0.8534722222222223</v>
      </c>
      <c r="M819" t="s">
        <v>23</v>
      </c>
      <c r="N819">
        <f>VALUE(IF(AND(ISERR(FIND(".",'Raw Data'!N819)),LEN('Raw Data'!N819)=5), IF(YEAR('Raw Data'!N819)=2026,CONCATENATE(DAY('Raw Data'!N819),".",IF(LEN(MONTH('Raw Data'!N819))=2,MONTH('Raw Data'!N819),CONCATENATE("0",MONTH('Raw Data'!N819)))),CONCATENATE(MONTH('Raw Data'!N819),".",RIGHT(YEAR('Raw Data'!N819),2))),'Raw Data'!N819))</f>
        <v>271.04000000000002</v>
      </c>
      <c r="O819" s="6">
        <f t="shared" si="37"/>
        <v>4.7619047619047494</v>
      </c>
      <c r="P819" s="6">
        <f t="shared" si="38"/>
        <v>13.551999999999964</v>
      </c>
      <c r="Q819">
        <f>VALUE(IF(AND(ISERR(FIND(".",'Raw Data'!Q819)),LEN('Raw Data'!Q819)=5), IF(YEAR('Raw Data'!Q819)=2026,CONCATENATE(DAY('Raw Data'!Q819),".",IF(LEN(MONTH('Raw Data'!Q819))=2,MONTH('Raw Data'!Q819),CONCATENATE(MONTH('Raw Data'!Q819)))),CONCATENATE(MONTH('Raw Data'!Q819),".",RIGHT(YEAR('Raw Data'!Q819),2))),'Raw Data'!Q819))</f>
        <v>9.6</v>
      </c>
    </row>
    <row r="820" spans="1:17">
      <c r="A820" t="s">
        <v>907</v>
      </c>
      <c r="B820" t="s">
        <v>34</v>
      </c>
      <c r="C820" t="s">
        <v>35</v>
      </c>
      <c r="D820" t="s">
        <v>20</v>
      </c>
      <c r="E820" t="s">
        <v>30</v>
      </c>
      <c r="F820" t="s">
        <v>22</v>
      </c>
      <c r="G820">
        <f>VALUE(IF(AND(ISERR(FIND(".",'Raw Data'!G820)),LEN('Raw Data'!G820)=5), IF(YEAR('Raw Data'!G820)=2026,CONCATENATE(DAY('Raw Data'!G820),".",IF(LEN(MONTH('Raw Data'!G820))=2,MONTH('Raw Data'!G820),CONCATENATE("0",MONTH('Raw Data'!G820)))),CONCATENATE(MONTH('Raw Data'!G820),".",RIGHT(YEAR('Raw Data'!G820),2))),'Raw Data'!G820))</f>
        <v>96.16</v>
      </c>
      <c r="H820">
        <f>'Raw Data'!H820</f>
        <v>4</v>
      </c>
      <c r="I820" s="6">
        <f t="shared" si="36"/>
        <v>19.232000000000028</v>
      </c>
      <c r="J820" s="6">
        <f>'Raw Data'!J820</f>
        <v>403.87200000000001</v>
      </c>
      <c r="K820" s="1">
        <f>VALUE(IFERROR(VALUE('Raw Data'!K820),CONCATENATE(MID('Raw Data'!K820,3,2),".","0",LEFT('Raw Data'!K820,1),".", RIGHT('Raw Data'!K820,4))))</f>
        <v>43492</v>
      </c>
      <c r="L820" s="2">
        <f>'Raw Data'!L820</f>
        <v>0.8354166666666667</v>
      </c>
      <c r="M820" t="s">
        <v>33</v>
      </c>
      <c r="N820">
        <f>VALUE(IF(AND(ISERR(FIND(".",'Raw Data'!N820)),LEN('Raw Data'!N820)=5), IF(YEAR('Raw Data'!N820)=2026,CONCATENATE(DAY('Raw Data'!N820),".",IF(LEN(MONTH('Raw Data'!N820))=2,MONTH('Raw Data'!N820),CONCATENATE("0",MONTH('Raw Data'!N820)))),CONCATENATE(MONTH('Raw Data'!N820),".",RIGHT(YEAR('Raw Data'!N820),2))),'Raw Data'!N820))</f>
        <v>384.64</v>
      </c>
      <c r="O820" s="6">
        <f t="shared" si="37"/>
        <v>4.761904761904769</v>
      </c>
      <c r="P820" s="6">
        <f t="shared" si="38"/>
        <v>19.232000000000028</v>
      </c>
      <c r="Q820">
        <f>VALUE(IF(AND(ISERR(FIND(".",'Raw Data'!Q820)),LEN('Raw Data'!Q820)=5), IF(YEAR('Raw Data'!Q820)=2026,CONCATENATE(DAY('Raw Data'!Q820),".",IF(LEN(MONTH('Raw Data'!Q820))=2,MONTH('Raw Data'!Q820),CONCATENATE(MONTH('Raw Data'!Q820)))),CONCATENATE(MONTH('Raw Data'!Q820),".",RIGHT(YEAR('Raw Data'!Q820),2))),'Raw Data'!Q820))</f>
        <v>8.4</v>
      </c>
    </row>
    <row r="821" spans="1:17">
      <c r="A821" t="s">
        <v>908</v>
      </c>
      <c r="B821" t="s">
        <v>34</v>
      </c>
      <c r="C821" t="s">
        <v>35</v>
      </c>
      <c r="D821" t="s">
        <v>20</v>
      </c>
      <c r="E821" t="s">
        <v>30</v>
      </c>
      <c r="F821" t="s">
        <v>40</v>
      </c>
      <c r="G821">
        <f>VALUE(IF(AND(ISERR(FIND(".",'Raw Data'!G821)),LEN('Raw Data'!G821)=5), IF(YEAR('Raw Data'!G821)=2026,CONCATENATE(DAY('Raw Data'!G821),".",IF(LEN(MONTH('Raw Data'!G821))=2,MONTH('Raw Data'!G821),CONCATENATE("0",MONTH('Raw Data'!G821)))),CONCATENATE(MONTH('Raw Data'!G821),".",RIGHT(YEAR('Raw Data'!G821),2))),'Raw Data'!G821))</f>
        <v>47.16</v>
      </c>
      <c r="H821">
        <f>'Raw Data'!H821</f>
        <v>5</v>
      </c>
      <c r="I821" s="6">
        <f t="shared" si="36"/>
        <v>11.79000000000002</v>
      </c>
      <c r="J821" s="6">
        <f>'Raw Data'!J821</f>
        <v>247.59</v>
      </c>
      <c r="K821" s="1">
        <f>VALUE(IFERROR(VALUE('Raw Data'!K821),CONCATENATE(MID('Raw Data'!K821,3,2),".","0",LEFT('Raw Data'!K821,1),".", RIGHT('Raw Data'!K821,4))))</f>
        <v>43526</v>
      </c>
      <c r="L821" s="2">
        <f>'Raw Data'!L821</f>
        <v>0.60763888888888895</v>
      </c>
      <c r="M821" t="s">
        <v>33</v>
      </c>
      <c r="N821">
        <f>VALUE(IF(AND(ISERR(FIND(".",'Raw Data'!N821)),LEN('Raw Data'!N821)=5), IF(YEAR('Raw Data'!N821)=2026,CONCATENATE(DAY('Raw Data'!N821),".",IF(LEN(MONTH('Raw Data'!N821))=2,MONTH('Raw Data'!N821),CONCATENATE("0",MONTH('Raw Data'!N821)))),CONCATENATE(MONTH('Raw Data'!N821),".",RIGHT(YEAR('Raw Data'!N821),2))),'Raw Data'!N821))</f>
        <v>235.8</v>
      </c>
      <c r="O821" s="6">
        <f t="shared" si="37"/>
        <v>4.7619047619047592</v>
      </c>
      <c r="P821" s="6">
        <f t="shared" si="38"/>
        <v>11.789999999999992</v>
      </c>
      <c r="Q821">
        <f>VALUE(IF(AND(ISERR(FIND(".",'Raw Data'!Q821)),LEN('Raw Data'!Q821)=5), IF(YEAR('Raw Data'!Q821)=2026,CONCATENATE(DAY('Raw Data'!Q821),".",IF(LEN(MONTH('Raw Data'!Q821))=2,MONTH('Raw Data'!Q821),CONCATENATE(MONTH('Raw Data'!Q821)))),CONCATENATE(MONTH('Raw Data'!Q821),".",RIGHT(YEAR('Raw Data'!Q821),2))),'Raw Data'!Q821))</f>
        <v>6</v>
      </c>
    </row>
    <row r="822" spans="1:17">
      <c r="A822" t="s">
        <v>909</v>
      </c>
      <c r="B822" t="s">
        <v>34</v>
      </c>
      <c r="C822" t="s">
        <v>35</v>
      </c>
      <c r="D822" t="s">
        <v>27</v>
      </c>
      <c r="E822" t="s">
        <v>30</v>
      </c>
      <c r="F822" t="s">
        <v>28</v>
      </c>
      <c r="G822">
        <f>VALUE(IF(AND(ISERR(FIND(".",'Raw Data'!G822)),LEN('Raw Data'!G822)=5), IF(YEAR('Raw Data'!G822)=2026,CONCATENATE(DAY('Raw Data'!G822),".",IF(LEN(MONTH('Raw Data'!G822))=2,MONTH('Raw Data'!G822),CONCATENATE("0",MONTH('Raw Data'!G822)))),CONCATENATE(MONTH('Raw Data'!G822),".",RIGHT(YEAR('Raw Data'!G822),2))),'Raw Data'!G822))</f>
        <v>52.89</v>
      </c>
      <c r="H822">
        <f>'Raw Data'!H822</f>
        <v>4</v>
      </c>
      <c r="I822" s="6">
        <f t="shared" si="36"/>
        <v>10.578000000000003</v>
      </c>
      <c r="J822" s="6">
        <f>'Raw Data'!J822</f>
        <v>222.13800000000001</v>
      </c>
      <c r="K822" s="1">
        <f>VALUE(IFERROR(VALUE('Raw Data'!K822),CONCATENATE(MID('Raw Data'!K822,3,2),".","0",LEFT('Raw Data'!K822,1),".", RIGHT('Raw Data'!K822,4))))</f>
        <v>43549</v>
      </c>
      <c r="L822" s="2">
        <f>'Raw Data'!L822</f>
        <v>0.68888888888888899</v>
      </c>
      <c r="M822" t="s">
        <v>23</v>
      </c>
      <c r="N822">
        <f>VALUE(IF(AND(ISERR(FIND(".",'Raw Data'!N822)),LEN('Raw Data'!N822)=5), IF(YEAR('Raw Data'!N822)=2026,CONCATENATE(DAY('Raw Data'!N822),".",IF(LEN(MONTH('Raw Data'!N822))=2,MONTH('Raw Data'!N822),CONCATENATE("0",MONTH('Raw Data'!N822)))),CONCATENATE(MONTH('Raw Data'!N822),".",RIGHT(YEAR('Raw Data'!N822),2))),'Raw Data'!N822))</f>
        <v>211.56</v>
      </c>
      <c r="O822" s="6">
        <f t="shared" si="37"/>
        <v>4.7619047619047628</v>
      </c>
      <c r="P822" s="6">
        <f t="shared" si="38"/>
        <v>10.578000000000003</v>
      </c>
      <c r="Q822">
        <f>VALUE(IF(AND(ISERR(FIND(".",'Raw Data'!Q822)),LEN('Raw Data'!Q822)=5), IF(YEAR('Raw Data'!Q822)=2026,CONCATENATE(DAY('Raw Data'!Q822),".",IF(LEN(MONTH('Raw Data'!Q822))=2,MONTH('Raw Data'!Q822),CONCATENATE(MONTH('Raw Data'!Q822)))),CONCATENATE(MONTH('Raw Data'!Q822),".",RIGHT(YEAR('Raw Data'!Q822),2))),'Raw Data'!Q822))</f>
        <v>6.7</v>
      </c>
    </row>
    <row r="823" spans="1:17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f>VALUE(IF(AND(ISERR(FIND(".",'Raw Data'!G823)),LEN('Raw Data'!G823)=5), IF(YEAR('Raw Data'!G823)=2026,CONCATENATE(DAY('Raw Data'!G823),".",IF(LEN(MONTH('Raw Data'!G823))=2,MONTH('Raw Data'!G823),CONCATENATE("0",MONTH('Raw Data'!G823)))),CONCATENATE(MONTH('Raw Data'!G823),".",RIGHT(YEAR('Raw Data'!G823),2))),'Raw Data'!G823))</f>
        <v>47.68</v>
      </c>
      <c r="H823">
        <f>'Raw Data'!H823</f>
        <v>2</v>
      </c>
      <c r="I823" s="6">
        <f t="shared" si="36"/>
        <v>4.7680000000000007</v>
      </c>
      <c r="J823" s="6">
        <f>'Raw Data'!J823</f>
        <v>100.128</v>
      </c>
      <c r="K823" s="1">
        <f>VALUE(IFERROR(VALUE('Raw Data'!K823),CONCATENATE(MID('Raw Data'!K823,3,2),".","0",LEFT('Raw Data'!K823,1),".", RIGHT('Raw Data'!K823,4))))</f>
        <v>43520</v>
      </c>
      <c r="L823" s="2">
        <f>'Raw Data'!L823</f>
        <v>0.4236111111111111</v>
      </c>
      <c r="M823" t="s">
        <v>33</v>
      </c>
      <c r="N823">
        <f>VALUE(IF(AND(ISERR(FIND(".",'Raw Data'!N823)),LEN('Raw Data'!N823)=5), IF(YEAR('Raw Data'!N823)=2026,CONCATENATE(DAY('Raw Data'!N823),".",IF(LEN(MONTH('Raw Data'!N823))=2,MONTH('Raw Data'!N823),CONCATENATE("0",MONTH('Raw Data'!N823)))),CONCATENATE(MONTH('Raw Data'!N823),".",RIGHT(YEAR('Raw Data'!N823),2))),'Raw Data'!N823))</f>
        <v>95.36</v>
      </c>
      <c r="O823" s="6">
        <f t="shared" si="37"/>
        <v>4.7619047619047628</v>
      </c>
      <c r="P823" s="6">
        <f t="shared" si="38"/>
        <v>4.7680000000000007</v>
      </c>
      <c r="Q823">
        <f>VALUE(IF(AND(ISERR(FIND(".",'Raw Data'!Q823)),LEN('Raw Data'!Q823)=5), IF(YEAR('Raw Data'!Q823)=2026,CONCATENATE(DAY('Raw Data'!Q823),".",IF(LEN(MONTH('Raw Data'!Q823))=2,MONTH('Raw Data'!Q823),CONCATENATE(MONTH('Raw Data'!Q823)))),CONCATENATE(MONTH('Raw Data'!Q823),".",RIGHT(YEAR('Raw Data'!Q823),2))),'Raw Data'!Q823))</f>
        <v>4.0999999999999996</v>
      </c>
    </row>
    <row r="824" spans="1:17">
      <c r="A824" t="s">
        <v>911</v>
      </c>
      <c r="B824" t="s">
        <v>25</v>
      </c>
      <c r="C824" t="s">
        <v>26</v>
      </c>
      <c r="D824" t="s">
        <v>20</v>
      </c>
      <c r="E824" t="s">
        <v>30</v>
      </c>
      <c r="F824" t="s">
        <v>38</v>
      </c>
      <c r="G824">
        <f>VALUE(IF(AND(ISERR(FIND(".",'Raw Data'!G824)),LEN('Raw Data'!G824)=5), IF(YEAR('Raw Data'!G824)=2026,CONCATENATE(DAY('Raw Data'!G824),".",IF(LEN(MONTH('Raw Data'!G824))=2,MONTH('Raw Data'!G824),CONCATENATE("0",MONTH('Raw Data'!G824)))),CONCATENATE(MONTH('Raw Data'!G824),".",RIGHT(YEAR('Raw Data'!G824),2))),'Raw Data'!G824))</f>
        <v>10.17</v>
      </c>
      <c r="H824">
        <f>'Raw Data'!H824</f>
        <v>1</v>
      </c>
      <c r="I824" s="6">
        <f t="shared" si="36"/>
        <v>31310.83</v>
      </c>
      <c r="J824" s="6">
        <f>'Raw Data'!J824</f>
        <v>31321</v>
      </c>
      <c r="K824" s="1">
        <f>VALUE(IFERROR(VALUE('Raw Data'!K824),CONCATENATE(MID('Raw Data'!K824,3,2),".","0",LEFT('Raw Data'!K824,1),".", RIGHT('Raw Data'!K824,4))))</f>
        <v>43648</v>
      </c>
      <c r="L824" s="2">
        <f>'Raw Data'!L824</f>
        <v>0.59375</v>
      </c>
      <c r="M824" t="s">
        <v>29</v>
      </c>
      <c r="N824">
        <f>VALUE(IF(AND(ISERR(FIND(".",'Raw Data'!N824)),LEN('Raw Data'!N824)=5), IF(YEAR('Raw Data'!N824)=2026,CONCATENATE(DAY('Raw Data'!N824),".",IF(LEN(MONTH('Raw Data'!N824))=2,MONTH('Raw Data'!N824),CONCATENATE("0",MONTH('Raw Data'!N824)))),CONCATENATE(MONTH('Raw Data'!N824),".",RIGHT(YEAR('Raw Data'!N824),2))),'Raw Data'!N824))</f>
        <v>10.17</v>
      </c>
      <c r="O824" s="6">
        <f t="shared" si="37"/>
        <v>99.96752977235721</v>
      </c>
      <c r="P824" s="6">
        <f t="shared" si="38"/>
        <v>31310.83</v>
      </c>
      <c r="Q824">
        <f>VALUE(IF(AND(ISERR(FIND(".",'Raw Data'!Q824)),LEN('Raw Data'!Q824)=5), IF(YEAR('Raw Data'!Q824)=2026,CONCATENATE(DAY('Raw Data'!Q824),".",IF(LEN(MONTH('Raw Data'!Q824))=2,MONTH('Raw Data'!Q824),CONCATENATE(MONTH('Raw Data'!Q824)))),CONCATENATE(MONTH('Raw Data'!Q824),".",RIGHT(YEAR('Raw Data'!Q824),2))),'Raw Data'!Q824))</f>
        <v>5.9</v>
      </c>
    </row>
    <row r="825" spans="1:17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f>VALUE(IF(AND(ISERR(FIND(".",'Raw Data'!G825)),LEN('Raw Data'!G825)=5), IF(YEAR('Raw Data'!G825)=2026,CONCATENATE(DAY('Raw Data'!G825),".",IF(LEN(MONTH('Raw Data'!G825))=2,MONTH('Raw Data'!G825),CONCATENATE("0",MONTH('Raw Data'!G825)))),CONCATENATE(MONTH('Raw Data'!G825),".",RIGHT(YEAR('Raw Data'!G825),2))),'Raw Data'!G825))</f>
        <v>68.709999999999994</v>
      </c>
      <c r="H825">
        <f>'Raw Data'!H825</f>
        <v>3</v>
      </c>
      <c r="I825" s="6">
        <f t="shared" si="36"/>
        <v>10.3065</v>
      </c>
      <c r="J825" s="6">
        <f>'Raw Data'!J825</f>
        <v>216.4365</v>
      </c>
      <c r="K825" s="1">
        <f>VALUE(IFERROR(VALUE('Raw Data'!K825),CONCATENATE(MID('Raw Data'!K825,3,2),".","0",LEFT('Raw Data'!K825,1),".", RIGHT('Raw Data'!K825,4))))</f>
        <v>43558</v>
      </c>
      <c r="L825" s="2">
        <f>'Raw Data'!L825</f>
        <v>0.4201388888888889</v>
      </c>
      <c r="M825" t="s">
        <v>29</v>
      </c>
      <c r="N825">
        <f>VALUE(IF(AND(ISERR(FIND(".",'Raw Data'!N825)),LEN('Raw Data'!N825)=5), IF(YEAR('Raw Data'!N825)=2026,CONCATENATE(DAY('Raw Data'!N825),".",IF(LEN(MONTH('Raw Data'!N825))=2,MONTH('Raw Data'!N825),CONCATENATE("0",MONTH('Raw Data'!N825)))),CONCATENATE(MONTH('Raw Data'!N825),".",RIGHT(YEAR('Raw Data'!N825),2))),'Raw Data'!N825))</f>
        <v>206.13</v>
      </c>
      <c r="O825" s="6">
        <f t="shared" si="37"/>
        <v>4.7619047619047619</v>
      </c>
      <c r="P825" s="6">
        <f t="shared" si="38"/>
        <v>10.3065</v>
      </c>
      <c r="Q825">
        <f>VALUE(IF(AND(ISERR(FIND(".",'Raw Data'!Q825)),LEN('Raw Data'!Q825)=5), IF(YEAR('Raw Data'!Q825)=2026,CONCATENATE(DAY('Raw Data'!Q825),".",IF(LEN(MONTH('Raw Data'!Q825))=2,MONTH('Raw Data'!Q825),CONCATENATE(MONTH('Raw Data'!Q825)))),CONCATENATE(MONTH('Raw Data'!Q825),".",RIGHT(YEAR('Raw Data'!Q825),2))),'Raw Data'!Q825))</f>
        <v>8.6999999999999993</v>
      </c>
    </row>
    <row r="826" spans="1:17">
      <c r="A826" t="s">
        <v>913</v>
      </c>
      <c r="B826" t="s">
        <v>34</v>
      </c>
      <c r="C826" t="s">
        <v>35</v>
      </c>
      <c r="D826" t="s">
        <v>20</v>
      </c>
      <c r="E826" t="s">
        <v>21</v>
      </c>
      <c r="F826" t="s">
        <v>38</v>
      </c>
      <c r="G826">
        <f>VALUE(IF(AND(ISERR(FIND(".",'Raw Data'!G826)),LEN('Raw Data'!G826)=5), IF(YEAR('Raw Data'!G826)=2026,CONCATENATE(DAY('Raw Data'!G826),".",IF(LEN(MONTH('Raw Data'!G826))=2,MONTH('Raw Data'!G826),CONCATENATE("0",MONTH('Raw Data'!G826)))),CONCATENATE(MONTH('Raw Data'!G826),".",RIGHT(YEAR('Raw Data'!G826),2))),'Raw Data'!G826))</f>
        <v>60.08</v>
      </c>
      <c r="H826">
        <f>'Raw Data'!H826</f>
        <v>7</v>
      </c>
      <c r="I826" s="6">
        <f t="shared" si="36"/>
        <v>21.02800000000002</v>
      </c>
      <c r="J826" s="6">
        <f>'Raw Data'!J826</f>
        <v>441.58800000000002</v>
      </c>
      <c r="K826" s="1">
        <f>VALUE(IFERROR(VALUE('Raw Data'!K826),CONCATENATE(MID('Raw Data'!K826,3,2),".","0",LEFT('Raw Data'!K826,1),".", RIGHT('Raw Data'!K826,4))))</f>
        <v>43510</v>
      </c>
      <c r="L826" s="2">
        <f>'Raw Data'!L826</f>
        <v>0.48333333333333334</v>
      </c>
      <c r="M826" t="s">
        <v>33</v>
      </c>
      <c r="N826">
        <f>VALUE(IF(AND(ISERR(FIND(".",'Raw Data'!N826)),LEN('Raw Data'!N826)=5), IF(YEAR('Raw Data'!N826)=2026,CONCATENATE(DAY('Raw Data'!N826),".",IF(LEN(MONTH('Raw Data'!N826))=2,MONTH('Raw Data'!N826),CONCATENATE("0",MONTH('Raw Data'!N826)))),CONCATENATE(MONTH('Raw Data'!N826),".",RIGHT(YEAR('Raw Data'!N826),2))),'Raw Data'!N826))</f>
        <v>420.56</v>
      </c>
      <c r="O826" s="6">
        <f t="shared" si="37"/>
        <v>4.7619047619047663</v>
      </c>
      <c r="P826" s="6">
        <f t="shared" si="38"/>
        <v>21.02800000000002</v>
      </c>
      <c r="Q826">
        <f>VALUE(IF(AND(ISERR(FIND(".",'Raw Data'!Q826)),LEN('Raw Data'!Q826)=5), IF(YEAR('Raw Data'!Q826)=2026,CONCATENATE(DAY('Raw Data'!Q826),".",IF(LEN(MONTH('Raw Data'!Q826))=2,MONTH('Raw Data'!Q826),CONCATENATE(MONTH('Raw Data'!Q826)))),CONCATENATE(MONTH('Raw Data'!Q826),".",RIGHT(YEAR('Raw Data'!Q826),2))),'Raw Data'!Q826))</f>
        <v>4.5</v>
      </c>
    </row>
    <row r="827" spans="1:17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38</v>
      </c>
      <c r="G827">
        <f>VALUE(IF(AND(ISERR(FIND(".",'Raw Data'!G827)),LEN('Raw Data'!G827)=5), IF(YEAR('Raw Data'!G827)=2026,CONCATENATE(DAY('Raw Data'!G827),".",IF(LEN(MONTH('Raw Data'!G827))=2,MONTH('Raw Data'!G827),CONCATENATE("0",MONTH('Raw Data'!G827)))),CONCATENATE(MONTH('Raw Data'!G827),".",RIGHT(YEAR('Raw Data'!G827),2))),'Raw Data'!G827))</f>
        <v>22.01</v>
      </c>
      <c r="H827">
        <f>'Raw Data'!H827</f>
        <v>4</v>
      </c>
      <c r="I827" s="6">
        <f t="shared" si="36"/>
        <v>4.4019999999999868</v>
      </c>
      <c r="J827" s="6">
        <f>'Raw Data'!J827</f>
        <v>92.441999999999993</v>
      </c>
      <c r="K827" s="1">
        <f>VALUE(IFERROR(VALUE('Raw Data'!K827),CONCATENATE(MID('Raw Data'!K827,3,2),".","0",LEFT('Raw Data'!K827,1),".", RIGHT('Raw Data'!K827,4))))</f>
        <v>43494</v>
      </c>
      <c r="L827" s="2">
        <f>'Raw Data'!L827</f>
        <v>0.76041666666666663</v>
      </c>
      <c r="M827" t="s">
        <v>33</v>
      </c>
      <c r="N827">
        <f>VALUE(IF(AND(ISERR(FIND(".",'Raw Data'!N827)),LEN('Raw Data'!N827)=5), IF(YEAR('Raw Data'!N827)=2026,CONCATENATE(DAY('Raw Data'!N827),".",IF(LEN(MONTH('Raw Data'!N827))=2,MONTH('Raw Data'!N827),CONCATENATE("0",MONTH('Raw Data'!N827)))),CONCATENATE(MONTH('Raw Data'!N827),".",RIGHT(YEAR('Raw Data'!N827),2))),'Raw Data'!N827))</f>
        <v>88.04</v>
      </c>
      <c r="O827" s="6">
        <f t="shared" si="37"/>
        <v>4.7619047619047477</v>
      </c>
      <c r="P827" s="6">
        <f t="shared" si="38"/>
        <v>4.4019999999999868</v>
      </c>
      <c r="Q827">
        <f>VALUE(IF(AND(ISERR(FIND(".",'Raw Data'!Q827)),LEN('Raw Data'!Q827)=5), IF(YEAR('Raw Data'!Q827)=2026,CONCATENATE(DAY('Raw Data'!Q827),".",IF(LEN(MONTH('Raw Data'!Q827))=2,MONTH('Raw Data'!Q827),CONCATENATE(MONTH('Raw Data'!Q827)))),CONCATENATE(MONTH('Raw Data'!Q827),".",RIGHT(YEAR('Raw Data'!Q827),2))),'Raw Data'!Q827))</f>
        <v>6.6</v>
      </c>
    </row>
    <row r="828" spans="1:17">
      <c r="A828" t="s">
        <v>915</v>
      </c>
      <c r="B828" t="s">
        <v>34</v>
      </c>
      <c r="C828" t="s">
        <v>35</v>
      </c>
      <c r="D828" t="s">
        <v>20</v>
      </c>
      <c r="E828" t="s">
        <v>21</v>
      </c>
      <c r="F828" t="s">
        <v>22</v>
      </c>
      <c r="G828">
        <f>VALUE(IF(AND(ISERR(FIND(".",'Raw Data'!G828)),LEN('Raw Data'!G828)=5), IF(YEAR('Raw Data'!G828)=2026,CONCATENATE(DAY('Raw Data'!G828),".",IF(LEN(MONTH('Raw Data'!G828))=2,MONTH('Raw Data'!G828),CONCATENATE("0",MONTH('Raw Data'!G828)))),CONCATENATE(MONTH('Raw Data'!G828),".",RIGHT(YEAR('Raw Data'!G828),2))),'Raw Data'!G828))</f>
        <v>72.11</v>
      </c>
      <c r="H828">
        <f>'Raw Data'!H828</f>
        <v>9</v>
      </c>
      <c r="I828" s="6">
        <f t="shared" si="36"/>
        <v>32.449499999999944</v>
      </c>
      <c r="J828" s="6">
        <f>'Raw Data'!J828</f>
        <v>681.43949999999995</v>
      </c>
      <c r="K828" s="1">
        <f>VALUE(IFERROR(VALUE('Raw Data'!K828),CONCATENATE(MID('Raw Data'!K828,3,2),".","0",LEFT('Raw Data'!K828,1),".", RIGHT('Raw Data'!K828,4))))</f>
        <v>43493</v>
      </c>
      <c r="L828" s="2">
        <f>'Raw Data'!L828</f>
        <v>0.57847222222222217</v>
      </c>
      <c r="M828" t="s">
        <v>33</v>
      </c>
      <c r="N828">
        <f>VALUE(IF(AND(ISERR(FIND(".",'Raw Data'!N828)),LEN('Raw Data'!N828)=5), IF(YEAR('Raw Data'!N828)=2026,CONCATENATE(DAY('Raw Data'!N828),".",IF(LEN(MONTH('Raw Data'!N828))=2,MONTH('Raw Data'!N828),CONCATENATE("0",MONTH('Raw Data'!N828)))),CONCATENATE(MONTH('Raw Data'!N828),".",RIGHT(YEAR('Raw Data'!N828),2))),'Raw Data'!N828))</f>
        <v>648.99</v>
      </c>
      <c r="O828" s="6">
        <f t="shared" si="37"/>
        <v>4.7619047619047539</v>
      </c>
      <c r="P828" s="6">
        <f t="shared" si="38"/>
        <v>32.449499999999944</v>
      </c>
      <c r="Q828">
        <f>VALUE(IF(AND(ISERR(FIND(".",'Raw Data'!Q828)),LEN('Raw Data'!Q828)=5), IF(YEAR('Raw Data'!Q828)=2026,CONCATENATE(DAY('Raw Data'!Q828),".",IF(LEN(MONTH('Raw Data'!Q828))=2,MONTH('Raw Data'!Q828),CONCATENATE(MONTH('Raw Data'!Q828)))),CONCATENATE(MONTH('Raw Data'!Q828),".",RIGHT(YEAR('Raw Data'!Q828),2))),'Raw Data'!Q828))</f>
        <v>7.7</v>
      </c>
    </row>
    <row r="829" spans="1:17">
      <c r="A829" t="s">
        <v>916</v>
      </c>
      <c r="B829" t="s">
        <v>18</v>
      </c>
      <c r="C829" t="s">
        <v>19</v>
      </c>
      <c r="D829" t="s">
        <v>20</v>
      </c>
      <c r="E829" t="s">
        <v>30</v>
      </c>
      <c r="F829" t="s">
        <v>43</v>
      </c>
      <c r="G829">
        <f>VALUE(IF(AND(ISERR(FIND(".",'Raw Data'!G829)),LEN('Raw Data'!G829)=5), IF(YEAR('Raw Data'!G829)=2026,CONCATENATE(DAY('Raw Data'!G829),".",IF(LEN(MONTH('Raw Data'!G829))=2,MONTH('Raw Data'!G829),CONCATENATE("0",MONTH('Raw Data'!G829)))),CONCATENATE(MONTH('Raw Data'!G829),".",RIGHT(YEAR('Raw Data'!G829),2))),'Raw Data'!G829))</f>
        <v>41.28</v>
      </c>
      <c r="H829">
        <f>'Raw Data'!H829</f>
        <v>3</v>
      </c>
      <c r="I829" s="6">
        <f t="shared" si="36"/>
        <v>6.1920000000000073</v>
      </c>
      <c r="J829" s="6">
        <f>'Raw Data'!J829</f>
        <v>130.03200000000001</v>
      </c>
      <c r="K829" s="1">
        <f>VALUE(IFERROR(VALUE('Raw Data'!K829),CONCATENATE(MID('Raw Data'!K829,3,2),".","0",LEFT('Raw Data'!K829,1),".", RIGHT('Raw Data'!K829,4))))</f>
        <v>43550</v>
      </c>
      <c r="L829" s="2">
        <f>'Raw Data'!L829</f>
        <v>0.77569444444444446</v>
      </c>
      <c r="M829" t="s">
        <v>33</v>
      </c>
      <c r="N829">
        <f>VALUE(IF(AND(ISERR(FIND(".",'Raw Data'!N829)),LEN('Raw Data'!N829)=5), IF(YEAR('Raw Data'!N829)=2026,CONCATENATE(DAY('Raw Data'!N829),".",IF(LEN(MONTH('Raw Data'!N829))=2,MONTH('Raw Data'!N829),CONCATENATE("0",MONTH('Raw Data'!N829)))),CONCATENATE(MONTH('Raw Data'!N829),".",RIGHT(YEAR('Raw Data'!N829),2))),'Raw Data'!N829))</f>
        <v>123.84</v>
      </c>
      <c r="O829" s="6">
        <f t="shared" si="37"/>
        <v>4.7619047619047672</v>
      </c>
      <c r="P829" s="6">
        <f t="shared" si="38"/>
        <v>6.1920000000000073</v>
      </c>
      <c r="Q829">
        <f>VALUE(IF(AND(ISERR(FIND(".",'Raw Data'!Q829)),LEN('Raw Data'!Q829)=5), IF(YEAR('Raw Data'!Q829)=2026,CONCATENATE(DAY('Raw Data'!Q829),".",IF(LEN(MONTH('Raw Data'!Q829))=2,MONTH('Raw Data'!Q829),CONCATENATE(MONTH('Raw Data'!Q829)))),CONCATENATE(MONTH('Raw Data'!Q829),".",RIGHT(YEAR('Raw Data'!Q829),2))),'Raw Data'!Q829))</f>
        <v>8.5</v>
      </c>
    </row>
    <row r="830" spans="1:17">
      <c r="A830" t="s">
        <v>917</v>
      </c>
      <c r="B830" t="s">
        <v>25</v>
      </c>
      <c r="C830" t="s">
        <v>26</v>
      </c>
      <c r="D830" t="s">
        <v>27</v>
      </c>
      <c r="E830" t="s">
        <v>30</v>
      </c>
      <c r="F830" t="s">
        <v>28</v>
      </c>
      <c r="G830">
        <f>VALUE(IF(AND(ISERR(FIND(".",'Raw Data'!G830)),LEN('Raw Data'!G830)=5), IF(YEAR('Raw Data'!G830)=2026,CONCATENATE(DAY('Raw Data'!G830),".",IF(LEN(MONTH('Raw Data'!G830))=2,MONTH('Raw Data'!G830),CONCATENATE("0",MONTH('Raw Data'!G830)))),CONCATENATE(MONTH('Raw Data'!G830),".",RIGHT(YEAR('Raw Data'!G830),2))),'Raw Data'!G830))</f>
        <v>64.95</v>
      </c>
      <c r="H830">
        <f>'Raw Data'!H830</f>
        <v>10</v>
      </c>
      <c r="I830" s="6">
        <f t="shared" si="36"/>
        <v>32.475000000000023</v>
      </c>
      <c r="J830" s="6">
        <f>'Raw Data'!J830</f>
        <v>681.97500000000002</v>
      </c>
      <c r="K830" s="1">
        <f>VALUE(IFERROR(VALUE('Raw Data'!K830),CONCATENATE(MID('Raw Data'!K830,3,2),".","0",LEFT('Raw Data'!K830,1),".", RIGHT('Raw Data'!K830,4))))</f>
        <v>43548</v>
      </c>
      <c r="L830" s="2">
        <f>'Raw Data'!L830</f>
        <v>0.76874999999999993</v>
      </c>
      <c r="M830" t="s">
        <v>29</v>
      </c>
      <c r="N830">
        <f>VALUE(IF(AND(ISERR(FIND(".",'Raw Data'!N830)),LEN('Raw Data'!N830)=5), IF(YEAR('Raw Data'!N830)=2026,CONCATENATE(DAY('Raw Data'!N830),".",IF(LEN(MONTH('Raw Data'!N830))=2,MONTH('Raw Data'!N830),CONCATENATE("0",MONTH('Raw Data'!N830)))),CONCATENATE(MONTH('Raw Data'!N830),".",RIGHT(YEAR('Raw Data'!N830),2))),'Raw Data'!N830))</f>
        <v>649.5</v>
      </c>
      <c r="O830" s="6">
        <f t="shared" si="37"/>
        <v>4.7619047619047654</v>
      </c>
      <c r="P830" s="6">
        <f t="shared" si="38"/>
        <v>32.475000000000023</v>
      </c>
      <c r="Q830">
        <f>VALUE(IF(AND(ISERR(FIND(".",'Raw Data'!Q830)),LEN('Raw Data'!Q830)=5), IF(YEAR('Raw Data'!Q830)=2026,CONCATENATE(DAY('Raw Data'!Q830),".",IF(LEN(MONTH('Raw Data'!Q830))=2,MONTH('Raw Data'!Q830),CONCATENATE(MONTH('Raw Data'!Q830)))),CONCATENATE(MONTH('Raw Data'!Q830),".",RIGHT(YEAR('Raw Data'!Q830),2))),'Raw Data'!Q830))</f>
        <v>5.2</v>
      </c>
    </row>
    <row r="831" spans="1:17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f>VALUE(IF(AND(ISERR(FIND(".",'Raw Data'!G831)),LEN('Raw Data'!G831)=5), IF(YEAR('Raw Data'!G831)=2026,CONCATENATE(DAY('Raw Data'!G831),".",IF(LEN(MONTH('Raw Data'!G831))=2,MONTH('Raw Data'!G831),CONCATENATE("0",MONTH('Raw Data'!G831)))),CONCATENATE(MONTH('Raw Data'!G831),".",RIGHT(YEAR('Raw Data'!G831),2))),'Raw Data'!G831))</f>
        <v>74.22</v>
      </c>
      <c r="H831">
        <f>'Raw Data'!H831</f>
        <v>10</v>
      </c>
      <c r="I831" s="6">
        <f t="shared" si="36"/>
        <v>37.1099999999999</v>
      </c>
      <c r="J831" s="6">
        <f>'Raw Data'!J831</f>
        <v>779.31</v>
      </c>
      <c r="K831" s="1">
        <f>VALUE(IFERROR(VALUE('Raw Data'!K831),CONCATENATE(MID('Raw Data'!K831,3,2),".","0",LEFT('Raw Data'!K831,1),".", RIGHT('Raw Data'!K831,4))))</f>
        <v>43466</v>
      </c>
      <c r="L831" s="2">
        <f>'Raw Data'!L831</f>
        <v>0.61249999999999993</v>
      </c>
      <c r="M831" t="s">
        <v>33</v>
      </c>
      <c r="N831">
        <f>VALUE(IF(AND(ISERR(FIND(".",'Raw Data'!N831)),LEN('Raw Data'!N831)=5), IF(YEAR('Raw Data'!N831)=2026,CONCATENATE(DAY('Raw Data'!N831),".",IF(LEN(MONTH('Raw Data'!N831))=2,MONTH('Raw Data'!N831),CONCATENATE("0",MONTH('Raw Data'!N831)))),CONCATENATE(MONTH('Raw Data'!N831),".",RIGHT(YEAR('Raw Data'!N831),2))),'Raw Data'!N831))</f>
        <v>742.2</v>
      </c>
      <c r="O831" s="6">
        <f t="shared" si="37"/>
        <v>4.7619047619047494</v>
      </c>
      <c r="P831" s="6">
        <f t="shared" si="38"/>
        <v>37.1099999999999</v>
      </c>
      <c r="Q831">
        <f>VALUE(IF(AND(ISERR(FIND(".",'Raw Data'!Q831)),LEN('Raw Data'!Q831)=5), IF(YEAR('Raw Data'!Q831)=2026,CONCATENATE(DAY('Raw Data'!Q831),".",IF(LEN(MONTH('Raw Data'!Q831))=2,MONTH('Raw Data'!Q831),CONCATENATE(MONTH('Raw Data'!Q831)))),CONCATENATE(MONTH('Raw Data'!Q831),".",RIGHT(YEAR('Raw Data'!Q831),2))),'Raw Data'!Q831))</f>
        <v>4.3</v>
      </c>
    </row>
    <row r="832" spans="1:17">
      <c r="A832" t="s">
        <v>919</v>
      </c>
      <c r="B832" t="s">
        <v>18</v>
      </c>
      <c r="C832" t="s">
        <v>19</v>
      </c>
      <c r="D832" t="s">
        <v>27</v>
      </c>
      <c r="E832" t="s">
        <v>30</v>
      </c>
      <c r="F832" t="s">
        <v>28</v>
      </c>
      <c r="G832">
        <f>VALUE(IF(AND(ISERR(FIND(".",'Raw Data'!G832)),LEN('Raw Data'!G832)=5), IF(YEAR('Raw Data'!G832)=2026,CONCATENATE(DAY('Raw Data'!G832),".",IF(LEN(MONTH('Raw Data'!G832))=2,MONTH('Raw Data'!G832),CONCATENATE("0",MONTH('Raw Data'!G832)))),CONCATENATE(MONTH('Raw Data'!G832),".",RIGHT(YEAR('Raw Data'!G832),2))),'Raw Data'!G832))</f>
        <v>10.56</v>
      </c>
      <c r="H832">
        <f>'Raw Data'!H832</f>
        <v>8</v>
      </c>
      <c r="I832" s="6">
        <f t="shared" si="36"/>
        <v>4.2239999999999895</v>
      </c>
      <c r="J832" s="6">
        <f>'Raw Data'!J832</f>
        <v>88.703999999999994</v>
      </c>
      <c r="K832" s="1">
        <f>VALUE(IFERROR(VALUE('Raw Data'!K832),CONCATENATE(MID('Raw Data'!K832,3,2),".","0",LEFT('Raw Data'!K832,1),".", RIGHT('Raw Data'!K832,4))))</f>
        <v>43489</v>
      </c>
      <c r="L832" s="2">
        <f>'Raw Data'!L832</f>
        <v>0.73819444444444438</v>
      </c>
      <c r="M832" t="s">
        <v>29</v>
      </c>
      <c r="N832">
        <f>VALUE(IF(AND(ISERR(FIND(".",'Raw Data'!N832)),LEN('Raw Data'!N832)=5), IF(YEAR('Raw Data'!N832)=2026,CONCATENATE(DAY('Raw Data'!N832),".",IF(LEN(MONTH('Raw Data'!N832))=2,MONTH('Raw Data'!N832),CONCATENATE("0",MONTH('Raw Data'!N832)))),CONCATENATE(MONTH('Raw Data'!N832),".",RIGHT(YEAR('Raw Data'!N832),2))),'Raw Data'!N832))</f>
        <v>84.48</v>
      </c>
      <c r="O832" s="6">
        <f t="shared" si="37"/>
        <v>4.7619047619047503</v>
      </c>
      <c r="P832" s="6">
        <f t="shared" si="38"/>
        <v>4.2239999999999895</v>
      </c>
      <c r="Q832">
        <f>VALUE(IF(AND(ISERR(FIND(".",'Raw Data'!Q832)),LEN('Raw Data'!Q832)=5), IF(YEAR('Raw Data'!Q832)=2026,CONCATENATE(DAY('Raw Data'!Q832),".",IF(LEN(MONTH('Raw Data'!Q832))=2,MONTH('Raw Data'!Q832),CONCATENATE(MONTH('Raw Data'!Q832)))),CONCATENATE(MONTH('Raw Data'!Q832),".",RIGHT(YEAR('Raw Data'!Q832),2))),'Raw Data'!Q832))</f>
        <v>7.6</v>
      </c>
    </row>
    <row r="833" spans="1:17">
      <c r="A833" t="s">
        <v>920</v>
      </c>
      <c r="B833" t="s">
        <v>34</v>
      </c>
      <c r="C833" t="s">
        <v>35</v>
      </c>
      <c r="D833" t="s">
        <v>27</v>
      </c>
      <c r="E833" t="s">
        <v>30</v>
      </c>
      <c r="F833" t="s">
        <v>22</v>
      </c>
      <c r="G833">
        <f>VALUE(IF(AND(ISERR(FIND(".",'Raw Data'!G833)),LEN('Raw Data'!G833)=5), IF(YEAR('Raw Data'!G833)=2026,CONCATENATE(DAY('Raw Data'!G833),".",IF(LEN(MONTH('Raw Data'!G833))=2,MONTH('Raw Data'!G833),CONCATENATE("0",MONTH('Raw Data'!G833)))),CONCATENATE(MONTH('Raw Data'!G833),".",RIGHT(YEAR('Raw Data'!G833),2))),'Raw Data'!G833))</f>
        <v>62.57</v>
      </c>
      <c r="H833">
        <f>'Raw Data'!H833</f>
        <v>4</v>
      </c>
      <c r="I833" s="6">
        <f t="shared" si="36"/>
        <v>12.513999999999982</v>
      </c>
      <c r="J833" s="6">
        <f>'Raw Data'!J833</f>
        <v>262.79399999999998</v>
      </c>
      <c r="K833" s="1">
        <f>VALUE(IFERROR(VALUE('Raw Data'!K833),CONCATENATE(MID('Raw Data'!K833,3,2),".","0",LEFT('Raw Data'!K833,1),".", RIGHT('Raw Data'!K833,4))))</f>
        <v>43521</v>
      </c>
      <c r="L833" s="2">
        <f>'Raw Data'!L833</f>
        <v>0.77569444444444446</v>
      </c>
      <c r="M833" t="s">
        <v>29</v>
      </c>
      <c r="N833">
        <f>VALUE(IF(AND(ISERR(FIND(".",'Raw Data'!N833)),LEN('Raw Data'!N833)=5), IF(YEAR('Raw Data'!N833)=2026,CONCATENATE(DAY('Raw Data'!N833),".",IF(LEN(MONTH('Raw Data'!N833))=2,MONTH('Raw Data'!N833),CONCATENATE("0",MONTH('Raw Data'!N833)))),CONCATENATE(MONTH('Raw Data'!N833),".",RIGHT(YEAR('Raw Data'!N833),2))),'Raw Data'!N833))</f>
        <v>250.28</v>
      </c>
      <c r="O833" s="6">
        <f t="shared" si="37"/>
        <v>4.7619047619047556</v>
      </c>
      <c r="P833" s="6">
        <f t="shared" si="38"/>
        <v>12.513999999999982</v>
      </c>
      <c r="Q833">
        <f>VALUE(IF(AND(ISERR(FIND(".",'Raw Data'!Q833)),LEN('Raw Data'!Q833)=5), IF(YEAR('Raw Data'!Q833)=2026,CONCATENATE(DAY('Raw Data'!Q833),".",IF(LEN(MONTH('Raw Data'!Q833))=2,MONTH('Raw Data'!Q833),CONCATENATE(MONTH('Raw Data'!Q833)))),CONCATENATE(MONTH('Raw Data'!Q833),".",RIGHT(YEAR('Raw Data'!Q833),2))),'Raw Data'!Q833))</f>
        <v>9.5</v>
      </c>
    </row>
    <row r="834" spans="1:17">
      <c r="A834" t="s">
        <v>921</v>
      </c>
      <c r="B834" t="s">
        <v>34</v>
      </c>
      <c r="C834" t="s">
        <v>35</v>
      </c>
      <c r="D834" t="s">
        <v>20</v>
      </c>
      <c r="E834" t="s">
        <v>21</v>
      </c>
      <c r="F834" t="s">
        <v>38</v>
      </c>
      <c r="G834">
        <f>VALUE(IF(AND(ISERR(FIND(".",'Raw Data'!G834)),LEN('Raw Data'!G834)=5), IF(YEAR('Raw Data'!G834)=2026,CONCATENATE(DAY('Raw Data'!G834),".",IF(LEN(MONTH('Raw Data'!G834))=2,MONTH('Raw Data'!G834),CONCATENATE("0",MONTH('Raw Data'!G834)))),CONCATENATE(MONTH('Raw Data'!G834),".",RIGHT(YEAR('Raw Data'!G834),2))),'Raw Data'!G834))</f>
        <v>11.85</v>
      </c>
      <c r="H834">
        <f>'Raw Data'!H834</f>
        <v>8</v>
      </c>
      <c r="I834" s="6">
        <f t="shared" si="36"/>
        <v>4.7400000000000091</v>
      </c>
      <c r="J834" s="6">
        <f>'Raw Data'!J834</f>
        <v>99.54</v>
      </c>
      <c r="K834" s="1">
        <f>VALUE(IFERROR(VALUE('Raw Data'!K834),CONCATENATE(MID('Raw Data'!K834,3,2),".","0",LEFT('Raw Data'!K834,1),".", RIGHT('Raw Data'!K834,4))))</f>
        <v>43709</v>
      </c>
      <c r="L834" s="2">
        <f>'Raw Data'!L834</f>
        <v>0.69027777777777777</v>
      </c>
      <c r="M834" t="s">
        <v>29</v>
      </c>
      <c r="N834">
        <f>VALUE(IF(AND(ISERR(FIND(".",'Raw Data'!N834)),LEN('Raw Data'!N834)=5), IF(YEAR('Raw Data'!N834)=2026,CONCATENATE(DAY('Raw Data'!N834),".",IF(LEN(MONTH('Raw Data'!N834))=2,MONTH('Raw Data'!N834),CONCATENATE("0",MONTH('Raw Data'!N834)))),CONCATENATE(MONTH('Raw Data'!N834),".",RIGHT(YEAR('Raw Data'!N834),2))),'Raw Data'!N834))</f>
        <v>94.8</v>
      </c>
      <c r="O834" s="6">
        <f t="shared" si="37"/>
        <v>4.7619047619047707</v>
      </c>
      <c r="P834" s="6">
        <f t="shared" si="38"/>
        <v>4.7400000000000091</v>
      </c>
      <c r="Q834">
        <f>VALUE(IF(AND(ISERR(FIND(".",'Raw Data'!Q834)),LEN('Raw Data'!Q834)=5), IF(YEAR('Raw Data'!Q834)=2026,CONCATENATE(DAY('Raw Data'!Q834),".",IF(LEN(MONTH('Raw Data'!Q834))=2,MONTH('Raw Data'!Q834),CONCATENATE(MONTH('Raw Data'!Q834)))),CONCATENATE(MONTH('Raw Data'!Q834),".",RIGHT(YEAR('Raw Data'!Q834),2))),'Raw Data'!Q834))</f>
        <v>4.0999999999999996</v>
      </c>
    </row>
    <row r="835" spans="1:17">
      <c r="A835" t="s">
        <v>922</v>
      </c>
      <c r="B835" t="s">
        <v>18</v>
      </c>
      <c r="C835" t="s">
        <v>19</v>
      </c>
      <c r="D835" t="s">
        <v>20</v>
      </c>
      <c r="E835" t="s">
        <v>30</v>
      </c>
      <c r="F835" t="s">
        <v>22</v>
      </c>
      <c r="G835">
        <f>VALUE(IF(AND(ISERR(FIND(".",'Raw Data'!G835)),LEN('Raw Data'!G835)=5), IF(YEAR('Raw Data'!G835)=2026,CONCATENATE(DAY('Raw Data'!G835),".",IF(LEN(MONTH('Raw Data'!G835))=2,MONTH('Raw Data'!G835),CONCATENATE("0",MONTH('Raw Data'!G835)))),CONCATENATE(MONTH('Raw Data'!G835),".",RIGHT(YEAR('Raw Data'!G835),2))),'Raw Data'!G835))</f>
        <v>91.3</v>
      </c>
      <c r="H835">
        <f>'Raw Data'!H835</f>
        <v>1</v>
      </c>
      <c r="I835" s="6">
        <f t="shared" ref="I835:I898" si="39">J835-G835*H835</f>
        <v>4.5649999999999977</v>
      </c>
      <c r="J835" s="6">
        <f>'Raw Data'!J835</f>
        <v>95.864999999999995</v>
      </c>
      <c r="K835" s="1">
        <f>VALUE(IFERROR(VALUE('Raw Data'!K835),CONCATENATE(MID('Raw Data'!K835,3,2),".","0",LEFT('Raw Data'!K835,1),".", RIGHT('Raw Data'!K835,4))))</f>
        <v>43510</v>
      </c>
      <c r="L835" s="2">
        <f>'Raw Data'!L835</f>
        <v>0.61249999999999993</v>
      </c>
      <c r="M835" t="s">
        <v>23</v>
      </c>
      <c r="N835">
        <f>VALUE(IF(AND(ISERR(FIND(".",'Raw Data'!N835)),LEN('Raw Data'!N835)=5), IF(YEAR('Raw Data'!N835)=2026,CONCATENATE(DAY('Raw Data'!N835),".",IF(LEN(MONTH('Raw Data'!N835))=2,MONTH('Raw Data'!N835),CONCATENATE("0",MONTH('Raw Data'!N835)))),CONCATENATE(MONTH('Raw Data'!N835),".",RIGHT(YEAR('Raw Data'!N835),2))),'Raw Data'!N835))</f>
        <v>91.3</v>
      </c>
      <c r="O835" s="6">
        <f t="shared" ref="O835:O898" si="40">P835/J835*100</f>
        <v>4.7619047619047592</v>
      </c>
      <c r="P835" s="6">
        <f t="shared" ref="P835:P898" si="41">J835-N835</f>
        <v>4.5649999999999977</v>
      </c>
      <c r="Q835">
        <f>VALUE(IF(AND(ISERR(FIND(".",'Raw Data'!Q835)),LEN('Raw Data'!Q835)=5), IF(YEAR('Raw Data'!Q835)=2026,CONCATENATE(DAY('Raw Data'!Q835),".",IF(LEN(MONTH('Raw Data'!Q835))=2,MONTH('Raw Data'!Q835),CONCATENATE(MONTH('Raw Data'!Q835)))),CONCATENATE(MONTH('Raw Data'!Q835),".",RIGHT(YEAR('Raw Data'!Q835),2))),'Raw Data'!Q835))</f>
        <v>9.1999999999999993</v>
      </c>
    </row>
    <row r="836" spans="1:17">
      <c r="A836" t="s">
        <v>923</v>
      </c>
      <c r="B836" t="s">
        <v>34</v>
      </c>
      <c r="C836" t="s">
        <v>35</v>
      </c>
      <c r="D836" t="s">
        <v>20</v>
      </c>
      <c r="E836" t="s">
        <v>21</v>
      </c>
      <c r="F836" t="s">
        <v>32</v>
      </c>
      <c r="G836">
        <f>VALUE(IF(AND(ISERR(FIND(".",'Raw Data'!G836)),LEN('Raw Data'!G836)=5), IF(YEAR('Raw Data'!G836)=2026,CONCATENATE(DAY('Raw Data'!G836),".",IF(LEN(MONTH('Raw Data'!G836))=2,MONTH('Raw Data'!G836),CONCATENATE("0",MONTH('Raw Data'!G836)))),CONCATENATE(MONTH('Raw Data'!G836),".",RIGHT(YEAR('Raw Data'!G836),2))),'Raw Data'!G836))</f>
        <v>40.729999999999997</v>
      </c>
      <c r="H836">
        <f>'Raw Data'!H836</f>
        <v>7</v>
      </c>
      <c r="I836" s="6">
        <f t="shared" si="39"/>
        <v>14.25550000000004</v>
      </c>
      <c r="J836" s="6">
        <f>'Raw Data'!J836</f>
        <v>299.3655</v>
      </c>
      <c r="K836" s="1">
        <f>VALUE(IFERROR(VALUE('Raw Data'!K836),CONCATENATE(MID('Raw Data'!K836,3,2),".","0",LEFT('Raw Data'!K836,1),".", RIGHT('Raw Data'!K836,4))))</f>
        <v>43802</v>
      </c>
      <c r="L836" s="2">
        <f>'Raw Data'!L836</f>
        <v>0.45902777777777781</v>
      </c>
      <c r="M836" t="s">
        <v>23</v>
      </c>
      <c r="N836">
        <f>VALUE(IF(AND(ISERR(FIND(".",'Raw Data'!N836)),LEN('Raw Data'!N836)=5), IF(YEAR('Raw Data'!N836)=2026,CONCATENATE(DAY('Raw Data'!N836),".",IF(LEN(MONTH('Raw Data'!N836))=2,MONTH('Raw Data'!N836),CONCATENATE("0",MONTH('Raw Data'!N836)))),CONCATENATE(MONTH('Raw Data'!N836),".",RIGHT(YEAR('Raw Data'!N836),2))),'Raw Data'!N836))</f>
        <v>285.11</v>
      </c>
      <c r="O836" s="6">
        <f t="shared" si="40"/>
        <v>4.7619047619047565</v>
      </c>
      <c r="P836" s="6">
        <f t="shared" si="41"/>
        <v>14.255499999999984</v>
      </c>
      <c r="Q836">
        <f>VALUE(IF(AND(ISERR(FIND(".",'Raw Data'!Q836)),LEN('Raw Data'!Q836)=5), IF(YEAR('Raw Data'!Q836)=2026,CONCATENATE(DAY('Raw Data'!Q836),".",IF(LEN(MONTH('Raw Data'!Q836))=2,MONTH('Raw Data'!Q836),CONCATENATE(MONTH('Raw Data'!Q836)))),CONCATENATE(MONTH('Raw Data'!Q836),".",RIGHT(YEAR('Raw Data'!Q836),2))),'Raw Data'!Q836))</f>
        <v>5.4</v>
      </c>
    </row>
    <row r="837" spans="1:17">
      <c r="A837" t="s">
        <v>924</v>
      </c>
      <c r="B837" t="s">
        <v>18</v>
      </c>
      <c r="C837" t="s">
        <v>19</v>
      </c>
      <c r="D837" t="s">
        <v>27</v>
      </c>
      <c r="E837" t="s">
        <v>30</v>
      </c>
      <c r="F837" t="s">
        <v>43</v>
      </c>
      <c r="G837">
        <f>VALUE(IF(AND(ISERR(FIND(".",'Raw Data'!G837)),LEN('Raw Data'!G837)=5), IF(YEAR('Raw Data'!G837)=2026,CONCATENATE(DAY('Raw Data'!G837),".",IF(LEN(MONTH('Raw Data'!G837))=2,MONTH('Raw Data'!G837),CONCATENATE("0",MONTH('Raw Data'!G837)))),CONCATENATE(MONTH('Raw Data'!G837),".",RIGHT(YEAR('Raw Data'!G837),2))),'Raw Data'!G837))</f>
        <v>52.38</v>
      </c>
      <c r="H837">
        <f>'Raw Data'!H837</f>
        <v>1</v>
      </c>
      <c r="I837" s="6">
        <f t="shared" si="39"/>
        <v>2.6189999999999998</v>
      </c>
      <c r="J837" s="6">
        <f>'Raw Data'!J837</f>
        <v>54.999000000000002</v>
      </c>
      <c r="K837" s="1">
        <f>VALUE(IFERROR(VALUE('Raw Data'!K837),CONCATENATE(MID('Raw Data'!K837,3,2),".","0",LEFT('Raw Data'!K837,1),".", RIGHT('Raw Data'!K837,4))))</f>
        <v>43550</v>
      </c>
      <c r="L837" s="2">
        <f>'Raw Data'!L837</f>
        <v>0.8222222222222223</v>
      </c>
      <c r="M837" t="s">
        <v>29</v>
      </c>
      <c r="N837">
        <f>VALUE(IF(AND(ISERR(FIND(".",'Raw Data'!N837)),LEN('Raw Data'!N837)=5), IF(YEAR('Raw Data'!N837)=2026,CONCATENATE(DAY('Raw Data'!N837),".",IF(LEN(MONTH('Raw Data'!N837))=2,MONTH('Raw Data'!N837),CONCATENATE("0",MONTH('Raw Data'!N837)))),CONCATENATE(MONTH('Raw Data'!N837),".",RIGHT(YEAR('Raw Data'!N837),2))),'Raw Data'!N837))</f>
        <v>52.38</v>
      </c>
      <c r="O837" s="6">
        <f t="shared" si="40"/>
        <v>4.761904761904761</v>
      </c>
      <c r="P837" s="6">
        <f t="shared" si="41"/>
        <v>2.6189999999999998</v>
      </c>
      <c r="Q837">
        <f>VALUE(IF(AND(ISERR(FIND(".",'Raw Data'!Q837)),LEN('Raw Data'!Q837)=5), IF(YEAR('Raw Data'!Q837)=2026,CONCATENATE(DAY('Raw Data'!Q837),".",IF(LEN(MONTH('Raw Data'!Q837))=2,MONTH('Raw Data'!Q837),CONCATENATE(MONTH('Raw Data'!Q837)))),CONCATENATE(MONTH('Raw Data'!Q837),".",RIGHT(YEAR('Raw Data'!Q837),2))),'Raw Data'!Q837))</f>
        <v>5.8</v>
      </c>
    </row>
    <row r="838" spans="1:17">
      <c r="A838" t="s">
        <v>925</v>
      </c>
      <c r="B838" t="s">
        <v>18</v>
      </c>
      <c r="C838" t="s">
        <v>19</v>
      </c>
      <c r="D838" t="s">
        <v>20</v>
      </c>
      <c r="E838" t="s">
        <v>30</v>
      </c>
      <c r="F838" t="s">
        <v>43</v>
      </c>
      <c r="G838">
        <f>VALUE(IF(AND(ISERR(FIND(".",'Raw Data'!G838)),LEN('Raw Data'!G838)=5), IF(YEAR('Raw Data'!G838)=2026,CONCATENATE(DAY('Raw Data'!G838),".",IF(LEN(MONTH('Raw Data'!G838))=2,MONTH('Raw Data'!G838),CONCATENATE("0",MONTH('Raw Data'!G838)))),CONCATENATE(MONTH('Raw Data'!G838),".",RIGHT(YEAR('Raw Data'!G838),2))),'Raw Data'!G838))</f>
        <v>38.54</v>
      </c>
      <c r="H838">
        <f>'Raw Data'!H838</f>
        <v>5</v>
      </c>
      <c r="I838" s="6">
        <f t="shared" si="39"/>
        <v>9.6350000000000193</v>
      </c>
      <c r="J838" s="6">
        <f>'Raw Data'!J838</f>
        <v>202.33500000000001</v>
      </c>
      <c r="K838" s="1">
        <f>VALUE(IFERROR(VALUE('Raw Data'!K838),CONCATENATE(MID('Raw Data'!K838,3,2),".","0",LEFT('Raw Data'!K838,1),".", RIGHT('Raw Data'!K838,4))))</f>
        <v>43709</v>
      </c>
      <c r="L838" s="2">
        <f>'Raw Data'!L838</f>
        <v>0.56527777777777777</v>
      </c>
      <c r="M838" t="s">
        <v>23</v>
      </c>
      <c r="N838">
        <f>VALUE(IF(AND(ISERR(FIND(".",'Raw Data'!N838)),LEN('Raw Data'!N838)=5), IF(YEAR('Raw Data'!N838)=2026,CONCATENATE(DAY('Raw Data'!N838),".",IF(LEN(MONTH('Raw Data'!N838))=2,MONTH('Raw Data'!N838),CONCATENATE("0",MONTH('Raw Data'!N838)))),CONCATENATE(MONTH('Raw Data'!N838),".",RIGHT(YEAR('Raw Data'!N838),2))),'Raw Data'!N838))</f>
        <v>192.7</v>
      </c>
      <c r="O838" s="6">
        <f t="shared" si="40"/>
        <v>4.7619047619047716</v>
      </c>
      <c r="P838" s="6">
        <f t="shared" si="41"/>
        <v>9.6350000000000193</v>
      </c>
      <c r="Q838">
        <f>VALUE(IF(AND(ISERR(FIND(".",'Raw Data'!Q838)),LEN('Raw Data'!Q838)=5), IF(YEAR('Raw Data'!Q838)=2026,CONCATENATE(DAY('Raw Data'!Q838),".",IF(LEN(MONTH('Raw Data'!Q838))=2,MONTH('Raw Data'!Q838),CONCATENATE(MONTH('Raw Data'!Q838)))),CONCATENATE(MONTH('Raw Data'!Q838),".",RIGHT(YEAR('Raw Data'!Q838),2))),'Raw Data'!Q838))</f>
        <v>5.6</v>
      </c>
    </row>
    <row r="839" spans="1:17">
      <c r="A839" t="s">
        <v>926</v>
      </c>
      <c r="B839" t="s">
        <v>34</v>
      </c>
      <c r="C839" t="s">
        <v>35</v>
      </c>
      <c r="D839" t="s">
        <v>27</v>
      </c>
      <c r="E839" t="s">
        <v>30</v>
      </c>
      <c r="F839" t="s">
        <v>38</v>
      </c>
      <c r="G839">
        <f>VALUE(IF(AND(ISERR(FIND(".",'Raw Data'!G839)),LEN('Raw Data'!G839)=5), IF(YEAR('Raw Data'!G839)=2026,CONCATENATE(DAY('Raw Data'!G839),".",IF(LEN(MONTH('Raw Data'!G839))=2,MONTH('Raw Data'!G839),CONCATENATE("0",MONTH('Raw Data'!G839)))),CONCATENATE(MONTH('Raw Data'!G839),".",RIGHT(YEAR('Raw Data'!G839),2))),'Raw Data'!G839))</f>
        <v>44.63</v>
      </c>
      <c r="H839">
        <f>'Raw Data'!H839</f>
        <v>6</v>
      </c>
      <c r="I839" s="6">
        <f t="shared" si="39"/>
        <v>13.388999999999953</v>
      </c>
      <c r="J839" s="6">
        <f>'Raw Data'!J839</f>
        <v>281.16899999999998</v>
      </c>
      <c r="K839" s="1">
        <f>VALUE(IFERROR(VALUE('Raw Data'!K839),CONCATENATE(MID('Raw Data'!K839,3,2),".","0",LEFT('Raw Data'!K839,1),".", RIGHT('Raw Data'!K839,4))))</f>
        <v>43497</v>
      </c>
      <c r="L839" s="2">
        <f>'Raw Data'!L839</f>
        <v>0.83888888888888891</v>
      </c>
      <c r="M839" t="s">
        <v>33</v>
      </c>
      <c r="N839">
        <f>VALUE(IF(AND(ISERR(FIND(".",'Raw Data'!N839)),LEN('Raw Data'!N839)=5), IF(YEAR('Raw Data'!N839)=2026,CONCATENATE(DAY('Raw Data'!N839),".",IF(LEN(MONTH('Raw Data'!N839))=2,MONTH('Raw Data'!N839),CONCATENATE("0",MONTH('Raw Data'!N839)))),CONCATENATE(MONTH('Raw Data'!N839),".",RIGHT(YEAR('Raw Data'!N839),2))),'Raw Data'!N839))</f>
        <v>267.77999999999997</v>
      </c>
      <c r="O839" s="6">
        <f t="shared" si="40"/>
        <v>4.7619047619047654</v>
      </c>
      <c r="P839" s="6">
        <f t="shared" si="41"/>
        <v>13.38900000000001</v>
      </c>
      <c r="Q839">
        <f>VALUE(IF(AND(ISERR(FIND(".",'Raw Data'!Q839)),LEN('Raw Data'!Q839)=5), IF(YEAR('Raw Data'!Q839)=2026,CONCATENATE(DAY('Raw Data'!Q839),".",IF(LEN(MONTH('Raw Data'!Q839))=2,MONTH('Raw Data'!Q839),CONCATENATE(MONTH('Raw Data'!Q839)))),CONCATENATE(MONTH('Raw Data'!Q839),".",RIGHT(YEAR('Raw Data'!Q839),2))),'Raw Data'!Q839))</f>
        <v>5.0999999999999996</v>
      </c>
    </row>
    <row r="840" spans="1:17">
      <c r="A840" t="s">
        <v>927</v>
      </c>
      <c r="B840" t="s">
        <v>25</v>
      </c>
      <c r="C840" t="s">
        <v>26</v>
      </c>
      <c r="D840" t="s">
        <v>27</v>
      </c>
      <c r="E840" t="s">
        <v>30</v>
      </c>
      <c r="F840" t="s">
        <v>28</v>
      </c>
      <c r="G840">
        <f>VALUE(IF(AND(ISERR(FIND(".",'Raw Data'!G840)),LEN('Raw Data'!G840)=5), IF(YEAR('Raw Data'!G840)=2026,CONCATENATE(DAY('Raw Data'!G840),".",IF(LEN(MONTH('Raw Data'!G840))=2,MONTH('Raw Data'!G840),CONCATENATE("0",MONTH('Raw Data'!G840)))),CONCATENATE(MONTH('Raw Data'!G840),".",RIGHT(YEAR('Raw Data'!G840),2))),'Raw Data'!G840))</f>
        <v>55.87</v>
      </c>
      <c r="H840">
        <f>'Raw Data'!H840</f>
        <v>10</v>
      </c>
      <c r="I840" s="6">
        <f t="shared" si="39"/>
        <v>27.935000000000059</v>
      </c>
      <c r="J840" s="6">
        <f>'Raw Data'!J840</f>
        <v>586.63499999999999</v>
      </c>
      <c r="K840" s="1">
        <f>VALUE(IFERROR(VALUE('Raw Data'!K840),CONCATENATE(MID('Raw Data'!K840,3,2),".","0",LEFT('Raw Data'!K840,1),".", RIGHT('Raw Data'!K840,4))))</f>
        <v>43480</v>
      </c>
      <c r="L840" s="2">
        <f>'Raw Data'!L840</f>
        <v>0.62569444444444444</v>
      </c>
      <c r="M840" t="s">
        <v>29</v>
      </c>
      <c r="N840">
        <f>VALUE(IF(AND(ISERR(FIND(".",'Raw Data'!N840)),LEN('Raw Data'!N840)=5), IF(YEAR('Raw Data'!N840)=2026,CONCATENATE(DAY('Raw Data'!N840),".",IF(LEN(MONTH('Raw Data'!N840))=2,MONTH('Raw Data'!N840),CONCATENATE("0",MONTH('Raw Data'!N840)))),CONCATENATE(MONTH('Raw Data'!N840),".",RIGHT(YEAR('Raw Data'!N840),2))),'Raw Data'!N840))</f>
        <v>558.70000000000005</v>
      </c>
      <c r="O840" s="6">
        <f t="shared" si="40"/>
        <v>4.761904761904753</v>
      </c>
      <c r="P840" s="6">
        <f t="shared" si="41"/>
        <v>27.934999999999945</v>
      </c>
      <c r="Q840">
        <f>VALUE(IF(AND(ISERR(FIND(".",'Raw Data'!Q840)),LEN('Raw Data'!Q840)=5), IF(YEAR('Raw Data'!Q840)=2026,CONCATENATE(DAY('Raw Data'!Q840),".",IF(LEN(MONTH('Raw Data'!Q840))=2,MONTH('Raw Data'!Q840),CONCATENATE(MONTH('Raw Data'!Q840)))),CONCATENATE(MONTH('Raw Data'!Q840),".",RIGHT(YEAR('Raw Data'!Q840),2))),'Raw Data'!Q840))</f>
        <v>5.8</v>
      </c>
    </row>
    <row r="841" spans="1:17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38</v>
      </c>
      <c r="G841">
        <f>VALUE(IF(AND(ISERR(FIND(".",'Raw Data'!G841)),LEN('Raw Data'!G841)=5), IF(YEAR('Raw Data'!G841)=2026,CONCATENATE(DAY('Raw Data'!G841),".",IF(LEN(MONTH('Raw Data'!G841))=2,MONTH('Raw Data'!G841),CONCATENATE("0",MONTH('Raw Data'!G841)))),CONCATENATE(MONTH('Raw Data'!G841),".",RIGHT(YEAR('Raw Data'!G841),2))),'Raw Data'!G841))</f>
        <v>29.22</v>
      </c>
      <c r="H841">
        <f>'Raw Data'!H841</f>
        <v>6</v>
      </c>
      <c r="I841" s="6">
        <f t="shared" si="39"/>
        <v>8.7660000000000196</v>
      </c>
      <c r="J841" s="6">
        <f>'Raw Data'!J841</f>
        <v>184.08600000000001</v>
      </c>
      <c r="K841" s="1">
        <f>VALUE(IFERROR(VALUE('Raw Data'!K841),CONCATENATE(MID('Raw Data'!K841,3,2),".","0",LEFT('Raw Data'!K841,1),".", RIGHT('Raw Data'!K841,4))))</f>
        <v>43466</v>
      </c>
      <c r="L841" s="2">
        <f>'Raw Data'!L841</f>
        <v>0.4861111111111111</v>
      </c>
      <c r="M841" t="s">
        <v>23</v>
      </c>
      <c r="N841">
        <f>VALUE(IF(AND(ISERR(FIND(".",'Raw Data'!N841)),LEN('Raw Data'!N841)=5), IF(YEAR('Raw Data'!N841)=2026,CONCATENATE(DAY('Raw Data'!N841),".",IF(LEN(MONTH('Raw Data'!N841))=2,MONTH('Raw Data'!N841),CONCATENATE("0",MONTH('Raw Data'!N841)))),CONCATENATE(MONTH('Raw Data'!N841),".",RIGHT(YEAR('Raw Data'!N841),2))),'Raw Data'!N841))</f>
        <v>175.32</v>
      </c>
      <c r="O841" s="6">
        <f t="shared" si="40"/>
        <v>4.7619047619047716</v>
      </c>
      <c r="P841" s="6">
        <f t="shared" si="41"/>
        <v>8.7660000000000196</v>
      </c>
      <c r="Q841">
        <f>VALUE(IF(AND(ISERR(FIND(".",'Raw Data'!Q841)),LEN('Raw Data'!Q841)=5), IF(YEAR('Raw Data'!Q841)=2026,CONCATENATE(DAY('Raw Data'!Q841),".",IF(LEN(MONTH('Raw Data'!Q841))=2,MONTH('Raw Data'!Q841),CONCATENATE(MONTH('Raw Data'!Q841)))),CONCATENATE(MONTH('Raw Data'!Q841),".",RIGHT(YEAR('Raw Data'!Q841),2))),'Raw Data'!Q841))</f>
        <v>5</v>
      </c>
    </row>
    <row r="842" spans="1:17">
      <c r="A842" t="s">
        <v>929</v>
      </c>
      <c r="B842" t="s">
        <v>18</v>
      </c>
      <c r="C842" t="s">
        <v>19</v>
      </c>
      <c r="D842" t="s">
        <v>27</v>
      </c>
      <c r="E842" t="s">
        <v>30</v>
      </c>
      <c r="F842" t="s">
        <v>43</v>
      </c>
      <c r="G842">
        <f>VALUE(IF(AND(ISERR(FIND(".",'Raw Data'!G842)),LEN('Raw Data'!G842)=5), IF(YEAR('Raw Data'!G842)=2026,CONCATENATE(DAY('Raw Data'!G842),".",IF(LEN(MONTH('Raw Data'!G842))=2,MONTH('Raw Data'!G842),CONCATENATE("0",MONTH('Raw Data'!G842)))),CONCATENATE(MONTH('Raw Data'!G842),".",RIGHT(YEAR('Raw Data'!G842),2))),'Raw Data'!G842))</f>
        <v>51.94</v>
      </c>
      <c r="H842">
        <f>'Raw Data'!H842</f>
        <v>3</v>
      </c>
      <c r="I842" s="6">
        <f t="shared" si="39"/>
        <v>7.7909999999999968</v>
      </c>
      <c r="J842" s="6">
        <f>'Raw Data'!J842</f>
        <v>163.61099999999999</v>
      </c>
      <c r="K842" s="1">
        <f>VALUE(IFERROR(VALUE('Raw Data'!K842),CONCATENATE(MID('Raw Data'!K842,3,2),".","0",LEFT('Raw Data'!K842,1),".", RIGHT('Raw Data'!K842,4))))</f>
        <v>43511</v>
      </c>
      <c r="L842" s="2">
        <f>'Raw Data'!L842</f>
        <v>0.63958333333333328</v>
      </c>
      <c r="M842" t="s">
        <v>29</v>
      </c>
      <c r="N842">
        <f>VALUE(IF(AND(ISERR(FIND(".",'Raw Data'!N842)),LEN('Raw Data'!N842)=5), IF(YEAR('Raw Data'!N842)=2026,CONCATENATE(DAY('Raw Data'!N842),".",IF(LEN(MONTH('Raw Data'!N842))=2,MONTH('Raw Data'!N842),CONCATENATE("0",MONTH('Raw Data'!N842)))),CONCATENATE(MONTH('Raw Data'!N842),".",RIGHT(YEAR('Raw Data'!N842),2))),'Raw Data'!N842))</f>
        <v>155.82</v>
      </c>
      <c r="O842" s="6">
        <f t="shared" si="40"/>
        <v>4.7619047619047601</v>
      </c>
      <c r="P842" s="6">
        <f t="shared" si="41"/>
        <v>7.7909999999999968</v>
      </c>
      <c r="Q842">
        <f>VALUE(IF(AND(ISERR(FIND(".",'Raw Data'!Q842)),LEN('Raw Data'!Q842)=5), IF(YEAR('Raw Data'!Q842)=2026,CONCATENATE(DAY('Raw Data'!Q842),".",IF(LEN(MONTH('Raw Data'!Q842))=2,MONTH('Raw Data'!Q842),CONCATENATE(MONTH('Raw Data'!Q842)))),CONCATENATE(MONTH('Raw Data'!Q842),".",RIGHT(YEAR('Raw Data'!Q842),2))),'Raw Data'!Q842))</f>
        <v>7.9</v>
      </c>
    </row>
    <row r="843" spans="1:17">
      <c r="A843" t="s">
        <v>930</v>
      </c>
      <c r="B843" t="s">
        <v>34</v>
      </c>
      <c r="C843" t="s">
        <v>35</v>
      </c>
      <c r="D843" t="s">
        <v>27</v>
      </c>
      <c r="E843" t="s">
        <v>30</v>
      </c>
      <c r="F843" t="s">
        <v>28</v>
      </c>
      <c r="G843">
        <f>VALUE(IF(AND(ISERR(FIND(".",'Raw Data'!G843)),LEN('Raw Data'!G843)=5), IF(YEAR('Raw Data'!G843)=2026,CONCATENATE(DAY('Raw Data'!G843),".",IF(LEN(MONTH('Raw Data'!G843))=2,MONTH('Raw Data'!G843),CONCATENATE("0",MONTH('Raw Data'!G843)))),CONCATENATE(MONTH('Raw Data'!G843),".",RIGHT(YEAR('Raw Data'!G843),2))),'Raw Data'!G843))</f>
        <v>60.3</v>
      </c>
      <c r="H843">
        <f>'Raw Data'!H843</f>
        <v>1</v>
      </c>
      <c r="I843" s="6">
        <f t="shared" si="39"/>
        <v>3.0150000000000006</v>
      </c>
      <c r="J843" s="6">
        <f>'Raw Data'!J843</f>
        <v>63.314999999999998</v>
      </c>
      <c r="K843" s="1">
        <f>VALUE(IFERROR(VALUE('Raw Data'!K843),CONCATENATE(MID('Raw Data'!K843,3,2),".","0",LEFT('Raw Data'!K843,1),".", RIGHT('Raw Data'!K843,4))))</f>
        <v>43524</v>
      </c>
      <c r="L843" s="2">
        <f>'Raw Data'!L843</f>
        <v>0.73472222222222217</v>
      </c>
      <c r="M843" t="s">
        <v>29</v>
      </c>
      <c r="N843">
        <f>VALUE(IF(AND(ISERR(FIND(".",'Raw Data'!N843)),LEN('Raw Data'!N843)=5), IF(YEAR('Raw Data'!N843)=2026,CONCATENATE(DAY('Raw Data'!N843),".",IF(LEN(MONTH('Raw Data'!N843))=2,MONTH('Raw Data'!N843),CONCATENATE("0",MONTH('Raw Data'!N843)))),CONCATENATE(MONTH('Raw Data'!N843),".",RIGHT(YEAR('Raw Data'!N843),2))),'Raw Data'!N843))</f>
        <v>60.3</v>
      </c>
      <c r="O843" s="6">
        <f t="shared" si="40"/>
        <v>4.7619047619047628</v>
      </c>
      <c r="P843" s="6">
        <f t="shared" si="41"/>
        <v>3.0150000000000006</v>
      </c>
      <c r="Q843">
        <f>VALUE(IF(AND(ISERR(FIND(".",'Raw Data'!Q843)),LEN('Raw Data'!Q843)=5), IF(YEAR('Raw Data'!Q843)=2026,CONCATENATE(DAY('Raw Data'!Q843),".",IF(LEN(MONTH('Raw Data'!Q843))=2,MONTH('Raw Data'!Q843),CONCATENATE(MONTH('Raw Data'!Q843)))),CONCATENATE(MONTH('Raw Data'!Q843),".",RIGHT(YEAR('Raw Data'!Q843),2))),'Raw Data'!Q843))</f>
        <v>6</v>
      </c>
    </row>
    <row r="844" spans="1:17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38</v>
      </c>
      <c r="G844">
        <f>VALUE(IF(AND(ISERR(FIND(".",'Raw Data'!G844)),LEN('Raw Data'!G844)=5), IF(YEAR('Raw Data'!G844)=2026,CONCATENATE(DAY('Raw Data'!G844),".",IF(LEN(MONTH('Raw Data'!G844))=2,MONTH('Raw Data'!G844),CONCATENATE("0",MONTH('Raw Data'!G844)))),CONCATENATE(MONTH('Raw Data'!G844),".",RIGHT(YEAR('Raw Data'!G844),2))),'Raw Data'!G844))</f>
        <v>39.47</v>
      </c>
      <c r="H844">
        <f>'Raw Data'!H844</f>
        <v>2</v>
      </c>
      <c r="I844" s="6">
        <f t="shared" si="39"/>
        <v>3.9470000000000027</v>
      </c>
      <c r="J844" s="6">
        <f>'Raw Data'!J844</f>
        <v>82.887</v>
      </c>
      <c r="K844" s="1">
        <f>VALUE(IFERROR(VALUE('Raw Data'!K844),CONCATENATE(MID('Raw Data'!K844,3,2),".","0",LEFT('Raw Data'!K844,1),".", RIGHT('Raw Data'!K844,4))))</f>
        <v>43499</v>
      </c>
      <c r="L844" s="2">
        <f>'Raw Data'!L844</f>
        <v>0.6777777777777777</v>
      </c>
      <c r="M844" t="s">
        <v>33</v>
      </c>
      <c r="N844">
        <f>VALUE(IF(AND(ISERR(FIND(".",'Raw Data'!N844)),LEN('Raw Data'!N844)=5), IF(YEAR('Raw Data'!N844)=2026,CONCATENATE(DAY('Raw Data'!N844),".",IF(LEN(MONTH('Raw Data'!N844))=2,MONTH('Raw Data'!N844),CONCATENATE("0",MONTH('Raw Data'!N844)))),CONCATENATE(MONTH('Raw Data'!N844),".",RIGHT(YEAR('Raw Data'!N844),2))),'Raw Data'!N844))</f>
        <v>78.94</v>
      </c>
      <c r="O844" s="6">
        <f t="shared" si="40"/>
        <v>4.7619047619047654</v>
      </c>
      <c r="P844" s="6">
        <f t="shared" si="41"/>
        <v>3.9470000000000027</v>
      </c>
      <c r="Q844">
        <f>VALUE(IF(AND(ISERR(FIND(".",'Raw Data'!Q844)),LEN('Raw Data'!Q844)=5), IF(YEAR('Raw Data'!Q844)=2026,CONCATENATE(DAY('Raw Data'!Q844),".",IF(LEN(MONTH('Raw Data'!Q844))=2,MONTH('Raw Data'!Q844),CONCATENATE(MONTH('Raw Data'!Q844)))),CONCATENATE(MONTH('Raw Data'!Q844),".",RIGHT(YEAR('Raw Data'!Q844),2))),'Raw Data'!Q844))</f>
        <v>5</v>
      </c>
    </row>
    <row r="845" spans="1:17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40</v>
      </c>
      <c r="G845">
        <f>VALUE(IF(AND(ISERR(FIND(".",'Raw Data'!G845)),LEN('Raw Data'!G845)=5), IF(YEAR('Raw Data'!G845)=2026,CONCATENATE(DAY('Raw Data'!G845),".",IF(LEN(MONTH('Raw Data'!G845))=2,MONTH('Raw Data'!G845),CONCATENATE("0",MONTH('Raw Data'!G845)))),CONCATENATE(MONTH('Raw Data'!G845),".",RIGHT(YEAR('Raw Data'!G845),2))),'Raw Data'!G845))</f>
        <v>14.87</v>
      </c>
      <c r="H845">
        <f>'Raw Data'!H845</f>
        <v>2</v>
      </c>
      <c r="I845" s="6">
        <f t="shared" si="39"/>
        <v>1.4870000000000019</v>
      </c>
      <c r="J845" s="6">
        <f>'Raw Data'!J845</f>
        <v>31.227</v>
      </c>
      <c r="K845" s="1">
        <f>VALUE(IFERROR(VALUE('Raw Data'!K845),CONCATENATE(MID('Raw Data'!K845,3,2),".","0",LEFT('Raw Data'!K845,1),".", RIGHT('Raw Data'!K845,4))))</f>
        <v>43509</v>
      </c>
      <c r="L845" s="2">
        <f>'Raw Data'!L845</f>
        <v>0.76041666666666663</v>
      </c>
      <c r="M845" t="s">
        <v>33</v>
      </c>
      <c r="N845">
        <f>VALUE(IF(AND(ISERR(FIND(".",'Raw Data'!N845)),LEN('Raw Data'!N845)=5), IF(YEAR('Raw Data'!N845)=2026,CONCATENATE(DAY('Raw Data'!N845),".",IF(LEN(MONTH('Raw Data'!N845))=2,MONTH('Raw Data'!N845),CONCATENATE("0",MONTH('Raw Data'!N845)))),CONCATENATE(MONTH('Raw Data'!N845),".",RIGHT(YEAR('Raw Data'!N845),2))),'Raw Data'!N845))</f>
        <v>29.74</v>
      </c>
      <c r="O845" s="6">
        <f t="shared" si="40"/>
        <v>4.7619047619047681</v>
      </c>
      <c r="P845" s="6">
        <f t="shared" si="41"/>
        <v>1.4870000000000019</v>
      </c>
      <c r="Q845">
        <f>VALUE(IF(AND(ISERR(FIND(".",'Raw Data'!Q845)),LEN('Raw Data'!Q845)=5), IF(YEAR('Raw Data'!Q845)=2026,CONCATENATE(DAY('Raw Data'!Q845),".",IF(LEN(MONTH('Raw Data'!Q845))=2,MONTH('Raw Data'!Q845),CONCATENATE(MONTH('Raw Data'!Q845)))),CONCATENATE(MONTH('Raw Data'!Q845),".",RIGHT(YEAR('Raw Data'!Q845),2))),'Raw Data'!Q845))</f>
        <v>8.9</v>
      </c>
    </row>
    <row r="846" spans="1:17">
      <c r="A846" t="s">
        <v>933</v>
      </c>
      <c r="B846" t="s">
        <v>18</v>
      </c>
      <c r="C846" t="s">
        <v>19</v>
      </c>
      <c r="D846" t="s">
        <v>27</v>
      </c>
      <c r="E846" t="s">
        <v>30</v>
      </c>
      <c r="F846" t="s">
        <v>43</v>
      </c>
      <c r="G846">
        <f>VALUE(IF(AND(ISERR(FIND(".",'Raw Data'!G846)),LEN('Raw Data'!G846)=5), IF(YEAR('Raw Data'!G846)=2026,CONCATENATE(DAY('Raw Data'!G846),".",IF(LEN(MONTH('Raw Data'!G846))=2,MONTH('Raw Data'!G846),CONCATENATE("0",MONTH('Raw Data'!G846)))),CONCATENATE(MONTH('Raw Data'!G846),".",RIGHT(YEAR('Raw Data'!G846),2))),'Raw Data'!G846))</f>
        <v>21.32</v>
      </c>
      <c r="H846">
        <f>'Raw Data'!H846</f>
        <v>1</v>
      </c>
      <c r="I846" s="6">
        <f t="shared" si="39"/>
        <v>1.0659999999999989</v>
      </c>
      <c r="J846" s="6">
        <f>'Raw Data'!J846</f>
        <v>22.385999999999999</v>
      </c>
      <c r="K846" s="1">
        <f>VALUE(IFERROR(VALUE('Raw Data'!K846),CONCATENATE(MID('Raw Data'!K846,3,2),".","0",LEFT('Raw Data'!K846,1),".", RIGHT('Raw Data'!K846,4))))</f>
        <v>43491</v>
      </c>
      <c r="L846" s="2">
        <f>'Raw Data'!L846</f>
        <v>0.52986111111111112</v>
      </c>
      <c r="M846" t="s">
        <v>29</v>
      </c>
      <c r="N846">
        <f>VALUE(IF(AND(ISERR(FIND(".",'Raw Data'!N846)),LEN('Raw Data'!N846)=5), IF(YEAR('Raw Data'!N846)=2026,CONCATENATE(DAY('Raw Data'!N846),".",IF(LEN(MONTH('Raw Data'!N846))=2,MONTH('Raw Data'!N846),CONCATENATE("0",MONTH('Raw Data'!N846)))),CONCATENATE(MONTH('Raw Data'!N846),".",RIGHT(YEAR('Raw Data'!N846),2))),'Raw Data'!N846))</f>
        <v>21.32</v>
      </c>
      <c r="O846" s="6">
        <f t="shared" si="40"/>
        <v>4.7619047619047574</v>
      </c>
      <c r="P846" s="6">
        <f t="shared" si="41"/>
        <v>1.0659999999999989</v>
      </c>
      <c r="Q846">
        <f>VALUE(IF(AND(ISERR(FIND(".",'Raw Data'!Q846)),LEN('Raw Data'!Q846)=5), IF(YEAR('Raw Data'!Q846)=2026,CONCATENATE(DAY('Raw Data'!Q846),".",IF(LEN(MONTH('Raw Data'!Q846))=2,MONTH('Raw Data'!Q846),CONCATENATE(MONTH('Raw Data'!Q846)))),CONCATENATE(MONTH('Raw Data'!Q846),".",RIGHT(YEAR('Raw Data'!Q846),2))),'Raw Data'!Q846))</f>
        <v>5.9</v>
      </c>
    </row>
    <row r="847" spans="1:17">
      <c r="A847" t="s">
        <v>934</v>
      </c>
      <c r="B847" t="s">
        <v>18</v>
      </c>
      <c r="C847" t="s">
        <v>19</v>
      </c>
      <c r="D847" t="s">
        <v>20</v>
      </c>
      <c r="E847" t="s">
        <v>30</v>
      </c>
      <c r="F847" t="s">
        <v>28</v>
      </c>
      <c r="G847">
        <f>VALUE(IF(AND(ISERR(FIND(".",'Raw Data'!G847)),LEN('Raw Data'!G847)=5), IF(YEAR('Raw Data'!G847)=2026,CONCATENATE(DAY('Raw Data'!G847),".",IF(LEN(MONTH('Raw Data'!G847))=2,MONTH('Raw Data'!G847),CONCATENATE("0",MONTH('Raw Data'!G847)))),CONCATENATE(MONTH('Raw Data'!G847),".",RIGHT(YEAR('Raw Data'!G847),2))),'Raw Data'!G847))</f>
        <v>93.78</v>
      </c>
      <c r="H847">
        <f>'Raw Data'!H847</f>
        <v>3</v>
      </c>
      <c r="I847" s="6">
        <f t="shared" si="39"/>
        <v>14.06699999999995</v>
      </c>
      <c r="J847" s="6">
        <f>'Raw Data'!J847</f>
        <v>295.40699999999998</v>
      </c>
      <c r="K847" s="1">
        <f>VALUE(IFERROR(VALUE('Raw Data'!K847),CONCATENATE(MID('Raw Data'!K847,3,2),".","0",LEFT('Raw Data'!K847,1),".", RIGHT('Raw Data'!K847,4))))</f>
        <v>43495</v>
      </c>
      <c r="L847" s="2">
        <f>'Raw Data'!L847</f>
        <v>0.48055555555555557</v>
      </c>
      <c r="M847" t="s">
        <v>33</v>
      </c>
      <c r="N847">
        <f>VALUE(IF(AND(ISERR(FIND(".",'Raw Data'!N847)),LEN('Raw Data'!N847)=5), IF(YEAR('Raw Data'!N847)=2026,CONCATENATE(DAY('Raw Data'!N847),".",IF(LEN(MONTH('Raw Data'!N847))=2,MONTH('Raw Data'!N847),CONCATENATE("0",MONTH('Raw Data'!N847)))),CONCATENATE(MONTH('Raw Data'!N847),".",RIGHT(YEAR('Raw Data'!N847),2))),'Raw Data'!N847))</f>
        <v>281.33999999999997</v>
      </c>
      <c r="O847" s="6">
        <f t="shared" si="40"/>
        <v>4.7619047619047645</v>
      </c>
      <c r="P847" s="6">
        <f t="shared" si="41"/>
        <v>14.067000000000007</v>
      </c>
      <c r="Q847">
        <f>VALUE(IF(AND(ISERR(FIND(".",'Raw Data'!Q847)),LEN('Raw Data'!Q847)=5), IF(YEAR('Raw Data'!Q847)=2026,CONCATENATE(DAY('Raw Data'!Q847),".",IF(LEN(MONTH('Raw Data'!Q847))=2,MONTH('Raw Data'!Q847),CONCATENATE(MONTH('Raw Data'!Q847)))),CONCATENATE(MONTH('Raw Data'!Q847),".",RIGHT(YEAR('Raw Data'!Q847),2))),'Raw Data'!Q847))</f>
        <v>5.9</v>
      </c>
    </row>
    <row r="848" spans="1:17">
      <c r="A848" t="s">
        <v>935</v>
      </c>
      <c r="B848" t="s">
        <v>18</v>
      </c>
      <c r="C848" t="s">
        <v>19</v>
      </c>
      <c r="D848" t="s">
        <v>20</v>
      </c>
      <c r="E848" t="s">
        <v>30</v>
      </c>
      <c r="F848" t="s">
        <v>28</v>
      </c>
      <c r="G848">
        <f>VALUE(IF(AND(ISERR(FIND(".",'Raw Data'!G848)),LEN('Raw Data'!G848)=5), IF(YEAR('Raw Data'!G848)=2026,CONCATENATE(DAY('Raw Data'!G848),".",IF(LEN(MONTH('Raw Data'!G848))=2,MONTH('Raw Data'!G848),CONCATENATE("0",MONTH('Raw Data'!G848)))),CONCATENATE(MONTH('Raw Data'!G848),".",RIGHT(YEAR('Raw Data'!G848),2))),'Raw Data'!G848))</f>
        <v>73.260000000000005</v>
      </c>
      <c r="H848">
        <f>'Raw Data'!H848</f>
        <v>1</v>
      </c>
      <c r="I848" s="6">
        <f t="shared" si="39"/>
        <v>3.6629999999999967</v>
      </c>
      <c r="J848" s="6">
        <f>'Raw Data'!J848</f>
        <v>76.923000000000002</v>
      </c>
      <c r="K848" s="1">
        <f>VALUE(IFERROR(VALUE('Raw Data'!K848),CONCATENATE(MID('Raw Data'!K848,3,2),".","0",LEFT('Raw Data'!K848,1),".", RIGHT('Raw Data'!K848,4))))</f>
        <v>43492</v>
      </c>
      <c r="L848" s="2">
        <f>'Raw Data'!L848</f>
        <v>0.75555555555555554</v>
      </c>
      <c r="M848" t="s">
        <v>23</v>
      </c>
      <c r="N848">
        <f>VALUE(IF(AND(ISERR(FIND(".",'Raw Data'!N848)),LEN('Raw Data'!N848)=5), IF(YEAR('Raw Data'!N848)=2026,CONCATENATE(DAY('Raw Data'!N848),".",IF(LEN(MONTH('Raw Data'!N848))=2,MONTH('Raw Data'!N848),CONCATENATE("0",MONTH('Raw Data'!N848)))),CONCATENATE(MONTH('Raw Data'!N848),".",RIGHT(YEAR('Raw Data'!N848),2))),'Raw Data'!N848))</f>
        <v>73.260000000000005</v>
      </c>
      <c r="O848" s="6">
        <f t="shared" si="40"/>
        <v>4.7619047619047574</v>
      </c>
      <c r="P848" s="6">
        <f t="shared" si="41"/>
        <v>3.6629999999999967</v>
      </c>
      <c r="Q848">
        <f>VALUE(IF(AND(ISERR(FIND(".",'Raw Data'!Q848)),LEN('Raw Data'!Q848)=5), IF(YEAR('Raw Data'!Q848)=2026,CONCATENATE(DAY('Raw Data'!Q848),".",IF(LEN(MONTH('Raw Data'!Q848))=2,MONTH('Raw Data'!Q848),CONCATENATE(MONTH('Raw Data'!Q848)))),CONCATENATE(MONTH('Raw Data'!Q848),".",RIGHT(YEAR('Raw Data'!Q848),2))),'Raw Data'!Q848))</f>
        <v>9.6999999999999993</v>
      </c>
    </row>
    <row r="849" spans="1:17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38</v>
      </c>
      <c r="G849">
        <f>VALUE(IF(AND(ISERR(FIND(".",'Raw Data'!G849)),LEN('Raw Data'!G849)=5), IF(YEAR('Raw Data'!G849)=2026,CONCATENATE(DAY('Raw Data'!G849),".",IF(LEN(MONTH('Raw Data'!G849))=2,MONTH('Raw Data'!G849),CONCATENATE("0",MONTH('Raw Data'!G849)))),CONCATENATE(MONTH('Raw Data'!G849),".",RIGHT(YEAR('Raw Data'!G849),2))),'Raw Data'!G849))</f>
        <v>22.38</v>
      </c>
      <c r="H849">
        <f>'Raw Data'!H849</f>
        <v>1</v>
      </c>
      <c r="I849" s="6">
        <f t="shared" si="39"/>
        <v>1.1189999999999998</v>
      </c>
      <c r="J849" s="6">
        <f>'Raw Data'!J849</f>
        <v>23.498999999999999</v>
      </c>
      <c r="K849" s="1">
        <f>VALUE(IFERROR(VALUE('Raw Data'!K849),CONCATENATE(MID('Raw Data'!K849,3,2),".","0",LEFT('Raw Data'!K849,1),".", RIGHT('Raw Data'!K849,4))))</f>
        <v>43495</v>
      </c>
      <c r="L849" s="2">
        <f>'Raw Data'!L849</f>
        <v>0.71388888888888891</v>
      </c>
      <c r="M849" t="s">
        <v>33</v>
      </c>
      <c r="N849">
        <f>VALUE(IF(AND(ISERR(FIND(".",'Raw Data'!N849)),LEN('Raw Data'!N849)=5), IF(YEAR('Raw Data'!N849)=2026,CONCATENATE(DAY('Raw Data'!N849),".",IF(LEN(MONTH('Raw Data'!N849))=2,MONTH('Raw Data'!N849),CONCATENATE("0",MONTH('Raw Data'!N849)))),CONCATENATE(MONTH('Raw Data'!N849),".",RIGHT(YEAR('Raw Data'!N849),2))),'Raw Data'!N849))</f>
        <v>22.38</v>
      </c>
      <c r="O849" s="6">
        <f t="shared" si="40"/>
        <v>4.761904761904761</v>
      </c>
      <c r="P849" s="6">
        <f t="shared" si="41"/>
        <v>1.1189999999999998</v>
      </c>
      <c r="Q849">
        <f>VALUE(IF(AND(ISERR(FIND(".",'Raw Data'!Q849)),LEN('Raw Data'!Q849)=5), IF(YEAR('Raw Data'!Q849)=2026,CONCATENATE(DAY('Raw Data'!Q849),".",IF(LEN(MONTH('Raw Data'!Q849))=2,MONTH('Raw Data'!Q849),CONCATENATE(MONTH('Raw Data'!Q849)))),CONCATENATE(MONTH('Raw Data'!Q849),".",RIGHT(YEAR('Raw Data'!Q849),2))),'Raw Data'!Q849))</f>
        <v>8.6</v>
      </c>
    </row>
    <row r="850" spans="1:17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40</v>
      </c>
      <c r="G850">
        <f>VALUE(IF(AND(ISERR(FIND(".",'Raw Data'!G850)),LEN('Raw Data'!G850)=5), IF(YEAR('Raw Data'!G850)=2026,CONCATENATE(DAY('Raw Data'!G850),".",IF(LEN(MONTH('Raw Data'!G850))=2,MONTH('Raw Data'!G850),CONCATENATE("0",MONTH('Raw Data'!G850)))),CONCATENATE(MONTH('Raw Data'!G850),".",RIGHT(YEAR('Raw Data'!G850),2))),'Raw Data'!G850))</f>
        <v>72.88</v>
      </c>
      <c r="H850">
        <f>'Raw Data'!H850</f>
        <v>9</v>
      </c>
      <c r="I850" s="6">
        <f t="shared" si="39"/>
        <v>32.796000000000049</v>
      </c>
      <c r="J850" s="6">
        <f>'Raw Data'!J850</f>
        <v>688.71600000000001</v>
      </c>
      <c r="K850" s="1">
        <f>VALUE(IFERROR(VALUE('Raw Data'!K850),CONCATENATE(MID('Raw Data'!K850,3,2),".","0",LEFT('Raw Data'!K850,1),".", RIGHT('Raw Data'!K850,4))))</f>
        <v>43678</v>
      </c>
      <c r="L850" s="2">
        <f>'Raw Data'!L850</f>
        <v>0.81805555555555554</v>
      </c>
      <c r="M850" t="s">
        <v>29</v>
      </c>
      <c r="N850">
        <f>VALUE(IF(AND(ISERR(FIND(".",'Raw Data'!N850)),LEN('Raw Data'!N850)=5), IF(YEAR('Raw Data'!N850)=2026,CONCATENATE(DAY('Raw Data'!N850),".",IF(LEN(MONTH('Raw Data'!N850))=2,MONTH('Raw Data'!N850),CONCATENATE("0",MONTH('Raw Data'!N850)))),CONCATENATE(MONTH('Raw Data'!N850),".",RIGHT(YEAR('Raw Data'!N850),2))),'Raw Data'!N850))</f>
        <v>655.92</v>
      </c>
      <c r="O850" s="6">
        <f t="shared" si="40"/>
        <v>4.761904761904769</v>
      </c>
      <c r="P850" s="6">
        <f t="shared" si="41"/>
        <v>32.796000000000049</v>
      </c>
      <c r="Q850">
        <f>VALUE(IF(AND(ISERR(FIND(".",'Raw Data'!Q850)),LEN('Raw Data'!Q850)=5), IF(YEAR('Raw Data'!Q850)=2026,CONCATENATE(DAY('Raw Data'!Q850),".",IF(LEN(MONTH('Raw Data'!Q850))=2,MONTH('Raw Data'!Q850),CONCATENATE(MONTH('Raw Data'!Q850)))),CONCATENATE(MONTH('Raw Data'!Q850),".",RIGHT(YEAR('Raw Data'!Q850),2))),'Raw Data'!Q850))</f>
        <v>4</v>
      </c>
    </row>
    <row r="851" spans="1:17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43</v>
      </c>
      <c r="G851">
        <f>VALUE(IF(AND(ISERR(FIND(".",'Raw Data'!G851)),LEN('Raw Data'!G851)=5), IF(YEAR('Raw Data'!G851)=2026,CONCATENATE(DAY('Raw Data'!G851),".",IF(LEN(MONTH('Raw Data'!G851))=2,MONTH('Raw Data'!G851),CONCATENATE("0",MONTH('Raw Data'!G851)))),CONCATENATE(MONTH('Raw Data'!G851),".",RIGHT(YEAR('Raw Data'!G851),2))),'Raw Data'!G851))</f>
        <v>99.1</v>
      </c>
      <c r="H851">
        <f>'Raw Data'!H851</f>
        <v>6</v>
      </c>
      <c r="I851" s="6">
        <f t="shared" si="39"/>
        <v>29.730000000000132</v>
      </c>
      <c r="J851" s="6">
        <f>'Raw Data'!J851</f>
        <v>624.33000000000004</v>
      </c>
      <c r="K851" s="1">
        <f>VALUE(IFERROR(VALUE('Raw Data'!K851),CONCATENATE(MID('Raw Data'!K851,3,2),".","0",LEFT('Raw Data'!K851,1),".", RIGHT('Raw Data'!K851,4))))</f>
        <v>43484</v>
      </c>
      <c r="L851" s="2">
        <f>'Raw Data'!L851</f>
        <v>0.5493055555555556</v>
      </c>
      <c r="M851" t="s">
        <v>29</v>
      </c>
      <c r="N851">
        <f>VALUE(IF(AND(ISERR(FIND(".",'Raw Data'!N851)),LEN('Raw Data'!N851)=5), IF(YEAR('Raw Data'!N851)=2026,CONCATENATE(DAY('Raw Data'!N851),".",IF(LEN(MONTH('Raw Data'!N851))=2,MONTH('Raw Data'!N851),CONCATENATE("0",MONTH('Raw Data'!N851)))),CONCATENATE(MONTH('Raw Data'!N851),".",RIGHT(YEAR('Raw Data'!N851),2))),'Raw Data'!N851))</f>
        <v>594.6</v>
      </c>
      <c r="O851" s="6">
        <f t="shared" si="40"/>
        <v>4.7619047619047645</v>
      </c>
      <c r="P851" s="6">
        <f t="shared" si="41"/>
        <v>29.730000000000018</v>
      </c>
      <c r="Q851">
        <f>VALUE(IF(AND(ISERR(FIND(".",'Raw Data'!Q851)),LEN('Raw Data'!Q851)=5), IF(YEAR('Raw Data'!Q851)=2026,CONCATENATE(DAY('Raw Data'!Q851),".",IF(LEN(MONTH('Raw Data'!Q851))=2,MONTH('Raw Data'!Q851),CONCATENATE(MONTH('Raw Data'!Q851)))),CONCATENATE(MONTH('Raw Data'!Q851),".",RIGHT(YEAR('Raw Data'!Q851),2))),'Raw Data'!Q851))</f>
        <v>4.2</v>
      </c>
    </row>
    <row r="852" spans="1:17">
      <c r="A852" t="s">
        <v>939</v>
      </c>
      <c r="B852" t="s">
        <v>18</v>
      </c>
      <c r="C852" t="s">
        <v>19</v>
      </c>
      <c r="D852" t="s">
        <v>27</v>
      </c>
      <c r="E852" t="s">
        <v>30</v>
      </c>
      <c r="F852" t="s">
        <v>43</v>
      </c>
      <c r="G852">
        <f>VALUE(IF(AND(ISERR(FIND(".",'Raw Data'!G852)),LEN('Raw Data'!G852)=5), IF(YEAR('Raw Data'!G852)=2026,CONCATENATE(DAY('Raw Data'!G852),".",IF(LEN(MONTH('Raw Data'!G852))=2,MONTH('Raw Data'!G852),CONCATENATE("0",MONTH('Raw Data'!G852)))),CONCATENATE(MONTH('Raw Data'!G852),".",RIGHT(YEAR('Raw Data'!G852),2))),'Raw Data'!G852))</f>
        <v>74.099999999999994</v>
      </c>
      <c r="H852">
        <f>'Raw Data'!H852</f>
        <v>1</v>
      </c>
      <c r="I852" s="6">
        <f t="shared" si="39"/>
        <v>3.7050000000000125</v>
      </c>
      <c r="J852" s="6">
        <f>'Raw Data'!J852</f>
        <v>77.805000000000007</v>
      </c>
      <c r="K852" s="1">
        <f>VALUE(IFERROR(VALUE('Raw Data'!K852),CONCATENATE(MID('Raw Data'!K852,3,2),".","0",LEFT('Raw Data'!K852,1),".", RIGHT('Raw Data'!K852,4))))</f>
        <v>43490</v>
      </c>
      <c r="L852" s="2">
        <f>'Raw Data'!L852</f>
        <v>0.46180555555555558</v>
      </c>
      <c r="M852" t="s">
        <v>29</v>
      </c>
      <c r="N852">
        <f>VALUE(IF(AND(ISERR(FIND(".",'Raw Data'!N852)),LEN('Raw Data'!N852)=5), IF(YEAR('Raw Data'!N852)=2026,CONCATENATE(DAY('Raw Data'!N852),".",IF(LEN(MONTH('Raw Data'!N852))=2,MONTH('Raw Data'!N852),CONCATENATE("0",MONTH('Raw Data'!N852)))),CONCATENATE(MONTH('Raw Data'!N852),".",RIGHT(YEAR('Raw Data'!N852),2))),'Raw Data'!N852))</f>
        <v>74.099999999999994</v>
      </c>
      <c r="O852" s="6">
        <f t="shared" si="40"/>
        <v>4.7619047619047778</v>
      </c>
      <c r="P852" s="6">
        <f t="shared" si="41"/>
        <v>3.7050000000000125</v>
      </c>
      <c r="Q852">
        <f>VALUE(IF(AND(ISERR(FIND(".",'Raw Data'!Q852)),LEN('Raw Data'!Q852)=5), IF(YEAR('Raw Data'!Q852)=2026,CONCATENATE(DAY('Raw Data'!Q852),".",IF(LEN(MONTH('Raw Data'!Q852))=2,MONTH('Raw Data'!Q852),CONCATENATE(MONTH('Raw Data'!Q852)))),CONCATENATE(MONTH('Raw Data'!Q852),".",RIGHT(YEAR('Raw Data'!Q852),2))),'Raw Data'!Q852))</f>
        <v>9.1999999999999993</v>
      </c>
    </row>
    <row r="853" spans="1:17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43</v>
      </c>
      <c r="G853">
        <f>VALUE(IF(AND(ISERR(FIND(".",'Raw Data'!G853)),LEN('Raw Data'!G853)=5), IF(YEAR('Raw Data'!G853)=2026,CONCATENATE(DAY('Raw Data'!G853),".",IF(LEN(MONTH('Raw Data'!G853))=2,MONTH('Raw Data'!G853),CONCATENATE("0",MONTH('Raw Data'!G853)))),CONCATENATE(MONTH('Raw Data'!G853),".",RIGHT(YEAR('Raw Data'!G853),2))),'Raw Data'!G853))</f>
        <v>98.48</v>
      </c>
      <c r="H853">
        <f>'Raw Data'!H853</f>
        <v>2</v>
      </c>
      <c r="I853" s="6">
        <f t="shared" si="39"/>
        <v>9.8479999999999848</v>
      </c>
      <c r="J853" s="6">
        <f>'Raw Data'!J853</f>
        <v>206.80799999999999</v>
      </c>
      <c r="K853" s="1">
        <f>VALUE(IFERROR(VALUE('Raw Data'!K853),CONCATENATE(MID('Raw Data'!K853,3,2),".","0",LEFT('Raw Data'!K853,1),".", RIGHT('Raw Data'!K853,4))))</f>
        <v>43515</v>
      </c>
      <c r="L853" s="2">
        <f>'Raw Data'!L853</f>
        <v>0.42499999999999999</v>
      </c>
      <c r="M853" t="s">
        <v>23</v>
      </c>
      <c r="N853">
        <f>VALUE(IF(AND(ISERR(FIND(".",'Raw Data'!N853)),LEN('Raw Data'!N853)=5), IF(YEAR('Raw Data'!N853)=2026,CONCATENATE(DAY('Raw Data'!N853),".",IF(LEN(MONTH('Raw Data'!N853))=2,MONTH('Raw Data'!N853),CONCATENATE("0",MONTH('Raw Data'!N853)))),CONCATENATE(MONTH('Raw Data'!N853),".",RIGHT(YEAR('Raw Data'!N853),2))),'Raw Data'!N853))</f>
        <v>196.96</v>
      </c>
      <c r="O853" s="6">
        <f t="shared" si="40"/>
        <v>4.7619047619047548</v>
      </c>
      <c r="P853" s="6">
        <f t="shared" si="41"/>
        <v>9.8479999999999848</v>
      </c>
      <c r="Q853">
        <f>VALUE(IF(AND(ISERR(FIND(".",'Raw Data'!Q853)),LEN('Raw Data'!Q853)=5), IF(YEAR('Raw Data'!Q853)=2026,CONCATENATE(DAY('Raw Data'!Q853),".",IF(LEN(MONTH('Raw Data'!Q853))=2,MONTH('Raw Data'!Q853),CONCATENATE(MONTH('Raw Data'!Q853)))),CONCATENATE(MONTH('Raw Data'!Q853),".",RIGHT(YEAR('Raw Data'!Q853),2))),'Raw Data'!Q853))</f>
        <v>9.1999999999999993</v>
      </c>
    </row>
    <row r="854" spans="1:17">
      <c r="A854" t="s">
        <v>941</v>
      </c>
      <c r="B854" t="s">
        <v>25</v>
      </c>
      <c r="C854" t="s">
        <v>26</v>
      </c>
      <c r="D854" t="s">
        <v>27</v>
      </c>
      <c r="E854" t="s">
        <v>30</v>
      </c>
      <c r="F854" t="s">
        <v>22</v>
      </c>
      <c r="G854">
        <f>VALUE(IF(AND(ISERR(FIND(".",'Raw Data'!G854)),LEN('Raw Data'!G854)=5), IF(YEAR('Raw Data'!G854)=2026,CONCATENATE(DAY('Raw Data'!G854),".",IF(LEN(MONTH('Raw Data'!G854))=2,MONTH('Raw Data'!G854),CONCATENATE("0",MONTH('Raw Data'!G854)))),CONCATENATE(MONTH('Raw Data'!G854),".",RIGHT(YEAR('Raw Data'!G854),2))),'Raw Data'!G854))</f>
        <v>53.19</v>
      </c>
      <c r="H854">
        <f>'Raw Data'!H854</f>
        <v>7</v>
      </c>
      <c r="I854" s="6">
        <f t="shared" si="39"/>
        <v>18.61650000000003</v>
      </c>
      <c r="J854" s="6">
        <f>'Raw Data'!J854</f>
        <v>390.94650000000001</v>
      </c>
      <c r="K854" s="1">
        <f>VALUE(IFERROR(VALUE('Raw Data'!K854),CONCATENATE(MID('Raw Data'!K854,3,2),".","0",LEFT('Raw Data'!K854,1),".", RIGHT('Raw Data'!K854,4))))</f>
        <v>43479</v>
      </c>
      <c r="L854" s="2">
        <f>'Raw Data'!L854</f>
        <v>0.65416666666666667</v>
      </c>
      <c r="M854" t="s">
        <v>23</v>
      </c>
      <c r="N854">
        <f>VALUE(IF(AND(ISERR(FIND(".",'Raw Data'!N854)),LEN('Raw Data'!N854)=5), IF(YEAR('Raw Data'!N854)=2026,CONCATENATE(DAY('Raw Data'!N854),".",IF(LEN(MONTH('Raw Data'!N854))=2,MONTH('Raw Data'!N854),CONCATENATE("0",MONTH('Raw Data'!N854)))),CONCATENATE(MONTH('Raw Data'!N854),".",RIGHT(YEAR('Raw Data'!N854),2))),'Raw Data'!N854))</f>
        <v>372.33</v>
      </c>
      <c r="O854" s="6">
        <f t="shared" si="40"/>
        <v>4.761904761904769</v>
      </c>
      <c r="P854" s="6">
        <f t="shared" si="41"/>
        <v>18.61650000000003</v>
      </c>
      <c r="Q854">
        <f>VALUE(IF(AND(ISERR(FIND(".",'Raw Data'!Q854)),LEN('Raw Data'!Q854)=5), IF(YEAR('Raw Data'!Q854)=2026,CONCATENATE(DAY('Raw Data'!Q854),".",IF(LEN(MONTH('Raw Data'!Q854))=2,MONTH('Raw Data'!Q854),CONCATENATE(MONTH('Raw Data'!Q854)))),CONCATENATE(MONTH('Raw Data'!Q854),".",RIGHT(YEAR('Raw Data'!Q854),2))),'Raw Data'!Q854))</f>
        <v>5</v>
      </c>
    </row>
    <row r="855" spans="1:17">
      <c r="A855" t="s">
        <v>942</v>
      </c>
      <c r="B855" t="s">
        <v>34</v>
      </c>
      <c r="C855" t="s">
        <v>35</v>
      </c>
      <c r="D855" t="s">
        <v>27</v>
      </c>
      <c r="E855" t="s">
        <v>21</v>
      </c>
      <c r="F855" t="s">
        <v>28</v>
      </c>
      <c r="G855">
        <f>VALUE(IF(AND(ISERR(FIND(".",'Raw Data'!G855)),LEN('Raw Data'!G855)=5), IF(YEAR('Raw Data'!G855)=2026,CONCATENATE(DAY('Raw Data'!G855),".",IF(LEN(MONTH('Raw Data'!G855))=2,MONTH('Raw Data'!G855),CONCATENATE("0",MONTH('Raw Data'!G855)))),CONCATENATE(MONTH('Raw Data'!G855),".",RIGHT(YEAR('Raw Data'!G855),2))),'Raw Data'!G855))</f>
        <v>52.79</v>
      </c>
      <c r="H855">
        <f>'Raw Data'!H855</f>
        <v>10</v>
      </c>
      <c r="I855" s="6">
        <f t="shared" si="39"/>
        <v>26.394999999999982</v>
      </c>
      <c r="J855" s="6">
        <f>'Raw Data'!J855</f>
        <v>554.29499999999996</v>
      </c>
      <c r="K855" s="1">
        <f>VALUE(IFERROR(VALUE('Raw Data'!K855),CONCATENATE(MID('Raw Data'!K855,3,2),".","0",LEFT('Raw Data'!K855,1),".", RIGHT('Raw Data'!K855,4))))</f>
        <v>43521</v>
      </c>
      <c r="L855" s="2">
        <f>'Raw Data'!L855</f>
        <v>0.49861111111111112</v>
      </c>
      <c r="M855" t="s">
        <v>23</v>
      </c>
      <c r="N855">
        <f>VALUE(IF(AND(ISERR(FIND(".",'Raw Data'!N855)),LEN('Raw Data'!N855)=5), IF(YEAR('Raw Data'!N855)=2026,CONCATENATE(DAY('Raw Data'!N855),".",IF(LEN(MONTH('Raw Data'!N855))=2,MONTH('Raw Data'!N855),CONCATENATE("0",MONTH('Raw Data'!N855)))),CONCATENATE(MONTH('Raw Data'!N855),".",RIGHT(YEAR('Raw Data'!N855),2))),'Raw Data'!N855))</f>
        <v>527.9</v>
      </c>
      <c r="O855" s="6">
        <f t="shared" si="40"/>
        <v>4.7619047619047592</v>
      </c>
      <c r="P855" s="6">
        <f t="shared" si="41"/>
        <v>26.394999999999982</v>
      </c>
      <c r="Q855">
        <f>VALUE(IF(AND(ISERR(FIND(".",'Raw Data'!Q855)),LEN('Raw Data'!Q855)=5), IF(YEAR('Raw Data'!Q855)=2026,CONCATENATE(DAY('Raw Data'!Q855),".",IF(LEN(MONTH('Raw Data'!Q855))=2,MONTH('Raw Data'!Q855),CONCATENATE(MONTH('Raw Data'!Q855)))),CONCATENATE(MONTH('Raw Data'!Q855),".",RIGHT(YEAR('Raw Data'!Q855),2))),'Raw Data'!Q855))</f>
        <v>10</v>
      </c>
    </row>
    <row r="856" spans="1:17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f>VALUE(IF(AND(ISERR(FIND(".",'Raw Data'!G856)),LEN('Raw Data'!G856)=5), IF(YEAR('Raw Data'!G856)=2026,CONCATENATE(DAY('Raw Data'!G856),".",IF(LEN(MONTH('Raw Data'!G856))=2,MONTH('Raw Data'!G856),CONCATENATE("0",MONTH('Raw Data'!G856)))),CONCATENATE(MONTH('Raw Data'!G856),".",RIGHT(YEAR('Raw Data'!G856),2))),'Raw Data'!G856))</f>
        <v>95.95</v>
      </c>
      <c r="H856">
        <f>'Raw Data'!H856</f>
        <v>5</v>
      </c>
      <c r="I856" s="6">
        <f t="shared" si="39"/>
        <v>23.987500000000011</v>
      </c>
      <c r="J856" s="6">
        <f>'Raw Data'!J856</f>
        <v>503.73750000000001</v>
      </c>
      <c r="K856" s="1">
        <f>VALUE(IFERROR(VALUE('Raw Data'!K856),CONCATENATE(MID('Raw Data'!K856,3,2),".","0",LEFT('Raw Data'!K856,1),".", RIGHT('Raw Data'!K856,4))))</f>
        <v>43488</v>
      </c>
      <c r="L856" s="2">
        <f>'Raw Data'!L856</f>
        <v>0.59791666666666665</v>
      </c>
      <c r="M856" t="s">
        <v>23</v>
      </c>
      <c r="N856">
        <f>VALUE(IF(AND(ISERR(FIND(".",'Raw Data'!N856)),LEN('Raw Data'!N856)=5), IF(YEAR('Raw Data'!N856)=2026,CONCATENATE(DAY('Raw Data'!N856),".",IF(LEN(MONTH('Raw Data'!N856))=2,MONTH('Raw Data'!N856),CONCATENATE("0",MONTH('Raw Data'!N856)))),CONCATENATE(MONTH('Raw Data'!N856),".",RIGHT(YEAR('Raw Data'!N856),2))),'Raw Data'!N856))</f>
        <v>479.75</v>
      </c>
      <c r="O856" s="6">
        <f t="shared" si="40"/>
        <v>4.7619047619047636</v>
      </c>
      <c r="P856" s="6">
        <f t="shared" si="41"/>
        <v>23.987500000000011</v>
      </c>
      <c r="Q856">
        <f>VALUE(IF(AND(ISERR(FIND(".",'Raw Data'!Q856)),LEN('Raw Data'!Q856)=5), IF(YEAR('Raw Data'!Q856)=2026,CONCATENATE(DAY('Raw Data'!Q856),".",IF(LEN(MONTH('Raw Data'!Q856))=2,MONTH('Raw Data'!Q856),CONCATENATE(MONTH('Raw Data'!Q856)))),CONCATENATE(MONTH('Raw Data'!Q856),".",RIGHT(YEAR('Raw Data'!Q856),2))),'Raw Data'!Q856))</f>
        <v>8.8000000000000007</v>
      </c>
    </row>
    <row r="857" spans="1:17">
      <c r="A857" t="s">
        <v>944</v>
      </c>
      <c r="B857" t="s">
        <v>34</v>
      </c>
      <c r="C857" t="s">
        <v>35</v>
      </c>
      <c r="D857" t="s">
        <v>27</v>
      </c>
      <c r="E857" t="s">
        <v>21</v>
      </c>
      <c r="F857" t="s">
        <v>43</v>
      </c>
      <c r="G857">
        <f>VALUE(IF(AND(ISERR(FIND(".",'Raw Data'!G857)),LEN('Raw Data'!G857)=5), IF(YEAR('Raw Data'!G857)=2026,CONCATENATE(DAY('Raw Data'!G857),".",IF(LEN(MONTH('Raw Data'!G857))=2,MONTH('Raw Data'!G857),CONCATENATE("0",MONTH('Raw Data'!G857)))),CONCATENATE(MONTH('Raw Data'!G857),".",RIGHT(YEAR('Raw Data'!G857),2))),'Raw Data'!G857))</f>
        <v>36.51</v>
      </c>
      <c r="H857">
        <f>'Raw Data'!H857</f>
        <v>9</v>
      </c>
      <c r="I857" s="6">
        <f t="shared" si="39"/>
        <v>16.429500000000019</v>
      </c>
      <c r="J857" s="6">
        <f>'Raw Data'!J857</f>
        <v>345.01949999999999</v>
      </c>
      <c r="K857" s="1">
        <f>VALUE(IFERROR(VALUE('Raw Data'!K857),CONCATENATE(MID('Raw Data'!K857,3,2),".","0",LEFT('Raw Data'!K857,1),".", RIGHT('Raw Data'!K857,4))))</f>
        <v>43512</v>
      </c>
      <c r="L857" s="2">
        <f>'Raw Data'!L857</f>
        <v>0.45277777777777778</v>
      </c>
      <c r="M857" t="s">
        <v>29</v>
      </c>
      <c r="N857">
        <f>VALUE(IF(AND(ISERR(FIND(".",'Raw Data'!N857)),LEN('Raw Data'!N857)=5), IF(YEAR('Raw Data'!N857)=2026,CONCATENATE(DAY('Raw Data'!N857),".",IF(LEN(MONTH('Raw Data'!N857))=2,MONTH('Raw Data'!N857),CONCATENATE("0",MONTH('Raw Data'!N857)))),CONCATENATE(MONTH('Raw Data'!N857),".",RIGHT(YEAR('Raw Data'!N857),2))),'Raw Data'!N857))</f>
        <v>328.59</v>
      </c>
      <c r="O857" s="6">
        <f t="shared" si="40"/>
        <v>4.7619047619047672</v>
      </c>
      <c r="P857" s="6">
        <f t="shared" si="41"/>
        <v>16.429500000000019</v>
      </c>
      <c r="Q857">
        <f>VALUE(IF(AND(ISERR(FIND(".",'Raw Data'!Q857)),LEN('Raw Data'!Q857)=5), IF(YEAR('Raw Data'!Q857)=2026,CONCATENATE(DAY('Raw Data'!Q857),".",IF(LEN(MONTH('Raw Data'!Q857))=2,MONTH('Raw Data'!Q857),CONCATENATE(MONTH('Raw Data'!Q857)))),CONCATENATE(MONTH('Raw Data'!Q857),".",RIGHT(YEAR('Raw Data'!Q857),2))),'Raw Data'!Q857))</f>
        <v>4.2</v>
      </c>
    </row>
    <row r="858" spans="1:17">
      <c r="A858" t="s">
        <v>945</v>
      </c>
      <c r="B858" t="s">
        <v>34</v>
      </c>
      <c r="C858" t="s">
        <v>35</v>
      </c>
      <c r="D858" t="s">
        <v>27</v>
      </c>
      <c r="E858" t="s">
        <v>30</v>
      </c>
      <c r="F858" t="s">
        <v>40</v>
      </c>
      <c r="G858">
        <f>VALUE(IF(AND(ISERR(FIND(".",'Raw Data'!G858)),LEN('Raw Data'!G858)=5), IF(YEAR('Raw Data'!G858)=2026,CONCATENATE(DAY('Raw Data'!G858),".",IF(LEN(MONTH('Raw Data'!G858))=2,MONTH('Raw Data'!G858),CONCATENATE("0",MONTH('Raw Data'!G858)))),CONCATENATE(MONTH('Raw Data'!G858),".",RIGHT(YEAR('Raw Data'!G858),2))),'Raw Data'!G858))</f>
        <v>21.12</v>
      </c>
      <c r="H858">
        <f>'Raw Data'!H858</f>
        <v>8</v>
      </c>
      <c r="I858" s="6">
        <f t="shared" si="39"/>
        <v>8.4479999999999791</v>
      </c>
      <c r="J858" s="6">
        <f>'Raw Data'!J858</f>
        <v>177.40799999999999</v>
      </c>
      <c r="K858" s="1">
        <f>VALUE(IFERROR(VALUE('Raw Data'!K858),CONCATENATE(MID('Raw Data'!K858,3,2),".","0",LEFT('Raw Data'!K858,1),".", RIGHT('Raw Data'!K858,4))))</f>
        <v>43466</v>
      </c>
      <c r="L858" s="2">
        <f>'Raw Data'!L858</f>
        <v>0.81319444444444444</v>
      </c>
      <c r="M858" t="s">
        <v>29</v>
      </c>
      <c r="N858">
        <f>VALUE(IF(AND(ISERR(FIND(".",'Raw Data'!N858)),LEN('Raw Data'!N858)=5), IF(YEAR('Raw Data'!N858)=2026,CONCATENATE(DAY('Raw Data'!N858),".",IF(LEN(MONTH('Raw Data'!N858))=2,MONTH('Raw Data'!N858),CONCATENATE("0",MONTH('Raw Data'!N858)))),CONCATENATE(MONTH('Raw Data'!N858),".",RIGHT(YEAR('Raw Data'!N858),2))),'Raw Data'!N858))</f>
        <v>168.96</v>
      </c>
      <c r="O858" s="6">
        <f t="shared" si="40"/>
        <v>4.7619047619047503</v>
      </c>
      <c r="P858" s="6">
        <f t="shared" si="41"/>
        <v>8.4479999999999791</v>
      </c>
      <c r="Q858">
        <f>VALUE(IF(AND(ISERR(FIND(".",'Raw Data'!Q858)),LEN('Raw Data'!Q858)=5), IF(YEAR('Raw Data'!Q858)=2026,CONCATENATE(DAY('Raw Data'!Q858),".",IF(LEN(MONTH('Raw Data'!Q858))=2,MONTH('Raw Data'!Q858),CONCATENATE(MONTH('Raw Data'!Q858)))),CONCATENATE(MONTH('Raw Data'!Q858),".",RIGHT(YEAR('Raw Data'!Q858),2))),'Raw Data'!Q858))</f>
        <v>6.3</v>
      </c>
    </row>
    <row r="859" spans="1:17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f>VALUE(IF(AND(ISERR(FIND(".",'Raw Data'!G859)),LEN('Raw Data'!G859)=5), IF(YEAR('Raw Data'!G859)=2026,CONCATENATE(DAY('Raw Data'!G859),".",IF(LEN(MONTH('Raw Data'!G859))=2,MONTH('Raw Data'!G859),CONCATENATE("0",MONTH('Raw Data'!G859)))),CONCATENATE(MONTH('Raw Data'!G859),".",RIGHT(YEAR('Raw Data'!G859),2))),'Raw Data'!G859))</f>
        <v>28.31</v>
      </c>
      <c r="H859">
        <f>'Raw Data'!H859</f>
        <v>4</v>
      </c>
      <c r="I859" s="6">
        <f t="shared" si="39"/>
        <v>5.6620000000000061</v>
      </c>
      <c r="J859" s="6">
        <f>'Raw Data'!J859</f>
        <v>118.902</v>
      </c>
      <c r="K859" s="1">
        <f>VALUE(IFERROR(VALUE('Raw Data'!K859),CONCATENATE(MID('Raw Data'!K859,3,2),".","0",LEFT('Raw Data'!K859,1),".", RIGHT('Raw Data'!K859,4))))</f>
        <v>43649</v>
      </c>
      <c r="L859" s="2">
        <f>'Raw Data'!L859</f>
        <v>0.77430555555555547</v>
      </c>
      <c r="M859" t="s">
        <v>29</v>
      </c>
      <c r="N859">
        <f>VALUE(IF(AND(ISERR(FIND(".",'Raw Data'!N859)),LEN('Raw Data'!N859)=5), IF(YEAR('Raw Data'!N859)=2026,CONCATENATE(DAY('Raw Data'!N859),".",IF(LEN(MONTH('Raw Data'!N859))=2,MONTH('Raw Data'!N859),CONCATENATE("0",MONTH('Raw Data'!N859)))),CONCATENATE(MONTH('Raw Data'!N859),".",RIGHT(YEAR('Raw Data'!N859),2))),'Raw Data'!N859))</f>
        <v>113.24</v>
      </c>
      <c r="O859" s="6">
        <f t="shared" si="40"/>
        <v>4.7619047619047672</v>
      </c>
      <c r="P859" s="6">
        <f t="shared" si="41"/>
        <v>5.6620000000000061</v>
      </c>
      <c r="Q859">
        <f>VALUE(IF(AND(ISERR(FIND(".",'Raw Data'!Q859)),LEN('Raw Data'!Q859)=5), IF(YEAR('Raw Data'!Q859)=2026,CONCATENATE(DAY('Raw Data'!Q859),".",IF(LEN(MONTH('Raw Data'!Q859))=2,MONTH('Raw Data'!Q859),CONCATENATE(MONTH('Raw Data'!Q859)))),CONCATENATE(MONTH('Raw Data'!Q859),".",RIGHT(YEAR('Raw Data'!Q859),2))),'Raw Data'!Q859))</f>
        <v>8.1999999999999993</v>
      </c>
    </row>
    <row r="860" spans="1:17">
      <c r="A860" t="s">
        <v>947</v>
      </c>
      <c r="B860" t="s">
        <v>34</v>
      </c>
      <c r="C860" t="s">
        <v>35</v>
      </c>
      <c r="D860" t="s">
        <v>27</v>
      </c>
      <c r="E860" t="s">
        <v>30</v>
      </c>
      <c r="F860" t="s">
        <v>22</v>
      </c>
      <c r="G860">
        <f>VALUE(IF(AND(ISERR(FIND(".",'Raw Data'!G860)),LEN('Raw Data'!G860)=5), IF(YEAR('Raw Data'!G860)=2026,CONCATENATE(DAY('Raw Data'!G860),".",IF(LEN(MONTH('Raw Data'!G860))=2,MONTH('Raw Data'!G860),CONCATENATE("0",MONTH('Raw Data'!G860)))),CONCATENATE(MONTH('Raw Data'!G860),".",RIGHT(YEAR('Raw Data'!G860),2))),'Raw Data'!G860))</f>
        <v>57.59</v>
      </c>
      <c r="H860">
        <f>'Raw Data'!H860</f>
        <v>6</v>
      </c>
      <c r="I860" s="6">
        <f t="shared" si="39"/>
        <v>17.276999999999987</v>
      </c>
      <c r="J860" s="6">
        <f>'Raw Data'!J860</f>
        <v>362.81700000000001</v>
      </c>
      <c r="K860" s="1">
        <f>VALUE(IFERROR(VALUE('Raw Data'!K860),CONCATENATE(MID('Raw Data'!K860,3,2),".","0",LEFT('Raw Data'!K860,1),".", RIGHT('Raw Data'!K860,4))))</f>
        <v>43511</v>
      </c>
      <c r="L860" s="2">
        <f>'Raw Data'!L860</f>
        <v>0.57708333333333328</v>
      </c>
      <c r="M860" t="s">
        <v>29</v>
      </c>
      <c r="N860">
        <f>VALUE(IF(AND(ISERR(FIND(".",'Raw Data'!N860)),LEN('Raw Data'!N860)=5), IF(YEAR('Raw Data'!N860)=2026,CONCATENATE(DAY('Raw Data'!N860),".",IF(LEN(MONTH('Raw Data'!N860))=2,MONTH('Raw Data'!N860),CONCATENATE("0",MONTH('Raw Data'!N860)))),CONCATENATE(MONTH('Raw Data'!N860),".",RIGHT(YEAR('Raw Data'!N860),2))),'Raw Data'!N860))</f>
        <v>345.54</v>
      </c>
      <c r="O860" s="6">
        <f t="shared" si="40"/>
        <v>4.7619047619047583</v>
      </c>
      <c r="P860" s="6">
        <f t="shared" si="41"/>
        <v>17.276999999999987</v>
      </c>
      <c r="Q860">
        <f>VALUE(IF(AND(ISERR(FIND(".",'Raw Data'!Q860)),LEN('Raw Data'!Q860)=5), IF(YEAR('Raw Data'!Q860)=2026,CONCATENATE(DAY('Raw Data'!Q860),".",IF(LEN(MONTH('Raw Data'!Q860))=2,MONTH('Raw Data'!Q860),CONCATENATE(MONTH('Raw Data'!Q860)))),CONCATENATE(MONTH('Raw Data'!Q860),".",RIGHT(YEAR('Raw Data'!Q860),2))),'Raw Data'!Q860))</f>
        <v>5.0999999999999996</v>
      </c>
    </row>
    <row r="861" spans="1:17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40</v>
      </c>
      <c r="G861">
        <f>VALUE(IF(AND(ISERR(FIND(".",'Raw Data'!G861)),LEN('Raw Data'!G861)=5), IF(YEAR('Raw Data'!G861)=2026,CONCATENATE(DAY('Raw Data'!G861),".",IF(LEN(MONTH('Raw Data'!G861))=2,MONTH('Raw Data'!G861),CONCATENATE("0",MONTH('Raw Data'!G861)))),CONCATENATE(MONTH('Raw Data'!G861),".",RIGHT(YEAR('Raw Data'!G861),2))),'Raw Data'!G861))</f>
        <v>47.63</v>
      </c>
      <c r="H861">
        <f>'Raw Data'!H861</f>
        <v>9</v>
      </c>
      <c r="I861" s="6">
        <f t="shared" si="39"/>
        <v>21.433499999999981</v>
      </c>
      <c r="J861" s="6">
        <f>'Raw Data'!J861</f>
        <v>450.1035</v>
      </c>
      <c r="K861" s="1">
        <f>VALUE(IFERROR(VALUE('Raw Data'!K861),CONCATENATE(MID('Raw Data'!K861,3,2),".","0",LEFT('Raw Data'!K861,1),".", RIGHT('Raw Data'!K861,4))))</f>
        <v>43488</v>
      </c>
      <c r="L861" s="2">
        <f>'Raw Data'!L861</f>
        <v>0.52430555555555558</v>
      </c>
      <c r="M861" t="s">
        <v>29</v>
      </c>
      <c r="N861">
        <f>VALUE(IF(AND(ISERR(FIND(".",'Raw Data'!N861)),LEN('Raw Data'!N861)=5), IF(YEAR('Raw Data'!N861)=2026,CONCATENATE(DAY('Raw Data'!N861),".",IF(LEN(MONTH('Raw Data'!N861))=2,MONTH('Raw Data'!N861),CONCATENATE("0",MONTH('Raw Data'!N861)))),CONCATENATE(MONTH('Raw Data'!N861),".",RIGHT(YEAR('Raw Data'!N861),2))),'Raw Data'!N861))</f>
        <v>428.67</v>
      </c>
      <c r="O861" s="6">
        <f t="shared" si="40"/>
        <v>4.7619047619047574</v>
      </c>
      <c r="P861" s="6">
        <f t="shared" si="41"/>
        <v>21.433499999999981</v>
      </c>
      <c r="Q861">
        <f>VALUE(IF(AND(ISERR(FIND(".",'Raw Data'!Q861)),LEN('Raw Data'!Q861)=5), IF(YEAR('Raw Data'!Q861)=2026,CONCATENATE(DAY('Raw Data'!Q861),".",IF(LEN(MONTH('Raw Data'!Q861))=2,MONTH('Raw Data'!Q861),CONCATENATE(MONTH('Raw Data'!Q861)))),CONCATENATE(MONTH('Raw Data'!Q861),".",RIGHT(YEAR('Raw Data'!Q861),2))),'Raw Data'!Q861))</f>
        <v>5</v>
      </c>
    </row>
    <row r="862" spans="1:17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f>VALUE(IF(AND(ISERR(FIND(".",'Raw Data'!G862)),LEN('Raw Data'!G862)=5), IF(YEAR('Raw Data'!G862)=2026,CONCATENATE(DAY('Raw Data'!G862),".",IF(LEN(MONTH('Raw Data'!G862))=2,MONTH('Raw Data'!G862),CONCATENATE("0",MONTH('Raw Data'!G862)))),CONCATENATE(MONTH('Raw Data'!G862),".",RIGHT(YEAR('Raw Data'!G862),2))),'Raw Data'!G862))</f>
        <v>86.27</v>
      </c>
      <c r="H862">
        <f>'Raw Data'!H862</f>
        <v>1</v>
      </c>
      <c r="I862" s="6">
        <f t="shared" si="39"/>
        <v>4.3135000000000048</v>
      </c>
      <c r="J862" s="6">
        <f>'Raw Data'!J862</f>
        <v>90.583500000000001</v>
      </c>
      <c r="K862" s="1">
        <f>VALUE(IFERROR(VALUE('Raw Data'!K862),CONCATENATE(MID('Raw Data'!K862,3,2),".","0",LEFT('Raw Data'!K862,1),".", RIGHT('Raw Data'!K862,4))))</f>
        <v>43516</v>
      </c>
      <c r="L862" s="2">
        <f>'Raw Data'!L862</f>
        <v>0.55833333333333335</v>
      </c>
      <c r="M862" t="s">
        <v>23</v>
      </c>
      <c r="N862">
        <f>VALUE(IF(AND(ISERR(FIND(".",'Raw Data'!N862)),LEN('Raw Data'!N862)=5), IF(YEAR('Raw Data'!N862)=2026,CONCATENATE(DAY('Raw Data'!N862),".",IF(LEN(MONTH('Raw Data'!N862))=2,MONTH('Raw Data'!N862),CONCATENATE("0",MONTH('Raw Data'!N862)))),CONCATENATE(MONTH('Raw Data'!N862),".",RIGHT(YEAR('Raw Data'!N862),2))),'Raw Data'!N862))</f>
        <v>86.27</v>
      </c>
      <c r="O862" s="6">
        <f t="shared" si="40"/>
        <v>4.7619047619047672</v>
      </c>
      <c r="P862" s="6">
        <f t="shared" si="41"/>
        <v>4.3135000000000048</v>
      </c>
      <c r="Q862">
        <f>VALUE(IF(AND(ISERR(FIND(".",'Raw Data'!Q862)),LEN('Raw Data'!Q862)=5), IF(YEAR('Raw Data'!Q862)=2026,CONCATENATE(DAY('Raw Data'!Q862),".",IF(LEN(MONTH('Raw Data'!Q862))=2,MONTH('Raw Data'!Q862),CONCATENATE(MONTH('Raw Data'!Q862)))),CONCATENATE(MONTH('Raw Data'!Q862),".",RIGHT(YEAR('Raw Data'!Q862),2))),'Raw Data'!Q862))</f>
        <v>7</v>
      </c>
    </row>
    <row r="863" spans="1:17">
      <c r="A863" t="s">
        <v>950</v>
      </c>
      <c r="B863" t="s">
        <v>18</v>
      </c>
      <c r="C863" t="s">
        <v>19</v>
      </c>
      <c r="D863" t="s">
        <v>20</v>
      </c>
      <c r="E863" t="s">
        <v>30</v>
      </c>
      <c r="F863" t="s">
        <v>38</v>
      </c>
      <c r="G863">
        <f>VALUE(IF(AND(ISERR(FIND(".",'Raw Data'!G863)),LEN('Raw Data'!G863)=5), IF(YEAR('Raw Data'!G863)=2026,CONCATENATE(DAY('Raw Data'!G863),".",IF(LEN(MONTH('Raw Data'!G863))=2,MONTH('Raw Data'!G863),CONCATENATE("0",MONTH('Raw Data'!G863)))),CONCATENATE(MONTH('Raw Data'!G863),".",RIGHT(YEAR('Raw Data'!G863),2))),'Raw Data'!G863))</f>
        <v>12.76</v>
      </c>
      <c r="H863">
        <f>'Raw Data'!H863</f>
        <v>2</v>
      </c>
      <c r="I863" s="6">
        <f t="shared" si="39"/>
        <v>1.2759999999999998</v>
      </c>
      <c r="J863" s="6">
        <f>'Raw Data'!J863</f>
        <v>26.795999999999999</v>
      </c>
      <c r="K863" s="1">
        <f>VALUE(IFERROR(VALUE('Raw Data'!K863),CONCATENATE(MID('Raw Data'!K863,3,2),".","0",LEFT('Raw Data'!K863,1),".", RIGHT('Raw Data'!K863,4))))</f>
        <v>43678</v>
      </c>
      <c r="L863" s="2">
        <f>'Raw Data'!L863</f>
        <v>0.75416666666666676</v>
      </c>
      <c r="M863" t="s">
        <v>23</v>
      </c>
      <c r="N863">
        <f>VALUE(IF(AND(ISERR(FIND(".",'Raw Data'!N863)),LEN('Raw Data'!N863)=5), IF(YEAR('Raw Data'!N863)=2026,CONCATENATE(DAY('Raw Data'!N863),".",IF(LEN(MONTH('Raw Data'!N863))=2,MONTH('Raw Data'!N863),CONCATENATE("0",MONTH('Raw Data'!N863)))),CONCATENATE(MONTH('Raw Data'!N863),".",RIGHT(YEAR('Raw Data'!N863),2))),'Raw Data'!N863))</f>
        <v>25.52</v>
      </c>
      <c r="O863" s="6">
        <f t="shared" si="40"/>
        <v>4.761904761904761</v>
      </c>
      <c r="P863" s="6">
        <f t="shared" si="41"/>
        <v>1.2759999999999998</v>
      </c>
      <c r="Q863">
        <f>VALUE(IF(AND(ISERR(FIND(".",'Raw Data'!Q863)),LEN('Raw Data'!Q863)=5), IF(YEAR('Raw Data'!Q863)=2026,CONCATENATE(DAY('Raw Data'!Q863),".",IF(LEN(MONTH('Raw Data'!Q863))=2,MONTH('Raw Data'!Q863),CONCATENATE(MONTH('Raw Data'!Q863)))),CONCATENATE(MONTH('Raw Data'!Q863),".",RIGHT(YEAR('Raw Data'!Q863),2))),'Raw Data'!Q863))</f>
        <v>7.8</v>
      </c>
    </row>
    <row r="864" spans="1:17">
      <c r="A864" t="s">
        <v>951</v>
      </c>
      <c r="B864" t="s">
        <v>34</v>
      </c>
      <c r="C864" t="s">
        <v>35</v>
      </c>
      <c r="D864" t="s">
        <v>27</v>
      </c>
      <c r="E864" t="s">
        <v>21</v>
      </c>
      <c r="F864" t="s">
        <v>32</v>
      </c>
      <c r="G864">
        <f>VALUE(IF(AND(ISERR(FIND(".",'Raw Data'!G864)),LEN('Raw Data'!G864)=5), IF(YEAR('Raw Data'!G864)=2026,CONCATENATE(DAY('Raw Data'!G864),".",IF(LEN(MONTH('Raw Data'!G864))=2,MONTH('Raw Data'!G864),CONCATENATE("0",MONTH('Raw Data'!G864)))),CONCATENATE(MONTH('Raw Data'!G864),".",RIGHT(YEAR('Raw Data'!G864),2))),'Raw Data'!G864))</f>
        <v>11.28</v>
      </c>
      <c r="H864">
        <f>'Raw Data'!H864</f>
        <v>9</v>
      </c>
      <c r="I864" s="6">
        <f t="shared" si="39"/>
        <v>5.0760000000000076</v>
      </c>
      <c r="J864" s="6">
        <f>'Raw Data'!J864</f>
        <v>106.596</v>
      </c>
      <c r="K864" s="1">
        <f>VALUE(IFERROR(VALUE('Raw Data'!K864),CONCATENATE(MID('Raw Data'!K864,3,2),".","0",LEFT('Raw Data'!K864,1),".", RIGHT('Raw Data'!K864,4))))</f>
        <v>43541</v>
      </c>
      <c r="L864" s="2">
        <f>'Raw Data'!L864</f>
        <v>0.49652777777777773</v>
      </c>
      <c r="M864" t="s">
        <v>33</v>
      </c>
      <c r="N864">
        <f>VALUE(IF(AND(ISERR(FIND(".",'Raw Data'!N864)),LEN('Raw Data'!N864)=5), IF(YEAR('Raw Data'!N864)=2026,CONCATENATE(DAY('Raw Data'!N864),".",IF(LEN(MONTH('Raw Data'!N864))=2,MONTH('Raw Data'!N864),CONCATENATE("0",MONTH('Raw Data'!N864)))),CONCATENATE(MONTH('Raw Data'!N864),".",RIGHT(YEAR('Raw Data'!N864),2))),'Raw Data'!N864))</f>
        <v>101.52</v>
      </c>
      <c r="O864" s="6">
        <f t="shared" si="40"/>
        <v>4.761904761904769</v>
      </c>
      <c r="P864" s="6">
        <f t="shared" si="41"/>
        <v>5.0760000000000076</v>
      </c>
      <c r="Q864">
        <f>VALUE(IF(AND(ISERR(FIND(".",'Raw Data'!Q864)),LEN('Raw Data'!Q864)=5), IF(YEAR('Raw Data'!Q864)=2026,CONCATENATE(DAY('Raw Data'!Q864),".",IF(LEN(MONTH('Raw Data'!Q864))=2,MONTH('Raw Data'!Q864),CONCATENATE(MONTH('Raw Data'!Q864)))),CONCATENATE(MONTH('Raw Data'!Q864),".",RIGHT(YEAR('Raw Data'!Q864),2))),'Raw Data'!Q864))</f>
        <v>4.3</v>
      </c>
    </row>
    <row r="865" spans="1:17">
      <c r="A865" t="s">
        <v>952</v>
      </c>
      <c r="B865" t="s">
        <v>34</v>
      </c>
      <c r="C865" t="s">
        <v>35</v>
      </c>
      <c r="D865" t="s">
        <v>27</v>
      </c>
      <c r="E865" t="s">
        <v>21</v>
      </c>
      <c r="F865" t="s">
        <v>32</v>
      </c>
      <c r="G865">
        <f>VALUE(IF(AND(ISERR(FIND(".",'Raw Data'!G865)),LEN('Raw Data'!G865)=5), IF(YEAR('Raw Data'!G865)=2026,CONCATENATE(DAY('Raw Data'!G865),".",IF(LEN(MONTH('Raw Data'!G865))=2,MONTH('Raw Data'!G865),CONCATENATE("0",MONTH('Raw Data'!G865)))),CONCATENATE(MONTH('Raw Data'!G865),".",RIGHT(YEAR('Raw Data'!G865),2))),'Raw Data'!G865))</f>
        <v>51.07</v>
      </c>
      <c r="H865">
        <f>'Raw Data'!H865</f>
        <v>7</v>
      </c>
      <c r="I865" s="6">
        <f t="shared" si="39"/>
        <v>17.874500000000012</v>
      </c>
      <c r="J865" s="6">
        <f>'Raw Data'!J865</f>
        <v>375.36450000000002</v>
      </c>
      <c r="K865" s="1">
        <f>VALUE(IFERROR(VALUE('Raw Data'!K865),CONCATENATE(MID('Raw Data'!K865,3,2),".","0",LEFT('Raw Data'!K865,1),".", RIGHT('Raw Data'!K865,4))))</f>
        <v>43800</v>
      </c>
      <c r="L865" s="2">
        <f>'Raw Data'!L865</f>
        <v>0.48749999999999999</v>
      </c>
      <c r="M865" t="s">
        <v>29</v>
      </c>
      <c r="N865">
        <f>VALUE(IF(AND(ISERR(FIND(".",'Raw Data'!N865)),LEN('Raw Data'!N865)=5), IF(YEAR('Raw Data'!N865)=2026,CONCATENATE(DAY('Raw Data'!N865),".",IF(LEN(MONTH('Raw Data'!N865))=2,MONTH('Raw Data'!N865),CONCATENATE("0",MONTH('Raw Data'!N865)))),CONCATENATE(MONTH('Raw Data'!N865),".",RIGHT(YEAR('Raw Data'!N865),2))),'Raw Data'!N865))</f>
        <v>357.49</v>
      </c>
      <c r="O865" s="6">
        <f t="shared" si="40"/>
        <v>4.7619047619047654</v>
      </c>
      <c r="P865" s="6">
        <f t="shared" si="41"/>
        <v>17.874500000000012</v>
      </c>
      <c r="Q865">
        <f>VALUE(IF(AND(ISERR(FIND(".",'Raw Data'!Q865)),LEN('Raw Data'!Q865)=5), IF(YEAR('Raw Data'!Q865)=2026,CONCATENATE(DAY('Raw Data'!Q865),".",IF(LEN(MONTH('Raw Data'!Q865))=2,MONTH('Raw Data'!Q865),CONCATENATE(MONTH('Raw Data'!Q865)))),CONCATENATE(MONTH('Raw Data'!Q865),".",RIGHT(YEAR('Raw Data'!Q865),2))),'Raw Data'!Q865))</f>
        <v>7</v>
      </c>
    </row>
    <row r="866" spans="1:17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f>VALUE(IF(AND(ISERR(FIND(".",'Raw Data'!G866)),LEN('Raw Data'!G866)=5), IF(YEAR('Raw Data'!G866)=2026,CONCATENATE(DAY('Raw Data'!G866),".",IF(LEN(MONTH('Raw Data'!G866))=2,MONTH('Raw Data'!G866),CONCATENATE("0",MONTH('Raw Data'!G866)))),CONCATENATE(MONTH('Raw Data'!G866),".",RIGHT(YEAR('Raw Data'!G866),2))),'Raw Data'!G866))</f>
        <v>79.59</v>
      </c>
      <c r="H866">
        <f>'Raw Data'!H866</f>
        <v>3</v>
      </c>
      <c r="I866" s="6">
        <f t="shared" si="39"/>
        <v>11.938499999999976</v>
      </c>
      <c r="J866" s="6">
        <f>'Raw Data'!J866</f>
        <v>250.70849999999999</v>
      </c>
      <c r="K866" s="1">
        <f>VALUE(IFERROR(VALUE('Raw Data'!K866),CONCATENATE(MID('Raw Data'!K866,3,2),".","0",LEFT('Raw Data'!K866,1),".", RIGHT('Raw Data'!K866,4))))</f>
        <v>43678</v>
      </c>
      <c r="L866" s="2">
        <f>'Raw Data'!L866</f>
        <v>0.60416666666666663</v>
      </c>
      <c r="M866" t="s">
        <v>29</v>
      </c>
      <c r="N866">
        <f>VALUE(IF(AND(ISERR(FIND(".",'Raw Data'!N866)),LEN('Raw Data'!N866)=5), IF(YEAR('Raw Data'!N866)=2026,CONCATENATE(DAY('Raw Data'!N866),".",IF(LEN(MONTH('Raw Data'!N866))=2,MONTH('Raw Data'!N866),CONCATENATE("0",MONTH('Raw Data'!N866)))),CONCATENATE(MONTH('Raw Data'!N866),".",RIGHT(YEAR('Raw Data'!N866),2))),'Raw Data'!N866))</f>
        <v>238.77</v>
      </c>
      <c r="O866" s="6">
        <f t="shared" si="40"/>
        <v>4.761904761904753</v>
      </c>
      <c r="P866" s="6">
        <f t="shared" si="41"/>
        <v>11.938499999999976</v>
      </c>
      <c r="Q866">
        <f>VALUE(IF(AND(ISERR(FIND(".",'Raw Data'!Q866)),LEN('Raw Data'!Q866)=5), IF(YEAR('Raw Data'!Q866)=2026,CONCATENATE(DAY('Raw Data'!Q866),".",IF(LEN(MONTH('Raw Data'!Q866))=2,MONTH('Raw Data'!Q866),CONCATENATE(MONTH('Raw Data'!Q866)))),CONCATENATE(MONTH('Raw Data'!Q866),".",RIGHT(YEAR('Raw Data'!Q866),2))),'Raw Data'!Q866))</f>
        <v>6.6</v>
      </c>
    </row>
    <row r="867" spans="1:17">
      <c r="A867" t="s">
        <v>954</v>
      </c>
      <c r="B867" t="s">
        <v>25</v>
      </c>
      <c r="C867" t="s">
        <v>26</v>
      </c>
      <c r="D867" t="s">
        <v>20</v>
      </c>
      <c r="E867" t="s">
        <v>30</v>
      </c>
      <c r="F867" t="s">
        <v>22</v>
      </c>
      <c r="G867">
        <f>VALUE(IF(AND(ISERR(FIND(".",'Raw Data'!G867)),LEN('Raw Data'!G867)=5), IF(YEAR('Raw Data'!G867)=2026,CONCATENATE(DAY('Raw Data'!G867),".",IF(LEN(MONTH('Raw Data'!G867))=2,MONTH('Raw Data'!G867),CONCATENATE("0",MONTH('Raw Data'!G867)))),CONCATENATE(MONTH('Raw Data'!G867),".",RIGHT(YEAR('Raw Data'!G867),2))),'Raw Data'!G867))</f>
        <v>33.81</v>
      </c>
      <c r="H867">
        <f>'Raw Data'!H867</f>
        <v>3</v>
      </c>
      <c r="I867" s="6">
        <f t="shared" si="39"/>
        <v>5.0714999999999861</v>
      </c>
      <c r="J867" s="6">
        <f>'Raw Data'!J867</f>
        <v>106.50149999999999</v>
      </c>
      <c r="K867" s="1">
        <f>VALUE(IFERROR(VALUE('Raw Data'!K867),CONCATENATE(MID('Raw Data'!K867,3,2),".","0",LEFT('Raw Data'!K867,1),".", RIGHT('Raw Data'!K867,4))))</f>
        <v>43491</v>
      </c>
      <c r="L867" s="2">
        <f>'Raw Data'!L867</f>
        <v>0.63263888888888886</v>
      </c>
      <c r="M867" t="s">
        <v>23</v>
      </c>
      <c r="N867">
        <f>VALUE(IF(AND(ISERR(FIND(".",'Raw Data'!N867)),LEN('Raw Data'!N867)=5), IF(YEAR('Raw Data'!N867)=2026,CONCATENATE(DAY('Raw Data'!N867),".",IF(LEN(MONTH('Raw Data'!N867))=2,MONTH('Raw Data'!N867),CONCATENATE("0",MONTH('Raw Data'!N867)))),CONCATENATE(MONTH('Raw Data'!N867),".",RIGHT(YEAR('Raw Data'!N867),2))),'Raw Data'!N867))</f>
        <v>101.43</v>
      </c>
      <c r="O867" s="6">
        <f t="shared" si="40"/>
        <v>4.7619047619047494</v>
      </c>
      <c r="P867" s="6">
        <f t="shared" si="41"/>
        <v>5.0714999999999861</v>
      </c>
      <c r="Q867">
        <f>VALUE(IF(AND(ISERR(FIND(".",'Raw Data'!Q867)),LEN('Raw Data'!Q867)=5), IF(YEAR('Raw Data'!Q867)=2026,CONCATENATE(DAY('Raw Data'!Q867),".",IF(LEN(MONTH('Raw Data'!Q867))=2,MONTH('Raw Data'!Q867),CONCATENATE(MONTH('Raw Data'!Q867)))),CONCATENATE(MONTH('Raw Data'!Q867),".",RIGHT(YEAR('Raw Data'!Q867),2))),'Raw Data'!Q867))</f>
        <v>7.3</v>
      </c>
    </row>
    <row r="868" spans="1:17">
      <c r="A868" t="s">
        <v>955</v>
      </c>
      <c r="B868" t="s">
        <v>34</v>
      </c>
      <c r="C868" t="s">
        <v>35</v>
      </c>
      <c r="D868" t="s">
        <v>20</v>
      </c>
      <c r="E868" t="s">
        <v>30</v>
      </c>
      <c r="F868" t="s">
        <v>38</v>
      </c>
      <c r="G868">
        <f>VALUE(IF(AND(ISERR(FIND(".",'Raw Data'!G868)),LEN('Raw Data'!G868)=5), IF(YEAR('Raw Data'!G868)=2026,CONCATENATE(DAY('Raw Data'!G868),".",IF(LEN(MONTH('Raw Data'!G868))=2,MONTH('Raw Data'!G868),CONCATENATE("0",MONTH('Raw Data'!G868)))),CONCATENATE(MONTH('Raw Data'!G868),".",RIGHT(YEAR('Raw Data'!G868),2))),'Raw Data'!G868))</f>
        <v>90.53</v>
      </c>
      <c r="H868">
        <f>'Raw Data'!H868</f>
        <v>8</v>
      </c>
      <c r="I868" s="6">
        <f t="shared" si="39"/>
        <v>36.211999999999989</v>
      </c>
      <c r="J868" s="6">
        <f>'Raw Data'!J868</f>
        <v>760.452</v>
      </c>
      <c r="K868" s="1">
        <f>VALUE(IFERROR(VALUE('Raw Data'!K868),CONCATENATE(MID('Raw Data'!K868,3,2),".","0",LEFT('Raw Data'!K868,1),".", RIGHT('Raw Data'!K868,4))))</f>
        <v>43539</v>
      </c>
      <c r="L868" s="2">
        <f>'Raw Data'!L868</f>
        <v>0.6166666666666667</v>
      </c>
      <c r="M868" t="s">
        <v>33</v>
      </c>
      <c r="N868">
        <f>VALUE(IF(AND(ISERR(FIND(".",'Raw Data'!N868)),LEN('Raw Data'!N868)=5), IF(YEAR('Raw Data'!N868)=2026,CONCATENATE(DAY('Raw Data'!N868),".",IF(LEN(MONTH('Raw Data'!N868))=2,MONTH('Raw Data'!N868),CONCATENATE("0",MONTH('Raw Data'!N868)))),CONCATENATE(MONTH('Raw Data'!N868),".",RIGHT(YEAR('Raw Data'!N868),2))),'Raw Data'!N868))</f>
        <v>724.24</v>
      </c>
      <c r="O868" s="6">
        <f t="shared" si="40"/>
        <v>4.7619047619047601</v>
      </c>
      <c r="P868" s="6">
        <f t="shared" si="41"/>
        <v>36.211999999999989</v>
      </c>
      <c r="Q868">
        <f>VALUE(IF(AND(ISERR(FIND(".",'Raw Data'!Q868)),LEN('Raw Data'!Q868)=5), IF(YEAR('Raw Data'!Q868)=2026,CONCATENATE(DAY('Raw Data'!Q868),".",IF(LEN(MONTH('Raw Data'!Q868))=2,MONTH('Raw Data'!Q868),CONCATENATE(MONTH('Raw Data'!Q868)))),CONCATENATE(MONTH('Raw Data'!Q868),".",RIGHT(YEAR('Raw Data'!Q868),2))),'Raw Data'!Q868))</f>
        <v>6.5</v>
      </c>
    </row>
    <row r="869" spans="1:17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f>VALUE(IF(AND(ISERR(FIND(".",'Raw Data'!G869)),LEN('Raw Data'!G869)=5), IF(YEAR('Raw Data'!G869)=2026,CONCATENATE(DAY('Raw Data'!G869),".",IF(LEN(MONTH('Raw Data'!G869))=2,MONTH('Raw Data'!G869),CONCATENATE("0",MONTH('Raw Data'!G869)))),CONCATENATE(MONTH('Raw Data'!G869),".",RIGHT(YEAR('Raw Data'!G869),2))),'Raw Data'!G869))</f>
        <v>62.82</v>
      </c>
      <c r="H869">
        <f>'Raw Data'!H869</f>
        <v>2</v>
      </c>
      <c r="I869" s="6">
        <f t="shared" si="39"/>
        <v>6.2819999999999965</v>
      </c>
      <c r="J869" s="6">
        <f>'Raw Data'!J869</f>
        <v>131.922</v>
      </c>
      <c r="K869" s="1">
        <f>VALUE(IFERROR(VALUE('Raw Data'!K869),CONCATENATE(MID('Raw Data'!K869,3,2),".","0",LEFT('Raw Data'!K869,1),".", RIGHT('Raw Data'!K869,4))))</f>
        <v>43482</v>
      </c>
      <c r="L869" s="2">
        <f>'Raw Data'!L869</f>
        <v>0.52500000000000002</v>
      </c>
      <c r="M869" t="s">
        <v>23</v>
      </c>
      <c r="N869">
        <f>VALUE(IF(AND(ISERR(FIND(".",'Raw Data'!N869)),LEN('Raw Data'!N869)=5), IF(YEAR('Raw Data'!N869)=2026,CONCATENATE(DAY('Raw Data'!N869),".",IF(LEN(MONTH('Raw Data'!N869))=2,MONTH('Raw Data'!N869),CONCATENATE("0",MONTH('Raw Data'!N869)))),CONCATENATE(MONTH('Raw Data'!N869),".",RIGHT(YEAR('Raw Data'!N869),2))),'Raw Data'!N869))</f>
        <v>125.64</v>
      </c>
      <c r="O869" s="6">
        <f t="shared" si="40"/>
        <v>4.7619047619047592</v>
      </c>
      <c r="P869" s="6">
        <f t="shared" si="41"/>
        <v>6.2819999999999965</v>
      </c>
      <c r="Q869">
        <f>VALUE(IF(AND(ISERR(FIND(".",'Raw Data'!Q869)),LEN('Raw Data'!Q869)=5), IF(YEAR('Raw Data'!Q869)=2026,CONCATENATE(DAY('Raw Data'!Q869),".",IF(LEN(MONTH('Raw Data'!Q869))=2,MONTH('Raw Data'!Q869),CONCATENATE(MONTH('Raw Data'!Q869)))),CONCATENATE(MONTH('Raw Data'!Q869),".",RIGHT(YEAR('Raw Data'!Q869),2))),'Raw Data'!Q869))</f>
        <v>4.9000000000000004</v>
      </c>
    </row>
    <row r="870" spans="1:17">
      <c r="A870" t="s">
        <v>957</v>
      </c>
      <c r="B870" t="s">
        <v>25</v>
      </c>
      <c r="C870" t="s">
        <v>26</v>
      </c>
      <c r="D870" t="s">
        <v>20</v>
      </c>
      <c r="E870" t="s">
        <v>30</v>
      </c>
      <c r="F870" t="s">
        <v>40</v>
      </c>
      <c r="G870">
        <f>VALUE(IF(AND(ISERR(FIND(".",'Raw Data'!G870)),LEN('Raw Data'!G870)=5), IF(YEAR('Raw Data'!G870)=2026,CONCATENATE(DAY('Raw Data'!G870),".",IF(LEN(MONTH('Raw Data'!G870))=2,MONTH('Raw Data'!G870),CONCATENATE("0",MONTH('Raw Data'!G870)))),CONCATENATE(MONTH('Raw Data'!G870),".",RIGHT(YEAR('Raw Data'!G870),2))),'Raw Data'!G870))</f>
        <v>24.31</v>
      </c>
      <c r="H870">
        <f>'Raw Data'!H870</f>
        <v>3</v>
      </c>
      <c r="I870" s="6">
        <f t="shared" si="39"/>
        <v>3.6465000000000032</v>
      </c>
      <c r="J870" s="6">
        <f>'Raw Data'!J870</f>
        <v>76.576499999999996</v>
      </c>
      <c r="K870" s="1">
        <f>VALUE(IFERROR(VALUE('Raw Data'!K870),CONCATENATE(MID('Raw Data'!K870,3,2),".","0",LEFT('Raw Data'!K870,1),".", RIGHT('Raw Data'!K870,4))))</f>
        <v>43678</v>
      </c>
      <c r="L870" s="2">
        <f>'Raw Data'!L870</f>
        <v>0.79791666666666661</v>
      </c>
      <c r="M870" t="s">
        <v>33</v>
      </c>
      <c r="N870">
        <f>VALUE(IF(AND(ISERR(FIND(".",'Raw Data'!N870)),LEN('Raw Data'!N870)=5), IF(YEAR('Raw Data'!N870)=2026,CONCATENATE(DAY('Raw Data'!N870),".",IF(LEN(MONTH('Raw Data'!N870))=2,MONTH('Raw Data'!N870),CONCATENATE("0",MONTH('Raw Data'!N870)))),CONCATENATE(MONTH('Raw Data'!N870),".",RIGHT(YEAR('Raw Data'!N870),2))),'Raw Data'!N870))</f>
        <v>72.930000000000007</v>
      </c>
      <c r="O870" s="6">
        <f t="shared" si="40"/>
        <v>4.7619047619047477</v>
      </c>
      <c r="P870" s="6">
        <f t="shared" si="41"/>
        <v>3.646499999999989</v>
      </c>
      <c r="Q870">
        <f>VALUE(IF(AND(ISERR(FIND(".",'Raw Data'!Q870)),LEN('Raw Data'!Q870)=5), IF(YEAR('Raw Data'!Q870)=2026,CONCATENATE(DAY('Raw Data'!Q870),".",IF(LEN(MONTH('Raw Data'!Q870))=2,MONTH('Raw Data'!Q870),CONCATENATE(MONTH('Raw Data'!Q870)))),CONCATENATE(MONTH('Raw Data'!Q870),".",RIGHT(YEAR('Raw Data'!Q870),2))),'Raw Data'!Q870))</f>
        <v>4.3</v>
      </c>
    </row>
    <row r="871" spans="1:17">
      <c r="A871" t="s">
        <v>958</v>
      </c>
      <c r="B871" t="s">
        <v>18</v>
      </c>
      <c r="C871" t="s">
        <v>19</v>
      </c>
      <c r="D871" t="s">
        <v>27</v>
      </c>
      <c r="E871" t="s">
        <v>30</v>
      </c>
      <c r="F871" t="s">
        <v>38</v>
      </c>
      <c r="G871">
        <f>VALUE(IF(AND(ISERR(FIND(".",'Raw Data'!G871)),LEN('Raw Data'!G871)=5), IF(YEAR('Raw Data'!G871)=2026,CONCATENATE(DAY('Raw Data'!G871),".",IF(LEN(MONTH('Raw Data'!G871))=2,MONTH('Raw Data'!G871),CONCATENATE("0",MONTH('Raw Data'!G871)))),CONCATENATE(MONTH('Raw Data'!G871),".",RIGHT(YEAR('Raw Data'!G871),2))),'Raw Data'!G871))</f>
        <v>64.59</v>
      </c>
      <c r="H871">
        <f>'Raw Data'!H871</f>
        <v>4</v>
      </c>
      <c r="I871" s="6">
        <f t="shared" si="39"/>
        <v>12.918000000000006</v>
      </c>
      <c r="J871" s="6">
        <f>'Raw Data'!J871</f>
        <v>271.27800000000002</v>
      </c>
      <c r="K871" s="1">
        <f>VALUE(IFERROR(VALUE('Raw Data'!K871),CONCATENATE(MID('Raw Data'!K871,3,2),".","0",LEFT('Raw Data'!K871,1),".", RIGHT('Raw Data'!K871,4))))</f>
        <v>43617</v>
      </c>
      <c r="L871" s="2">
        <f>'Raw Data'!L871</f>
        <v>0.56597222222222221</v>
      </c>
      <c r="M871" t="s">
        <v>23</v>
      </c>
      <c r="N871">
        <f>VALUE(IF(AND(ISERR(FIND(".",'Raw Data'!N871)),LEN('Raw Data'!N871)=5), IF(YEAR('Raw Data'!N871)=2026,CONCATENATE(DAY('Raw Data'!N871),".",IF(LEN(MONTH('Raw Data'!N871))=2,MONTH('Raw Data'!N871),CONCATENATE("0",MONTH('Raw Data'!N871)))),CONCATENATE(MONTH('Raw Data'!N871),".",RIGHT(YEAR('Raw Data'!N871),2))),'Raw Data'!N871))</f>
        <v>258.36</v>
      </c>
      <c r="O871" s="6">
        <f t="shared" si="40"/>
        <v>4.7619047619047636</v>
      </c>
      <c r="P871" s="6">
        <f t="shared" si="41"/>
        <v>12.918000000000006</v>
      </c>
      <c r="Q871">
        <f>VALUE(IF(AND(ISERR(FIND(".",'Raw Data'!Q871)),LEN('Raw Data'!Q871)=5), IF(YEAR('Raw Data'!Q871)=2026,CONCATENATE(DAY('Raw Data'!Q871),".",IF(LEN(MONTH('Raw Data'!Q871))=2,MONTH('Raw Data'!Q871),CONCATENATE(MONTH('Raw Data'!Q871)))),CONCATENATE(MONTH('Raw Data'!Q871),".",RIGHT(YEAR('Raw Data'!Q871),2))),'Raw Data'!Q871))</f>
        <v>9.3000000000000007</v>
      </c>
    </row>
    <row r="872" spans="1:17">
      <c r="A872" t="s">
        <v>959</v>
      </c>
      <c r="B872" t="s">
        <v>18</v>
      </c>
      <c r="C872" t="s">
        <v>19</v>
      </c>
      <c r="D872" t="s">
        <v>20</v>
      </c>
      <c r="E872" t="s">
        <v>30</v>
      </c>
      <c r="F872" t="s">
        <v>40</v>
      </c>
      <c r="G872">
        <f>VALUE(IF(AND(ISERR(FIND(".",'Raw Data'!G872)),LEN('Raw Data'!G872)=5), IF(YEAR('Raw Data'!G872)=2026,CONCATENATE(DAY('Raw Data'!G872),".",IF(LEN(MONTH('Raw Data'!G872))=2,MONTH('Raw Data'!G872),CONCATENATE("0",MONTH('Raw Data'!G872)))),CONCATENATE(MONTH('Raw Data'!G872),".",RIGHT(YEAR('Raw Data'!G872),2))),'Raw Data'!G872))</f>
        <v>24.82</v>
      </c>
      <c r="H872">
        <f>'Raw Data'!H872</f>
        <v>7</v>
      </c>
      <c r="I872" s="6">
        <f t="shared" si="39"/>
        <v>8.6869999999999834</v>
      </c>
      <c r="J872" s="6">
        <f>'Raw Data'!J872</f>
        <v>182.42699999999999</v>
      </c>
      <c r="K872" s="1">
        <f>VALUE(IFERROR(VALUE('Raw Data'!K872),CONCATENATE(MID('Raw Data'!K872,3,2),".","0",LEFT('Raw Data'!K872,1),".", RIGHT('Raw Data'!K872,4))))</f>
        <v>43512</v>
      </c>
      <c r="L872" s="2">
        <f>'Raw Data'!L872</f>
        <v>0.43958333333333338</v>
      </c>
      <c r="M872" t="s">
        <v>33</v>
      </c>
      <c r="N872">
        <f>VALUE(IF(AND(ISERR(FIND(".",'Raw Data'!N872)),LEN('Raw Data'!N872)=5), IF(YEAR('Raw Data'!N872)=2026,CONCATENATE(DAY('Raw Data'!N872),".",IF(LEN(MONTH('Raw Data'!N872))=2,MONTH('Raw Data'!N872),CONCATENATE("0",MONTH('Raw Data'!N872)))),CONCATENATE(MONTH('Raw Data'!N872),".",RIGHT(YEAR('Raw Data'!N872),2))),'Raw Data'!N872))</f>
        <v>173.74</v>
      </c>
      <c r="O872" s="6">
        <f t="shared" si="40"/>
        <v>4.761904761904753</v>
      </c>
      <c r="P872" s="6">
        <f t="shared" si="41"/>
        <v>8.6869999999999834</v>
      </c>
      <c r="Q872">
        <f>VALUE(IF(AND(ISERR(FIND(".",'Raw Data'!Q872)),LEN('Raw Data'!Q872)=5), IF(YEAR('Raw Data'!Q872)=2026,CONCATENATE(DAY('Raw Data'!Q872),".",IF(LEN(MONTH('Raw Data'!Q872))=2,MONTH('Raw Data'!Q872),CONCATENATE(MONTH('Raw Data'!Q872)))),CONCATENATE(MONTH('Raw Data'!Q872),".",RIGHT(YEAR('Raw Data'!Q872),2))),'Raw Data'!Q872))</f>
        <v>7.1</v>
      </c>
    </row>
    <row r="873" spans="1:17">
      <c r="A873" t="s">
        <v>960</v>
      </c>
      <c r="B873" t="s">
        <v>25</v>
      </c>
      <c r="C873" t="s">
        <v>26</v>
      </c>
      <c r="D873" t="s">
        <v>27</v>
      </c>
      <c r="E873" t="s">
        <v>30</v>
      </c>
      <c r="F873" t="s">
        <v>43</v>
      </c>
      <c r="G873">
        <f>VALUE(IF(AND(ISERR(FIND(".",'Raw Data'!G873)),LEN('Raw Data'!G873)=5), IF(YEAR('Raw Data'!G873)=2026,CONCATENATE(DAY('Raw Data'!G873),".",IF(LEN(MONTH('Raw Data'!G873))=2,MONTH('Raw Data'!G873),CONCATENATE("0",MONTH('Raw Data'!G873)))),CONCATENATE(MONTH('Raw Data'!G873),".",RIGHT(YEAR('Raw Data'!G873),2))),'Raw Data'!G873))</f>
        <v>56.5</v>
      </c>
      <c r="H873">
        <f>'Raw Data'!H873</f>
        <v>1</v>
      </c>
      <c r="I873" s="6">
        <f t="shared" si="39"/>
        <v>2.8250000000000028</v>
      </c>
      <c r="J873" s="6">
        <f>'Raw Data'!J873</f>
        <v>59.325000000000003</v>
      </c>
      <c r="K873" s="1">
        <f>VALUE(IFERROR(VALUE('Raw Data'!K873),CONCATENATE(MID('Raw Data'!K873,3,2),".","0",LEFT('Raw Data'!K873,1),".", RIGHT('Raw Data'!K873,4))))</f>
        <v>43537</v>
      </c>
      <c r="L873" s="2">
        <f>'Raw Data'!L873</f>
        <v>0.65625</v>
      </c>
      <c r="M873" t="s">
        <v>23</v>
      </c>
      <c r="N873">
        <f>VALUE(IF(AND(ISERR(FIND(".",'Raw Data'!N873)),LEN('Raw Data'!N873)=5), IF(YEAR('Raw Data'!N873)=2026,CONCATENATE(DAY('Raw Data'!N873),".",IF(LEN(MONTH('Raw Data'!N873))=2,MONTH('Raw Data'!N873),CONCATENATE("0",MONTH('Raw Data'!N873)))),CONCATENATE(MONTH('Raw Data'!N873),".",RIGHT(YEAR('Raw Data'!N873),2))),'Raw Data'!N873))</f>
        <v>56.5</v>
      </c>
      <c r="O873" s="6">
        <f t="shared" si="40"/>
        <v>4.7619047619047663</v>
      </c>
      <c r="P873" s="6">
        <f t="shared" si="41"/>
        <v>2.8250000000000028</v>
      </c>
      <c r="Q873">
        <f>VALUE(IF(AND(ISERR(FIND(".",'Raw Data'!Q873)),LEN('Raw Data'!Q873)=5), IF(YEAR('Raw Data'!Q873)=2026,CONCATENATE(DAY('Raw Data'!Q873),".",IF(LEN(MONTH('Raw Data'!Q873))=2,MONTH('Raw Data'!Q873),CONCATENATE(MONTH('Raw Data'!Q873)))),CONCATENATE(MONTH('Raw Data'!Q873),".",RIGHT(YEAR('Raw Data'!Q873),2))),'Raw Data'!Q873))</f>
        <v>9.6</v>
      </c>
    </row>
    <row r="874" spans="1:17">
      <c r="A874" t="s">
        <v>961</v>
      </c>
      <c r="B874" t="s">
        <v>34</v>
      </c>
      <c r="C874" t="s">
        <v>35</v>
      </c>
      <c r="D874" t="s">
        <v>20</v>
      </c>
      <c r="E874" t="s">
        <v>21</v>
      </c>
      <c r="F874" t="s">
        <v>28</v>
      </c>
      <c r="G874">
        <f>VALUE(IF(AND(ISERR(FIND(".",'Raw Data'!G874)),LEN('Raw Data'!G874)=5), IF(YEAR('Raw Data'!G874)=2026,CONCATENATE(DAY('Raw Data'!G874),".",IF(LEN(MONTH('Raw Data'!G874))=2,MONTH('Raw Data'!G874),CONCATENATE("0",MONTH('Raw Data'!G874)))),CONCATENATE(MONTH('Raw Data'!G874),".",RIGHT(YEAR('Raw Data'!G874),2))),'Raw Data'!G874))</f>
        <v>21.43</v>
      </c>
      <c r="H874">
        <f>'Raw Data'!H874</f>
        <v>10</v>
      </c>
      <c r="I874" s="6">
        <f t="shared" si="39"/>
        <v>10.714999999999975</v>
      </c>
      <c r="J874" s="6">
        <f>'Raw Data'!J874</f>
        <v>225.01499999999999</v>
      </c>
      <c r="K874" s="1">
        <f>VALUE(IFERROR(VALUE('Raw Data'!K874),CONCATENATE(MID('Raw Data'!K874,3,2),".","0",LEFT('Raw Data'!K874,1),".", RIGHT('Raw Data'!K874,4))))</f>
        <v>43493</v>
      </c>
      <c r="L874" s="2">
        <f>'Raw Data'!L874</f>
        <v>0.49374999999999997</v>
      </c>
      <c r="M874" t="s">
        <v>29</v>
      </c>
      <c r="N874">
        <f>VALUE(IF(AND(ISERR(FIND(".",'Raw Data'!N874)),LEN('Raw Data'!N874)=5), IF(YEAR('Raw Data'!N874)=2026,CONCATENATE(DAY('Raw Data'!N874),".",IF(LEN(MONTH('Raw Data'!N874))=2,MONTH('Raw Data'!N874),CONCATENATE("0",MONTH('Raw Data'!N874)))),CONCATENATE(MONTH('Raw Data'!N874),".",RIGHT(YEAR('Raw Data'!N874),2))),'Raw Data'!N874))</f>
        <v>214.3</v>
      </c>
      <c r="O874" s="6">
        <f t="shared" si="40"/>
        <v>4.7619047619047512</v>
      </c>
      <c r="P874" s="6">
        <f t="shared" si="41"/>
        <v>10.714999999999975</v>
      </c>
      <c r="Q874">
        <f>VALUE(IF(AND(ISERR(FIND(".",'Raw Data'!Q874)),LEN('Raw Data'!Q874)=5), IF(YEAR('Raw Data'!Q874)=2026,CONCATENATE(DAY('Raw Data'!Q874),".",IF(LEN(MONTH('Raw Data'!Q874))=2,MONTH('Raw Data'!Q874),CONCATENATE(MONTH('Raw Data'!Q874)))),CONCATENATE(MONTH('Raw Data'!Q874),".",RIGHT(YEAR('Raw Data'!Q874),2))),'Raw Data'!Q874))</f>
        <v>6.2</v>
      </c>
    </row>
    <row r="875" spans="1:17">
      <c r="A875" t="s">
        <v>962</v>
      </c>
      <c r="B875" t="s">
        <v>18</v>
      </c>
      <c r="C875" t="s">
        <v>19</v>
      </c>
      <c r="D875" t="s">
        <v>20</v>
      </c>
      <c r="E875" t="s">
        <v>30</v>
      </c>
      <c r="F875" t="s">
        <v>38</v>
      </c>
      <c r="G875">
        <f>VALUE(IF(AND(ISERR(FIND(".",'Raw Data'!G875)),LEN('Raw Data'!G875)=5), IF(YEAR('Raw Data'!G875)=2026,CONCATENATE(DAY('Raw Data'!G875),".",IF(LEN(MONTH('Raw Data'!G875))=2,MONTH('Raw Data'!G875),CONCATENATE("0",MONTH('Raw Data'!G875)))),CONCATENATE(MONTH('Raw Data'!G875),".",RIGHT(YEAR('Raw Data'!G875),2))),'Raw Data'!G875))</f>
        <v>89.06</v>
      </c>
      <c r="H875">
        <f>'Raw Data'!H875</f>
        <v>6</v>
      </c>
      <c r="I875" s="6">
        <f t="shared" si="39"/>
        <v>26.717999999999961</v>
      </c>
      <c r="J875" s="6">
        <f>'Raw Data'!J875</f>
        <v>561.07799999999997</v>
      </c>
      <c r="K875" s="1">
        <f>VALUE(IFERROR(VALUE('Raw Data'!K875),CONCATENATE(MID('Raw Data'!K875,3,2),".","0",LEFT('Raw Data'!K875,1),".", RIGHT('Raw Data'!K875,4))))</f>
        <v>43483</v>
      </c>
      <c r="L875" s="2">
        <f>'Raw Data'!L875</f>
        <v>0.72638888888888886</v>
      </c>
      <c r="M875" t="s">
        <v>29</v>
      </c>
      <c r="N875">
        <f>VALUE(IF(AND(ISERR(FIND(".",'Raw Data'!N875)),LEN('Raw Data'!N875)=5), IF(YEAR('Raw Data'!N875)=2026,CONCATENATE(DAY('Raw Data'!N875),".",IF(LEN(MONTH('Raw Data'!N875))=2,MONTH('Raw Data'!N875),CONCATENATE("0",MONTH('Raw Data'!N875)))),CONCATENATE(MONTH('Raw Data'!N875),".",RIGHT(YEAR('Raw Data'!N875),2))),'Raw Data'!N875))</f>
        <v>534.36</v>
      </c>
      <c r="O875" s="6">
        <f t="shared" si="40"/>
        <v>4.7619047619047556</v>
      </c>
      <c r="P875" s="6">
        <f t="shared" si="41"/>
        <v>26.717999999999961</v>
      </c>
      <c r="Q875">
        <f>VALUE(IF(AND(ISERR(FIND(".",'Raw Data'!Q875)),LEN('Raw Data'!Q875)=5), IF(YEAR('Raw Data'!Q875)=2026,CONCATENATE(DAY('Raw Data'!Q875),".",IF(LEN(MONTH('Raw Data'!Q875))=2,MONTH('Raw Data'!Q875),CONCATENATE(MONTH('Raw Data'!Q875)))),CONCATENATE(MONTH('Raw Data'!Q875),".",RIGHT(YEAR('Raw Data'!Q875),2))),'Raw Data'!Q875))</f>
        <v>9.9</v>
      </c>
    </row>
    <row r="876" spans="1:17">
      <c r="A876" t="s">
        <v>963</v>
      </c>
      <c r="B876" t="s">
        <v>18</v>
      </c>
      <c r="C876" t="s">
        <v>19</v>
      </c>
      <c r="D876" t="s">
        <v>20</v>
      </c>
      <c r="E876" t="s">
        <v>30</v>
      </c>
      <c r="F876" t="s">
        <v>32</v>
      </c>
      <c r="G876">
        <f>VALUE(IF(AND(ISERR(FIND(".",'Raw Data'!G876)),LEN('Raw Data'!G876)=5), IF(YEAR('Raw Data'!G876)=2026,CONCATENATE(DAY('Raw Data'!G876),".",IF(LEN(MONTH('Raw Data'!G876))=2,MONTH('Raw Data'!G876),CONCATENATE("0",MONTH('Raw Data'!G876)))),CONCATENATE(MONTH('Raw Data'!G876),".",RIGHT(YEAR('Raw Data'!G876),2))),'Raw Data'!G876))</f>
        <v>23.29</v>
      </c>
      <c r="H876">
        <f>'Raw Data'!H876</f>
        <v>4</v>
      </c>
      <c r="I876" s="6">
        <f t="shared" si="39"/>
        <v>4.6580000000000013</v>
      </c>
      <c r="J876" s="6">
        <f>'Raw Data'!J876</f>
        <v>97.817999999999998</v>
      </c>
      <c r="K876" s="1">
        <f>VALUE(IFERROR(VALUE('Raw Data'!K876),CONCATENATE(MID('Raw Data'!K876,3,2),".","0",LEFT('Raw Data'!K876,1),".", RIGHT('Raw Data'!K876,4))))</f>
        <v>43543</v>
      </c>
      <c r="L876" s="2">
        <f>'Raw Data'!L876</f>
        <v>0.49444444444444446</v>
      </c>
      <c r="M876" t="s">
        <v>33</v>
      </c>
      <c r="N876">
        <f>VALUE(IF(AND(ISERR(FIND(".",'Raw Data'!N876)),LEN('Raw Data'!N876)=5), IF(YEAR('Raw Data'!N876)=2026,CONCATENATE(DAY('Raw Data'!N876),".",IF(LEN(MONTH('Raw Data'!N876))=2,MONTH('Raw Data'!N876),CONCATENATE("0",MONTH('Raw Data'!N876)))),CONCATENATE(MONTH('Raw Data'!N876),".",RIGHT(YEAR('Raw Data'!N876),2))),'Raw Data'!N876))</f>
        <v>93.16</v>
      </c>
      <c r="O876" s="6">
        <f t="shared" si="40"/>
        <v>4.7619047619047628</v>
      </c>
      <c r="P876" s="6">
        <f t="shared" si="41"/>
        <v>4.6580000000000013</v>
      </c>
      <c r="Q876">
        <f>VALUE(IF(AND(ISERR(FIND(".",'Raw Data'!Q876)),LEN('Raw Data'!Q876)=5), IF(YEAR('Raw Data'!Q876)=2026,CONCATENATE(DAY('Raw Data'!Q876),".",IF(LEN(MONTH('Raw Data'!Q876))=2,MONTH('Raw Data'!Q876),CONCATENATE(MONTH('Raw Data'!Q876)))),CONCATENATE(MONTH('Raw Data'!Q876),".",RIGHT(YEAR('Raw Data'!Q876),2))),'Raw Data'!Q876))</f>
        <v>5.9</v>
      </c>
    </row>
    <row r="877" spans="1:17">
      <c r="A877" t="s">
        <v>964</v>
      </c>
      <c r="B877" t="s">
        <v>25</v>
      </c>
      <c r="C877" t="s">
        <v>26</v>
      </c>
      <c r="D877" t="s">
        <v>27</v>
      </c>
      <c r="E877" t="s">
        <v>30</v>
      </c>
      <c r="F877" t="s">
        <v>32</v>
      </c>
      <c r="G877">
        <f>VALUE(IF(AND(ISERR(FIND(".",'Raw Data'!G877)),LEN('Raw Data'!G877)=5), IF(YEAR('Raw Data'!G877)=2026,CONCATENATE(DAY('Raw Data'!G877),".",IF(LEN(MONTH('Raw Data'!G877))=2,MONTH('Raw Data'!G877),CONCATENATE("0",MONTH('Raw Data'!G877)))),CONCATENATE(MONTH('Raw Data'!G877),".",RIGHT(YEAR('Raw Data'!G877),2))),'Raw Data'!G877))</f>
        <v>65.260000000000005</v>
      </c>
      <c r="H877">
        <f>'Raw Data'!H877</f>
        <v>8</v>
      </c>
      <c r="I877" s="6">
        <f t="shared" si="39"/>
        <v>26.103999999999928</v>
      </c>
      <c r="J877" s="6">
        <f>'Raw Data'!J877</f>
        <v>548.18399999999997</v>
      </c>
      <c r="K877" s="1">
        <f>VALUE(IFERROR(VALUE('Raw Data'!K877),CONCATENATE(MID('Raw Data'!K877,3,2),".","0",LEFT('Raw Data'!K877,1),".", RIGHT('Raw Data'!K877,4))))</f>
        <v>43539</v>
      </c>
      <c r="L877" s="2">
        <f>'Raw Data'!L877</f>
        <v>0.58611111111111114</v>
      </c>
      <c r="M877" t="s">
        <v>23</v>
      </c>
      <c r="N877">
        <f>VALUE(IF(AND(ISERR(FIND(".",'Raw Data'!N877)),LEN('Raw Data'!N877)=5), IF(YEAR('Raw Data'!N877)=2026,CONCATENATE(DAY('Raw Data'!N877),".",IF(LEN(MONTH('Raw Data'!N877))=2,MONTH('Raw Data'!N877),CONCATENATE("0",MONTH('Raw Data'!N877)))),CONCATENATE(MONTH('Raw Data'!N877),".",RIGHT(YEAR('Raw Data'!N877),2))),'Raw Data'!N877))</f>
        <v>522.08000000000004</v>
      </c>
      <c r="O877" s="6">
        <f t="shared" si="40"/>
        <v>4.7619047619047494</v>
      </c>
      <c r="P877" s="6">
        <f t="shared" si="41"/>
        <v>26.103999999999928</v>
      </c>
      <c r="Q877">
        <f>VALUE(IF(AND(ISERR(FIND(".",'Raw Data'!Q877)),LEN('Raw Data'!Q877)=5), IF(YEAR('Raw Data'!Q877)=2026,CONCATENATE(DAY('Raw Data'!Q877),".",IF(LEN(MONTH('Raw Data'!Q877))=2,MONTH('Raw Data'!Q877),CONCATENATE(MONTH('Raw Data'!Q877)))),CONCATENATE(MONTH('Raw Data'!Q877),".",RIGHT(YEAR('Raw Data'!Q877),2))),'Raw Data'!Q877))</f>
        <v>6.3</v>
      </c>
    </row>
    <row r="878" spans="1:17">
      <c r="A878" t="s">
        <v>965</v>
      </c>
      <c r="B878" t="s">
        <v>25</v>
      </c>
      <c r="C878" t="s">
        <v>26</v>
      </c>
      <c r="D878" t="s">
        <v>20</v>
      </c>
      <c r="E878" t="s">
        <v>30</v>
      </c>
      <c r="F878" t="s">
        <v>43</v>
      </c>
      <c r="G878">
        <f>VALUE(IF(AND(ISERR(FIND(".",'Raw Data'!G878)),LEN('Raw Data'!G878)=5), IF(YEAR('Raw Data'!G878)=2026,CONCATENATE(DAY('Raw Data'!G878),".",IF(LEN(MONTH('Raw Data'!G878))=2,MONTH('Raw Data'!G878),CONCATENATE("0",MONTH('Raw Data'!G878)))),CONCATENATE(MONTH('Raw Data'!G878),".",RIGHT(YEAR('Raw Data'!G878),2))),'Raw Data'!G878))</f>
        <v>52.35</v>
      </c>
      <c r="H878">
        <f>'Raw Data'!H878</f>
        <v>1</v>
      </c>
      <c r="I878" s="6">
        <f t="shared" si="39"/>
        <v>2.6174999999999997</v>
      </c>
      <c r="J878" s="6">
        <f>'Raw Data'!J878</f>
        <v>54.967500000000001</v>
      </c>
      <c r="K878" s="1">
        <f>VALUE(IFERROR(VALUE('Raw Data'!K878),CONCATENATE(MID('Raw Data'!K878,3,2),".","0",LEFT('Raw Data'!K878,1),".", RIGHT('Raw Data'!K878,4))))</f>
        <v>43801</v>
      </c>
      <c r="L878" s="2">
        <f>'Raw Data'!L878</f>
        <v>0.74236111111111114</v>
      </c>
      <c r="M878" t="s">
        <v>29</v>
      </c>
      <c r="N878">
        <f>VALUE(IF(AND(ISERR(FIND(".",'Raw Data'!N878)),LEN('Raw Data'!N878)=5), IF(YEAR('Raw Data'!N878)=2026,CONCATENATE(DAY('Raw Data'!N878),".",IF(LEN(MONTH('Raw Data'!N878))=2,MONTH('Raw Data'!N878),CONCATENATE("0",MONTH('Raw Data'!N878)))),CONCATENATE(MONTH('Raw Data'!N878),".",RIGHT(YEAR('Raw Data'!N878),2))),'Raw Data'!N878))</f>
        <v>52.35</v>
      </c>
      <c r="O878" s="6">
        <f t="shared" si="40"/>
        <v>4.761904761904761</v>
      </c>
      <c r="P878" s="6">
        <f t="shared" si="41"/>
        <v>2.6174999999999997</v>
      </c>
      <c r="Q878">
        <f>VALUE(IF(AND(ISERR(FIND(".",'Raw Data'!Q878)),LEN('Raw Data'!Q878)=5), IF(YEAR('Raw Data'!Q878)=2026,CONCATENATE(DAY('Raw Data'!Q878),".",IF(LEN(MONTH('Raw Data'!Q878))=2,MONTH('Raw Data'!Q878),CONCATENATE(MONTH('Raw Data'!Q878)))),CONCATENATE(MONTH('Raw Data'!Q878),".",RIGHT(YEAR('Raw Data'!Q878),2))),'Raw Data'!Q878))</f>
        <v>4</v>
      </c>
    </row>
    <row r="879" spans="1:17">
      <c r="A879" t="s">
        <v>966</v>
      </c>
      <c r="B879" t="s">
        <v>34</v>
      </c>
      <c r="C879" t="s">
        <v>35</v>
      </c>
      <c r="D879" t="s">
        <v>20</v>
      </c>
      <c r="E879" t="s">
        <v>30</v>
      </c>
      <c r="F879" t="s">
        <v>28</v>
      </c>
      <c r="G879">
        <f>VALUE(IF(AND(ISERR(FIND(".",'Raw Data'!G879)),LEN('Raw Data'!G879)=5), IF(YEAR('Raw Data'!G879)=2026,CONCATENATE(DAY('Raw Data'!G879),".",IF(LEN(MONTH('Raw Data'!G879))=2,MONTH('Raw Data'!G879),CONCATENATE("0",MONTH('Raw Data'!G879)))),CONCATENATE(MONTH('Raw Data'!G879),".",RIGHT(YEAR('Raw Data'!G879),2))),'Raw Data'!G879))</f>
        <v>39.75</v>
      </c>
      <c r="H879">
        <f>'Raw Data'!H879</f>
        <v>1</v>
      </c>
      <c r="I879" s="6">
        <f t="shared" si="39"/>
        <v>1.9874999999999972</v>
      </c>
      <c r="J879" s="6">
        <f>'Raw Data'!J879</f>
        <v>41.737499999999997</v>
      </c>
      <c r="K879" s="1">
        <f>VALUE(IFERROR(VALUE('Raw Data'!K879),CONCATENATE(MID('Raw Data'!K879,3,2),".","0",LEFT('Raw Data'!K879,1),".", RIGHT('Raw Data'!K879,4))))</f>
        <v>43521</v>
      </c>
      <c r="L879" s="2">
        <f>'Raw Data'!L879</f>
        <v>0.84652777777777777</v>
      </c>
      <c r="M879" t="s">
        <v>29</v>
      </c>
      <c r="N879">
        <f>VALUE(IF(AND(ISERR(FIND(".",'Raw Data'!N879)),LEN('Raw Data'!N879)=5), IF(YEAR('Raw Data'!N879)=2026,CONCATENATE(DAY('Raw Data'!N879),".",IF(LEN(MONTH('Raw Data'!N879))=2,MONTH('Raw Data'!N879),CONCATENATE("0",MONTH('Raw Data'!N879)))),CONCATENATE(MONTH('Raw Data'!N879),".",RIGHT(YEAR('Raw Data'!N879),2))),'Raw Data'!N879))</f>
        <v>39.75</v>
      </c>
      <c r="O879" s="6">
        <f t="shared" si="40"/>
        <v>4.7619047619047556</v>
      </c>
      <c r="P879" s="6">
        <f t="shared" si="41"/>
        <v>1.9874999999999972</v>
      </c>
      <c r="Q879">
        <f>VALUE(IF(AND(ISERR(FIND(".",'Raw Data'!Q879)),LEN('Raw Data'!Q879)=5), IF(YEAR('Raw Data'!Q879)=2026,CONCATENATE(DAY('Raw Data'!Q879),".",IF(LEN(MONTH('Raw Data'!Q879))=2,MONTH('Raw Data'!Q879),CONCATENATE(MONTH('Raw Data'!Q879)))),CONCATENATE(MONTH('Raw Data'!Q879),".",RIGHT(YEAR('Raw Data'!Q879),2))),'Raw Data'!Q879))</f>
        <v>6.1</v>
      </c>
    </row>
    <row r="880" spans="1:17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f>VALUE(IF(AND(ISERR(FIND(".",'Raw Data'!G880)),LEN('Raw Data'!G880)=5), IF(YEAR('Raw Data'!G880)=2026,CONCATENATE(DAY('Raw Data'!G880),".",IF(LEN(MONTH('Raw Data'!G880))=2,MONTH('Raw Data'!G880),CONCATENATE("0",MONTH('Raw Data'!G880)))),CONCATENATE(MONTH('Raw Data'!G880),".",RIGHT(YEAR('Raw Data'!G880),2))),'Raw Data'!G880))</f>
        <v>90.02</v>
      </c>
      <c r="H880">
        <f>'Raw Data'!H880</f>
        <v>8</v>
      </c>
      <c r="I880" s="6">
        <f t="shared" si="39"/>
        <v>36.008000000000038</v>
      </c>
      <c r="J880" s="6">
        <f>'Raw Data'!J880</f>
        <v>756.16800000000001</v>
      </c>
      <c r="K880" s="1">
        <f>VALUE(IFERROR(VALUE('Raw Data'!K880),CONCATENATE(MID('Raw Data'!K880,3,2),".","0",LEFT('Raw Data'!K880,1),".", RIGHT('Raw Data'!K880,4))))</f>
        <v>43545</v>
      </c>
      <c r="L880" s="2">
        <f>'Raw Data'!L880</f>
        <v>0.67222222222222217</v>
      </c>
      <c r="M880" t="s">
        <v>33</v>
      </c>
      <c r="N880">
        <f>VALUE(IF(AND(ISERR(FIND(".",'Raw Data'!N880)),LEN('Raw Data'!N880)=5), IF(YEAR('Raw Data'!N880)=2026,CONCATENATE(DAY('Raw Data'!N880),".",IF(LEN(MONTH('Raw Data'!N880))=2,MONTH('Raw Data'!N880),CONCATENATE("0",MONTH('Raw Data'!N880)))),CONCATENATE(MONTH('Raw Data'!N880),".",RIGHT(YEAR('Raw Data'!N880),2))),'Raw Data'!N880))</f>
        <v>720.16</v>
      </c>
      <c r="O880" s="6">
        <f t="shared" si="40"/>
        <v>4.7619047619047672</v>
      </c>
      <c r="P880" s="6">
        <f t="shared" si="41"/>
        <v>36.008000000000038</v>
      </c>
      <c r="Q880">
        <f>VALUE(IF(AND(ISERR(FIND(".",'Raw Data'!Q880)),LEN('Raw Data'!Q880)=5), IF(YEAR('Raw Data'!Q880)=2026,CONCATENATE(DAY('Raw Data'!Q880),".",IF(LEN(MONTH('Raw Data'!Q880))=2,MONTH('Raw Data'!Q880),CONCATENATE(MONTH('Raw Data'!Q880)))),CONCATENATE(MONTH('Raw Data'!Q880),".",RIGHT(YEAR('Raw Data'!Q880),2))),'Raw Data'!Q880))</f>
        <v>4.5</v>
      </c>
    </row>
    <row r="881" spans="1:17">
      <c r="A881" t="s">
        <v>968</v>
      </c>
      <c r="B881" t="s">
        <v>34</v>
      </c>
      <c r="C881" t="s">
        <v>35</v>
      </c>
      <c r="D881" t="s">
        <v>20</v>
      </c>
      <c r="E881" t="s">
        <v>21</v>
      </c>
      <c r="F881" t="s">
        <v>28</v>
      </c>
      <c r="G881">
        <f>VALUE(IF(AND(ISERR(FIND(".",'Raw Data'!G881)),LEN('Raw Data'!G881)=5), IF(YEAR('Raw Data'!G881)=2026,CONCATENATE(DAY('Raw Data'!G881),".",IF(LEN(MONTH('Raw Data'!G881))=2,MONTH('Raw Data'!G881),CONCATENATE("0",MONTH('Raw Data'!G881)))),CONCATENATE(MONTH('Raw Data'!G881),".",RIGHT(YEAR('Raw Data'!G881),2))),'Raw Data'!G881))</f>
        <v>12.01</v>
      </c>
      <c r="H881">
        <f>'Raw Data'!H881</f>
        <v>8</v>
      </c>
      <c r="I881" s="6">
        <f t="shared" si="39"/>
        <v>5.5600000000000023</v>
      </c>
      <c r="J881" s="6">
        <f>'Raw Data'!J881</f>
        <v>101.64</v>
      </c>
      <c r="K881" s="1">
        <f>VALUE(IFERROR(VALUE('Raw Data'!K881),CONCATENATE(MID('Raw Data'!K881,3,2),".","0",LEFT('Raw Data'!K881,1),".", RIGHT('Raw Data'!K881,4))))</f>
        <v>43484</v>
      </c>
      <c r="L881" s="2">
        <f>'Raw Data'!L881</f>
        <v>0.4284722222222222</v>
      </c>
      <c r="M881" t="s">
        <v>23</v>
      </c>
      <c r="N881">
        <f>VALUE(IF(AND(ISERR(FIND(".",'Raw Data'!N881)),LEN('Raw Data'!N881)=5), IF(YEAR('Raw Data'!N881)=2026,CONCATENATE(DAY('Raw Data'!N881),".",IF(LEN(MONTH('Raw Data'!N881))=2,MONTH('Raw Data'!N881),CONCATENATE("0",MONTH('Raw Data'!N881)))),CONCATENATE(MONTH('Raw Data'!N881),".",RIGHT(YEAR('Raw Data'!N881),2))),'Raw Data'!N881))</f>
        <v>96.8</v>
      </c>
      <c r="O881" s="6">
        <f t="shared" si="40"/>
        <v>4.7619047619047654</v>
      </c>
      <c r="P881" s="6">
        <f t="shared" si="41"/>
        <v>4.8400000000000034</v>
      </c>
      <c r="Q881">
        <f>VALUE(IF(AND(ISERR(FIND(".",'Raw Data'!Q881)),LEN('Raw Data'!Q881)=5), IF(YEAR('Raw Data'!Q881)=2026,CONCATENATE(DAY('Raw Data'!Q881),".",IF(LEN(MONTH('Raw Data'!Q881))=2,MONTH('Raw Data'!Q881),CONCATENATE(MONTH('Raw Data'!Q881)))),CONCATENATE(MONTH('Raw Data'!Q881),".",RIGHT(YEAR('Raw Data'!Q881),2))),'Raw Data'!Q881))</f>
        <v>8.6</v>
      </c>
    </row>
    <row r="882" spans="1:17">
      <c r="A882" t="s">
        <v>969</v>
      </c>
      <c r="B882" t="s">
        <v>34</v>
      </c>
      <c r="C882" t="s">
        <v>35</v>
      </c>
      <c r="D882" t="s">
        <v>20</v>
      </c>
      <c r="E882" t="s">
        <v>21</v>
      </c>
      <c r="F882" t="s">
        <v>40</v>
      </c>
      <c r="G882">
        <f>VALUE(IF(AND(ISERR(FIND(".",'Raw Data'!G882)),LEN('Raw Data'!G882)=5), IF(YEAR('Raw Data'!G882)=2026,CONCATENATE(DAY('Raw Data'!G882),".",IF(LEN(MONTH('Raw Data'!G882))=2,MONTH('Raw Data'!G882),CONCATENATE("0",MONTH('Raw Data'!G882)))),CONCATENATE(MONTH('Raw Data'!G882),".",RIGHT(YEAR('Raw Data'!G882),2))),'Raw Data'!G882))</f>
        <v>33.21</v>
      </c>
      <c r="H882">
        <f>'Raw Data'!H882</f>
        <v>10</v>
      </c>
      <c r="I882" s="6">
        <f t="shared" si="39"/>
        <v>16.604999999999961</v>
      </c>
      <c r="J882" s="6">
        <f>'Raw Data'!J882</f>
        <v>348.70499999999998</v>
      </c>
      <c r="K882" s="1">
        <f>VALUE(IFERROR(VALUE('Raw Data'!K882),CONCATENATE(MID('Raw Data'!K882,3,2),".","0",LEFT('Raw Data'!K882,1),".", RIGHT('Raw Data'!K882,4))))</f>
        <v>43678</v>
      </c>
      <c r="L882" s="2">
        <f>'Raw Data'!L882</f>
        <v>0.60069444444444442</v>
      </c>
      <c r="M882" t="s">
        <v>23</v>
      </c>
      <c r="N882">
        <f>VALUE(IF(AND(ISERR(FIND(".",'Raw Data'!N882)),LEN('Raw Data'!N882)=5), IF(YEAR('Raw Data'!N882)=2026,CONCATENATE(DAY('Raw Data'!N882),".",IF(LEN(MONTH('Raw Data'!N882))=2,MONTH('Raw Data'!N882),CONCATENATE("0",MONTH('Raw Data'!N882)))),CONCATENATE(MONTH('Raw Data'!N882),".",RIGHT(YEAR('Raw Data'!N882),2))),'Raw Data'!N882))</f>
        <v>332.1</v>
      </c>
      <c r="O882" s="6">
        <f t="shared" si="40"/>
        <v>4.7619047619047512</v>
      </c>
      <c r="P882" s="6">
        <f t="shared" si="41"/>
        <v>16.604999999999961</v>
      </c>
      <c r="Q882">
        <f>VALUE(IF(AND(ISERR(FIND(".",'Raw Data'!Q882)),LEN('Raw Data'!Q882)=5), IF(YEAR('Raw Data'!Q882)=2026,CONCATENATE(DAY('Raw Data'!Q882),".",IF(LEN(MONTH('Raw Data'!Q882))=2,MONTH('Raw Data'!Q882),CONCATENATE(MONTH('Raw Data'!Q882)))),CONCATENATE(MONTH('Raw Data'!Q882),".",RIGHT(YEAR('Raw Data'!Q882),2))),'Raw Data'!Q882))</f>
        <v>6</v>
      </c>
    </row>
    <row r="883" spans="1:17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43</v>
      </c>
      <c r="G883">
        <f>VALUE(IF(AND(ISERR(FIND(".",'Raw Data'!G883)),LEN('Raw Data'!G883)=5), IF(YEAR('Raw Data'!G883)=2026,CONCATENATE(DAY('Raw Data'!G883),".",IF(LEN(MONTH('Raw Data'!G883))=2,MONTH('Raw Data'!G883),CONCATENATE("0",MONTH('Raw Data'!G883)))),CONCATENATE(MONTH('Raw Data'!G883),".",RIGHT(YEAR('Raw Data'!G883),2))),'Raw Data'!G883))</f>
        <v>10.18</v>
      </c>
      <c r="H883">
        <f>'Raw Data'!H883</f>
        <v>8</v>
      </c>
      <c r="I883" s="6">
        <f t="shared" si="39"/>
        <v>4.0720000000000027</v>
      </c>
      <c r="J883" s="6">
        <f>'Raw Data'!J883</f>
        <v>85.512</v>
      </c>
      <c r="K883" s="1">
        <f>VALUE(IFERROR(VALUE('Raw Data'!K883),CONCATENATE(MID('Raw Data'!K883,3,2),".","0",LEFT('Raw Data'!K883,1),".", RIGHT('Raw Data'!K883,4))))</f>
        <v>43554</v>
      </c>
      <c r="L883" s="2">
        <f>'Raw Data'!L883</f>
        <v>0.53541666666666665</v>
      </c>
      <c r="M883" t="s">
        <v>33</v>
      </c>
      <c r="N883">
        <f>VALUE(IF(AND(ISERR(FIND(".",'Raw Data'!N883)),LEN('Raw Data'!N883)=5), IF(YEAR('Raw Data'!N883)=2026,CONCATENATE(DAY('Raw Data'!N883),".",IF(LEN(MONTH('Raw Data'!N883))=2,MONTH('Raw Data'!N883),CONCATENATE("0",MONTH('Raw Data'!N883)))),CONCATENATE(MONTH('Raw Data'!N883),".",RIGHT(YEAR('Raw Data'!N883),2))),'Raw Data'!N883))</f>
        <v>81.44</v>
      </c>
      <c r="O883" s="6">
        <f t="shared" si="40"/>
        <v>4.7619047619047654</v>
      </c>
      <c r="P883" s="6">
        <f t="shared" si="41"/>
        <v>4.0720000000000027</v>
      </c>
      <c r="Q883">
        <f>VALUE(IF(AND(ISERR(FIND(".",'Raw Data'!Q883)),LEN('Raw Data'!Q883)=5), IF(YEAR('Raw Data'!Q883)=2026,CONCATENATE(DAY('Raw Data'!Q883),".",IF(LEN(MONTH('Raw Data'!Q883))=2,MONTH('Raw Data'!Q883),CONCATENATE(MONTH('Raw Data'!Q883)))),CONCATENATE(MONTH('Raw Data'!Q883),".",RIGHT(YEAR('Raw Data'!Q883),2))),'Raw Data'!Q883))</f>
        <v>9.5</v>
      </c>
    </row>
    <row r="884" spans="1:17">
      <c r="A884" t="s">
        <v>971</v>
      </c>
      <c r="B884" t="s">
        <v>34</v>
      </c>
      <c r="C884" t="s">
        <v>35</v>
      </c>
      <c r="D884" t="s">
        <v>20</v>
      </c>
      <c r="E884" t="s">
        <v>30</v>
      </c>
      <c r="F884" t="s">
        <v>38</v>
      </c>
      <c r="G884">
        <f>VALUE(IF(AND(ISERR(FIND(".",'Raw Data'!G884)),LEN('Raw Data'!G884)=5), IF(YEAR('Raw Data'!G884)=2026,CONCATENATE(DAY('Raw Data'!G884),".",IF(LEN(MONTH('Raw Data'!G884))=2,MONTH('Raw Data'!G884),CONCATENATE("0",MONTH('Raw Data'!G884)))),CONCATENATE(MONTH('Raw Data'!G884),".",RIGHT(YEAR('Raw Data'!G884),2))),'Raw Data'!G884))</f>
        <v>31.99</v>
      </c>
      <c r="H884">
        <f>'Raw Data'!H884</f>
        <v>10</v>
      </c>
      <c r="I884" s="6">
        <f t="shared" si="39"/>
        <v>15.995000000000005</v>
      </c>
      <c r="J884" s="6">
        <f>'Raw Data'!J884</f>
        <v>335.89499999999998</v>
      </c>
      <c r="K884" s="1">
        <f>VALUE(IFERROR(VALUE('Raw Data'!K884),CONCATENATE(MID('Raw Data'!K884,3,2),".","0",LEFT('Raw Data'!K884,1),".", RIGHT('Raw Data'!K884,4))))</f>
        <v>43516</v>
      </c>
      <c r="L884" s="2">
        <f>'Raw Data'!L884</f>
        <v>0.63750000000000007</v>
      </c>
      <c r="M884" t="s">
        <v>33</v>
      </c>
      <c r="N884">
        <f>VALUE(IF(AND(ISERR(FIND(".",'Raw Data'!N884)),LEN('Raw Data'!N884)=5), IF(YEAR('Raw Data'!N884)=2026,CONCATENATE(DAY('Raw Data'!N884),".",IF(LEN(MONTH('Raw Data'!N884))=2,MONTH('Raw Data'!N884),CONCATENATE("0",MONTH('Raw Data'!N884)))),CONCATENATE(MONTH('Raw Data'!N884),".",RIGHT(YEAR('Raw Data'!N884),2))),'Raw Data'!N884))</f>
        <v>319.89999999999998</v>
      </c>
      <c r="O884" s="6">
        <f t="shared" si="40"/>
        <v>4.7619047619047636</v>
      </c>
      <c r="P884" s="6">
        <f t="shared" si="41"/>
        <v>15.995000000000005</v>
      </c>
      <c r="Q884">
        <f>VALUE(IF(AND(ISERR(FIND(".",'Raw Data'!Q884)),LEN('Raw Data'!Q884)=5), IF(YEAR('Raw Data'!Q884)=2026,CONCATENATE(DAY('Raw Data'!Q884),".",IF(LEN(MONTH('Raw Data'!Q884))=2,MONTH('Raw Data'!Q884),CONCATENATE(MONTH('Raw Data'!Q884)))),CONCATENATE(MONTH('Raw Data'!Q884),".",RIGHT(YEAR('Raw Data'!Q884),2))),'Raw Data'!Q884))</f>
        <v>9.9</v>
      </c>
    </row>
    <row r="885" spans="1:17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f>VALUE(IF(AND(ISERR(FIND(".",'Raw Data'!G885)),LEN('Raw Data'!G885)=5), IF(YEAR('Raw Data'!G885)=2026,CONCATENATE(DAY('Raw Data'!G885),".",IF(LEN(MONTH('Raw Data'!G885))=2,MONTH('Raw Data'!G885),CONCATENATE("0",MONTH('Raw Data'!G885)))),CONCATENATE(MONTH('Raw Data'!G885),".",RIGHT(YEAR('Raw Data'!G885),2))),'Raw Data'!G885))</f>
        <v>34.42</v>
      </c>
      <c r="H885">
        <f>'Raw Data'!H885</f>
        <v>6</v>
      </c>
      <c r="I885" s="6">
        <f t="shared" si="39"/>
        <v>10.325999999999993</v>
      </c>
      <c r="J885" s="6">
        <f>'Raw Data'!J885</f>
        <v>216.846</v>
      </c>
      <c r="K885" s="1">
        <f>VALUE(IFERROR(VALUE('Raw Data'!K885),CONCATENATE(MID('Raw Data'!K885,3,2),".","0",LEFT('Raw Data'!K885,1),".", RIGHT('Raw Data'!K885,4))))</f>
        <v>43554</v>
      </c>
      <c r="L885" s="2">
        <f>'Raw Data'!L885</f>
        <v>0.53125</v>
      </c>
      <c r="M885" t="s">
        <v>23</v>
      </c>
      <c r="N885">
        <f>VALUE(IF(AND(ISERR(FIND(".",'Raw Data'!N885)),LEN('Raw Data'!N885)=5), IF(YEAR('Raw Data'!N885)=2026,CONCATENATE(DAY('Raw Data'!N885),".",IF(LEN(MONTH('Raw Data'!N885))=2,MONTH('Raw Data'!N885),CONCATENATE("0",MONTH('Raw Data'!N885)))),CONCATENATE(MONTH('Raw Data'!N885),".",RIGHT(YEAR('Raw Data'!N885),2))),'Raw Data'!N885))</f>
        <v>206.52</v>
      </c>
      <c r="O885" s="6">
        <f t="shared" si="40"/>
        <v>4.7619047619047592</v>
      </c>
      <c r="P885" s="6">
        <f t="shared" si="41"/>
        <v>10.325999999999993</v>
      </c>
      <c r="Q885">
        <f>VALUE(IF(AND(ISERR(FIND(".",'Raw Data'!Q885)),LEN('Raw Data'!Q885)=5), IF(YEAR('Raw Data'!Q885)=2026,CONCATENATE(DAY('Raw Data'!Q885),".",IF(LEN(MONTH('Raw Data'!Q885))=2,MONTH('Raw Data'!Q885),CONCATENATE(MONTH('Raw Data'!Q885)))),CONCATENATE(MONTH('Raw Data'!Q885),".",RIGHT(YEAR('Raw Data'!Q885),2))),'Raw Data'!Q885))</f>
        <v>7.5</v>
      </c>
    </row>
    <row r="886" spans="1:17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40</v>
      </c>
      <c r="G886">
        <f>VALUE(IF(AND(ISERR(FIND(".",'Raw Data'!G886)),LEN('Raw Data'!G886)=5), IF(YEAR('Raw Data'!G886)=2026,CONCATENATE(DAY('Raw Data'!G886),".",IF(LEN(MONTH('Raw Data'!G886))=2,MONTH('Raw Data'!G886),CONCATENATE("0",MONTH('Raw Data'!G886)))),CONCATENATE(MONTH('Raw Data'!G886),".",RIGHT(YEAR('Raw Data'!G886),2))),'Raw Data'!G886))</f>
        <v>83.34</v>
      </c>
      <c r="H886">
        <f>'Raw Data'!H886</f>
        <v>2</v>
      </c>
      <c r="I886" s="6">
        <f t="shared" si="39"/>
        <v>8.3340000000000032</v>
      </c>
      <c r="J886" s="6">
        <f>'Raw Data'!J886</f>
        <v>175.01400000000001</v>
      </c>
      <c r="K886" s="1">
        <f>VALUE(IFERROR(VALUE('Raw Data'!K886),CONCATENATE(MID('Raw Data'!K886,3,2),".","0",LEFT('Raw Data'!K886,1),".", RIGHT('Raw Data'!K886,4))))</f>
        <v>43543</v>
      </c>
      <c r="L886" s="2">
        <f>'Raw Data'!L886</f>
        <v>0.56736111111111109</v>
      </c>
      <c r="M886" t="s">
        <v>29</v>
      </c>
      <c r="N886">
        <f>VALUE(IF(AND(ISERR(FIND(".",'Raw Data'!N886)),LEN('Raw Data'!N886)=5), IF(YEAR('Raw Data'!N886)=2026,CONCATENATE(DAY('Raw Data'!N886),".",IF(LEN(MONTH('Raw Data'!N886))=2,MONTH('Raw Data'!N886),CONCATENATE("0",MONTH('Raw Data'!N886)))),CONCATENATE(MONTH('Raw Data'!N886),".",RIGHT(YEAR('Raw Data'!N886),2))),'Raw Data'!N886))</f>
        <v>166.68</v>
      </c>
      <c r="O886" s="6">
        <f t="shared" si="40"/>
        <v>4.7619047619047636</v>
      </c>
      <c r="P886" s="6">
        <f t="shared" si="41"/>
        <v>8.3340000000000032</v>
      </c>
      <c r="Q886">
        <f>VALUE(IF(AND(ISERR(FIND(".",'Raw Data'!Q886)),LEN('Raw Data'!Q886)=5), IF(YEAR('Raw Data'!Q886)=2026,CONCATENATE(DAY('Raw Data'!Q886),".",IF(LEN(MONTH('Raw Data'!Q886))=2,MONTH('Raw Data'!Q886),CONCATENATE(MONTH('Raw Data'!Q886)))),CONCATENATE(MONTH('Raw Data'!Q886),".",RIGHT(YEAR('Raw Data'!Q886),2))),'Raw Data'!Q886))</f>
        <v>7.6</v>
      </c>
    </row>
    <row r="887" spans="1:17">
      <c r="A887" t="s">
        <v>974</v>
      </c>
      <c r="B887" t="s">
        <v>18</v>
      </c>
      <c r="C887" t="s">
        <v>19</v>
      </c>
      <c r="D887" t="s">
        <v>27</v>
      </c>
      <c r="E887" t="s">
        <v>30</v>
      </c>
      <c r="F887" t="s">
        <v>38</v>
      </c>
      <c r="G887">
        <f>VALUE(IF(AND(ISERR(FIND(".",'Raw Data'!G887)),LEN('Raw Data'!G887)=5), IF(YEAR('Raw Data'!G887)=2026,CONCATENATE(DAY('Raw Data'!G887),".",IF(LEN(MONTH('Raw Data'!G887))=2,MONTH('Raw Data'!G887),CONCATENATE("0",MONTH('Raw Data'!G887)))),CONCATENATE(MONTH('Raw Data'!G887),".",RIGHT(YEAR('Raw Data'!G887),2))),'Raw Data'!G887))</f>
        <v>45.58</v>
      </c>
      <c r="H887">
        <f>'Raw Data'!H887</f>
        <v>7</v>
      </c>
      <c r="I887" s="6">
        <f t="shared" si="39"/>
        <v>15.952999999999975</v>
      </c>
      <c r="J887" s="6">
        <f>'Raw Data'!J887</f>
        <v>335.01299999999998</v>
      </c>
      <c r="K887" s="1">
        <f>VALUE(IFERROR(VALUE('Raw Data'!K887),CONCATENATE(MID('Raw Data'!K887,3,2),".","0",LEFT('Raw Data'!K887,1),".", RIGHT('Raw Data'!K887,4))))</f>
        <v>43478</v>
      </c>
      <c r="L887" s="2">
        <f>'Raw Data'!L887</f>
        <v>0.41875000000000001</v>
      </c>
      <c r="M887" t="s">
        <v>29</v>
      </c>
      <c r="N887">
        <f>VALUE(IF(AND(ISERR(FIND(".",'Raw Data'!N887)),LEN('Raw Data'!N887)=5), IF(YEAR('Raw Data'!N887)=2026,CONCATENATE(DAY('Raw Data'!N887),".",IF(LEN(MONTH('Raw Data'!N887))=2,MONTH('Raw Data'!N887),CONCATENATE("0",MONTH('Raw Data'!N887)))),CONCATENATE(MONTH('Raw Data'!N887),".",RIGHT(YEAR('Raw Data'!N887),2))),'Raw Data'!N887))</f>
        <v>319.06</v>
      </c>
      <c r="O887" s="6">
        <f t="shared" si="40"/>
        <v>4.7619047619047548</v>
      </c>
      <c r="P887" s="6">
        <f t="shared" si="41"/>
        <v>15.952999999999975</v>
      </c>
      <c r="Q887">
        <f>VALUE(IF(AND(ISERR(FIND(".",'Raw Data'!Q887)),LEN('Raw Data'!Q887)=5), IF(YEAR('Raw Data'!Q887)=2026,CONCATENATE(DAY('Raw Data'!Q887),".",IF(LEN(MONTH('Raw Data'!Q887))=2,MONTH('Raw Data'!Q887),CONCATENATE(MONTH('Raw Data'!Q887)))),CONCATENATE(MONTH('Raw Data'!Q887),".",RIGHT(YEAR('Raw Data'!Q887),2))),'Raw Data'!Q887))</f>
        <v>5</v>
      </c>
    </row>
    <row r="888" spans="1:17">
      <c r="A888" t="s">
        <v>975</v>
      </c>
      <c r="B888" t="s">
        <v>18</v>
      </c>
      <c r="C888" t="s">
        <v>19</v>
      </c>
      <c r="D888" t="s">
        <v>20</v>
      </c>
      <c r="E888" t="s">
        <v>30</v>
      </c>
      <c r="F888" t="s">
        <v>40</v>
      </c>
      <c r="G888">
        <f>VALUE(IF(AND(ISERR(FIND(".",'Raw Data'!G888)),LEN('Raw Data'!G888)=5), IF(YEAR('Raw Data'!G888)=2026,CONCATENATE(DAY('Raw Data'!G888),".",IF(LEN(MONTH('Raw Data'!G888))=2,MONTH('Raw Data'!G888),CONCATENATE("0",MONTH('Raw Data'!G888)))),CONCATENATE(MONTH('Raw Data'!G888),".",RIGHT(YEAR('Raw Data'!G888),2))),'Raw Data'!G888))</f>
        <v>87.9</v>
      </c>
      <c r="H888">
        <f>'Raw Data'!H888</f>
        <v>1</v>
      </c>
      <c r="I888" s="6">
        <f t="shared" si="39"/>
        <v>4.394999999999996</v>
      </c>
      <c r="J888" s="6">
        <f>'Raw Data'!J888</f>
        <v>92.295000000000002</v>
      </c>
      <c r="K888" s="1">
        <f>VALUE(IFERROR(VALUE('Raw Data'!K888),CONCATENATE(MID('Raw Data'!K888,3,2),".","0",LEFT('Raw Data'!K888,1),".", RIGHT('Raw Data'!K888,4))))</f>
        <v>43587</v>
      </c>
      <c r="L888" s="2">
        <f>'Raw Data'!L888</f>
        <v>0.8208333333333333</v>
      </c>
      <c r="M888" t="s">
        <v>23</v>
      </c>
      <c r="N888">
        <f>VALUE(IF(AND(ISERR(FIND(".",'Raw Data'!N888)),LEN('Raw Data'!N888)=5), IF(YEAR('Raw Data'!N888)=2026,CONCATENATE(DAY('Raw Data'!N888),".",IF(LEN(MONTH('Raw Data'!N888))=2,MONTH('Raw Data'!N888),CONCATENATE("0",MONTH('Raw Data'!N888)))),CONCATENATE(MONTH('Raw Data'!N888),".",RIGHT(YEAR('Raw Data'!N888),2))),'Raw Data'!N888))</f>
        <v>87.9</v>
      </c>
      <c r="O888" s="6">
        <f t="shared" si="40"/>
        <v>4.7619047619047574</v>
      </c>
      <c r="P888" s="6">
        <f t="shared" si="41"/>
        <v>4.394999999999996</v>
      </c>
      <c r="Q888">
        <f>VALUE(IF(AND(ISERR(FIND(".",'Raw Data'!Q888)),LEN('Raw Data'!Q888)=5), IF(YEAR('Raw Data'!Q888)=2026,CONCATENATE(DAY('Raw Data'!Q888),".",IF(LEN(MONTH('Raw Data'!Q888))=2,MONTH('Raw Data'!Q888),CONCATENATE(MONTH('Raw Data'!Q888)))),CONCATENATE(MONTH('Raw Data'!Q888),".",RIGHT(YEAR('Raw Data'!Q888),2))),'Raw Data'!Q888))</f>
        <v>6.7</v>
      </c>
    </row>
    <row r="889" spans="1:17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f>VALUE(IF(AND(ISERR(FIND(".",'Raw Data'!G889)),LEN('Raw Data'!G889)=5), IF(YEAR('Raw Data'!G889)=2026,CONCATENATE(DAY('Raw Data'!G889),".",IF(LEN(MONTH('Raw Data'!G889))=2,MONTH('Raw Data'!G889),CONCATENATE("0",MONTH('Raw Data'!G889)))),CONCATENATE(MONTH('Raw Data'!G889),".",RIGHT(YEAR('Raw Data'!G889),2))),'Raw Data'!G889))</f>
        <v>73.47</v>
      </c>
      <c r="H889">
        <f>'Raw Data'!H889</f>
        <v>10</v>
      </c>
      <c r="I889" s="6">
        <f t="shared" si="39"/>
        <v>36.7349999999999</v>
      </c>
      <c r="J889" s="6">
        <f>'Raw Data'!J889</f>
        <v>771.43499999999995</v>
      </c>
      <c r="K889" s="1">
        <f>VALUE(IFERROR(VALUE('Raw Data'!K889),CONCATENATE(MID('Raw Data'!K889,3,2),".","0",LEFT('Raw Data'!K889,1),".", RIGHT('Raw Data'!K889,4))))</f>
        <v>43547</v>
      </c>
      <c r="L889" s="2">
        <f>'Raw Data'!L889</f>
        <v>0.55138888888888882</v>
      </c>
      <c r="M889" t="s">
        <v>23</v>
      </c>
      <c r="N889">
        <f>VALUE(IF(AND(ISERR(FIND(".",'Raw Data'!N889)),LEN('Raw Data'!N889)=5), IF(YEAR('Raw Data'!N889)=2026,CONCATENATE(DAY('Raw Data'!N889),".",IF(LEN(MONTH('Raw Data'!N889))=2,MONTH('Raw Data'!N889),CONCATENATE("0",MONTH('Raw Data'!N889)))),CONCATENATE(MONTH('Raw Data'!N889),".",RIGHT(YEAR('Raw Data'!N889),2))),'Raw Data'!N889))</f>
        <v>734.7</v>
      </c>
      <c r="O889" s="6">
        <f t="shared" si="40"/>
        <v>4.7619047619047494</v>
      </c>
      <c r="P889" s="6">
        <f t="shared" si="41"/>
        <v>36.7349999999999</v>
      </c>
      <c r="Q889">
        <f>VALUE(IF(AND(ISERR(FIND(".",'Raw Data'!Q889)),LEN('Raw Data'!Q889)=5), IF(YEAR('Raw Data'!Q889)=2026,CONCATENATE(DAY('Raw Data'!Q889),".",IF(LEN(MONTH('Raw Data'!Q889))=2,MONTH('Raw Data'!Q889),CONCATENATE(MONTH('Raw Data'!Q889)))),CONCATENATE(MONTH('Raw Data'!Q889),".",RIGHT(YEAR('Raw Data'!Q889),2))),'Raw Data'!Q889))</f>
        <v>9.5</v>
      </c>
    </row>
    <row r="890" spans="1:17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43</v>
      </c>
      <c r="G890">
        <f>VALUE(IF(AND(ISERR(FIND(".",'Raw Data'!G890)),LEN('Raw Data'!G890)=5), IF(YEAR('Raw Data'!G890)=2026,CONCATENATE(DAY('Raw Data'!G890),".",IF(LEN(MONTH('Raw Data'!G890))=2,MONTH('Raw Data'!G890),CONCATENATE("0",MONTH('Raw Data'!G890)))),CONCATENATE(MONTH('Raw Data'!G890),".",RIGHT(YEAR('Raw Data'!G890),2))),'Raw Data'!G890))</f>
        <v>12.19</v>
      </c>
      <c r="H890">
        <f>'Raw Data'!H890</f>
        <v>8</v>
      </c>
      <c r="I890" s="6">
        <f t="shared" si="39"/>
        <v>4.8760000000000048</v>
      </c>
      <c r="J890" s="6">
        <f>'Raw Data'!J890</f>
        <v>102.396</v>
      </c>
      <c r="K890" s="1">
        <f>VALUE(IFERROR(VALUE('Raw Data'!K890),CONCATENATE(MID('Raw Data'!K890,3,2),".","0",LEFT('Raw Data'!K890,1),".", RIGHT('Raw Data'!K890,4))))</f>
        <v>43537</v>
      </c>
      <c r="L890" s="2">
        <f>'Raw Data'!L890</f>
        <v>0.53263888888888888</v>
      </c>
      <c r="M890" t="s">
        <v>23</v>
      </c>
      <c r="N890">
        <f>VALUE(IF(AND(ISERR(FIND(".",'Raw Data'!N890)),LEN('Raw Data'!N890)=5), IF(YEAR('Raw Data'!N890)=2026,CONCATENATE(DAY('Raw Data'!N890),".",IF(LEN(MONTH('Raw Data'!N890))=2,MONTH('Raw Data'!N890),CONCATENATE("0",MONTH('Raw Data'!N890)))),CONCATENATE(MONTH('Raw Data'!N890),".",RIGHT(YEAR('Raw Data'!N890),2))),'Raw Data'!N890))</f>
        <v>97.52</v>
      </c>
      <c r="O890" s="6">
        <f t="shared" si="40"/>
        <v>4.7619047619047663</v>
      </c>
      <c r="P890" s="6">
        <f t="shared" si="41"/>
        <v>4.8760000000000048</v>
      </c>
      <c r="Q890">
        <f>VALUE(IF(AND(ISERR(FIND(".",'Raw Data'!Q890)),LEN('Raw Data'!Q890)=5), IF(YEAR('Raw Data'!Q890)=2026,CONCATENATE(DAY('Raw Data'!Q890),".",IF(LEN(MONTH('Raw Data'!Q890))=2,MONTH('Raw Data'!Q890),CONCATENATE(MONTH('Raw Data'!Q890)))),CONCATENATE(MONTH('Raw Data'!Q890),".",RIGHT(YEAR('Raw Data'!Q890),2))),'Raw Data'!Q890))</f>
        <v>6.8</v>
      </c>
    </row>
    <row r="891" spans="1:17">
      <c r="A891" t="s">
        <v>978</v>
      </c>
      <c r="B891" t="s">
        <v>18</v>
      </c>
      <c r="C891" t="s">
        <v>19</v>
      </c>
      <c r="D891" t="s">
        <v>20</v>
      </c>
      <c r="E891" t="s">
        <v>30</v>
      </c>
      <c r="F891" t="s">
        <v>38</v>
      </c>
      <c r="G891">
        <f>VALUE(IF(AND(ISERR(FIND(".",'Raw Data'!G891)),LEN('Raw Data'!G891)=5), IF(YEAR('Raw Data'!G891)=2026,CONCATENATE(DAY('Raw Data'!G891),".",IF(LEN(MONTH('Raw Data'!G891))=2,MONTH('Raw Data'!G891),CONCATENATE("0",MONTH('Raw Data'!G891)))),CONCATENATE(MONTH('Raw Data'!G891),".",RIGHT(YEAR('Raw Data'!G891),2))),'Raw Data'!G891))</f>
        <v>76.92</v>
      </c>
      <c r="H891">
        <f>'Raw Data'!H891</f>
        <v>10</v>
      </c>
      <c r="I891" s="6">
        <f t="shared" si="39"/>
        <v>38.459999999999923</v>
      </c>
      <c r="J891" s="6">
        <f>'Raw Data'!J891</f>
        <v>807.66</v>
      </c>
      <c r="K891" s="1">
        <f>VALUE(IFERROR(VALUE('Raw Data'!K891),CONCATENATE(MID('Raw Data'!K891,3,2),".","0",LEFT('Raw Data'!K891,1),".", RIGHT('Raw Data'!K891,4))))</f>
        <v>43541</v>
      </c>
      <c r="L891" s="2">
        <f>'Raw Data'!L891</f>
        <v>0.82847222222222217</v>
      </c>
      <c r="M891" t="s">
        <v>23</v>
      </c>
      <c r="N891">
        <f>VALUE(IF(AND(ISERR(FIND(".",'Raw Data'!N891)),LEN('Raw Data'!N891)=5), IF(YEAR('Raw Data'!N891)=2026,CONCATENATE(DAY('Raw Data'!N891),".",IF(LEN(MONTH('Raw Data'!N891))=2,MONTH('Raw Data'!N891),CONCATENATE("0",MONTH('Raw Data'!N891)))),CONCATENATE(MONTH('Raw Data'!N891),".",RIGHT(YEAR('Raw Data'!N891),2))),'Raw Data'!N891))</f>
        <v>769.2</v>
      </c>
      <c r="O891" s="6">
        <f t="shared" si="40"/>
        <v>4.761904761904753</v>
      </c>
      <c r="P891" s="6">
        <f t="shared" si="41"/>
        <v>38.459999999999923</v>
      </c>
      <c r="Q891">
        <f>VALUE(IF(AND(ISERR(FIND(".",'Raw Data'!Q891)),LEN('Raw Data'!Q891)=5), IF(YEAR('Raw Data'!Q891)=2026,CONCATENATE(DAY('Raw Data'!Q891),".",IF(LEN(MONTH('Raw Data'!Q891))=2,MONTH('Raw Data'!Q891),CONCATENATE(MONTH('Raw Data'!Q891)))),CONCATENATE(MONTH('Raw Data'!Q891),".",RIGHT(YEAR('Raw Data'!Q891),2))),'Raw Data'!Q891))</f>
        <v>5.6</v>
      </c>
    </row>
    <row r="892" spans="1:17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f>VALUE(IF(AND(ISERR(FIND(".",'Raw Data'!G892)),LEN('Raw Data'!G892)=5), IF(YEAR('Raw Data'!G892)=2026,CONCATENATE(DAY('Raw Data'!G892),".",IF(LEN(MONTH('Raw Data'!G892))=2,MONTH('Raw Data'!G892),CONCATENATE("0",MONTH('Raw Data'!G892)))),CONCATENATE(MONTH('Raw Data'!G892),".",RIGHT(YEAR('Raw Data'!G892),2))),'Raw Data'!G892))</f>
        <v>83.66</v>
      </c>
      <c r="H892">
        <f>'Raw Data'!H892</f>
        <v>5</v>
      </c>
      <c r="I892" s="6">
        <f t="shared" si="39"/>
        <v>20.91500000000002</v>
      </c>
      <c r="J892" s="6">
        <f>'Raw Data'!J892</f>
        <v>439.21499999999997</v>
      </c>
      <c r="K892" s="1">
        <f>VALUE(IFERROR(VALUE('Raw Data'!K892),CONCATENATE(MID('Raw Data'!K892,3,2),".","0",LEFT('Raw Data'!K892,1),".", RIGHT('Raw Data'!K892,4))))</f>
        <v>43517</v>
      </c>
      <c r="L892" s="2">
        <f>'Raw Data'!L892</f>
        <v>0.43472222222222223</v>
      </c>
      <c r="M892" t="s">
        <v>29</v>
      </c>
      <c r="N892">
        <f>VALUE(IF(AND(ISERR(FIND(".",'Raw Data'!N892)),LEN('Raw Data'!N892)=5), IF(YEAR('Raw Data'!N892)=2026,CONCATENATE(DAY('Raw Data'!N892),".",IF(LEN(MONTH('Raw Data'!N892))=2,MONTH('Raw Data'!N892),CONCATENATE("0",MONTH('Raw Data'!N892)))),CONCATENATE(MONTH('Raw Data'!N892),".",RIGHT(YEAR('Raw Data'!N892),2))),'Raw Data'!N892))</f>
        <v>418.3</v>
      </c>
      <c r="O892" s="6">
        <f t="shared" si="40"/>
        <v>4.7619047619047539</v>
      </c>
      <c r="P892" s="6">
        <f t="shared" si="41"/>
        <v>20.914999999999964</v>
      </c>
      <c r="Q892">
        <f>VALUE(IF(AND(ISERR(FIND(".",'Raw Data'!Q892)),LEN('Raw Data'!Q892)=5), IF(YEAR('Raw Data'!Q892)=2026,CONCATENATE(DAY('Raw Data'!Q892),".",IF(LEN(MONTH('Raw Data'!Q892))=2,MONTH('Raw Data'!Q892),CONCATENATE(MONTH('Raw Data'!Q892)))),CONCATENATE(MONTH('Raw Data'!Q892),".",RIGHT(YEAR('Raw Data'!Q892),2))),'Raw Data'!Q892))</f>
        <v>7.2</v>
      </c>
    </row>
    <row r="893" spans="1:17">
      <c r="A893" t="s">
        <v>980</v>
      </c>
      <c r="B893" t="s">
        <v>34</v>
      </c>
      <c r="C893" t="s">
        <v>35</v>
      </c>
      <c r="D893" t="s">
        <v>27</v>
      </c>
      <c r="E893" t="s">
        <v>21</v>
      </c>
      <c r="F893" t="s">
        <v>28</v>
      </c>
      <c r="G893">
        <f>VALUE(IF(AND(ISERR(FIND(".",'Raw Data'!G893)),LEN('Raw Data'!G893)=5), IF(YEAR('Raw Data'!G893)=2026,CONCATENATE(DAY('Raw Data'!G893),".",IF(LEN(MONTH('Raw Data'!G893))=2,MONTH('Raw Data'!G893),CONCATENATE("0",MONTH('Raw Data'!G893)))),CONCATENATE(MONTH('Raw Data'!G893),".",RIGHT(YEAR('Raw Data'!G893),2))),'Raw Data'!G893))</f>
        <v>57.91</v>
      </c>
      <c r="H893">
        <f>'Raw Data'!H893</f>
        <v>8</v>
      </c>
      <c r="I893" s="6">
        <f t="shared" si="39"/>
        <v>23.164000000000044</v>
      </c>
      <c r="J893" s="6">
        <f>'Raw Data'!J893</f>
        <v>486.44400000000002</v>
      </c>
      <c r="K893" s="1">
        <f>VALUE(IFERROR(VALUE('Raw Data'!K893),CONCATENATE(MID('Raw Data'!K893,3,2),".","0",LEFT('Raw Data'!K893,1),".", RIGHT('Raw Data'!K893,4))))</f>
        <v>43648</v>
      </c>
      <c r="L893" s="2">
        <f>'Raw Data'!L893</f>
        <v>0.62916666666666665</v>
      </c>
      <c r="M893" t="s">
        <v>29</v>
      </c>
      <c r="N893">
        <f>VALUE(IF(AND(ISERR(FIND(".",'Raw Data'!N893)),LEN('Raw Data'!N893)=5), IF(YEAR('Raw Data'!N893)=2026,CONCATENATE(DAY('Raw Data'!N893),".",IF(LEN(MONTH('Raw Data'!N893))=2,MONTH('Raw Data'!N893),CONCATENATE("0",MONTH('Raw Data'!N893)))),CONCATENATE(MONTH('Raw Data'!N893),".",RIGHT(YEAR('Raw Data'!N893),2))),'Raw Data'!N893))</f>
        <v>463.28</v>
      </c>
      <c r="O893" s="6">
        <f t="shared" si="40"/>
        <v>4.7619047619047707</v>
      </c>
      <c r="P893" s="6">
        <f t="shared" si="41"/>
        <v>23.164000000000044</v>
      </c>
      <c r="Q893">
        <f>VALUE(IF(AND(ISERR(FIND(".",'Raw Data'!Q893)),LEN('Raw Data'!Q893)=5), IF(YEAR('Raw Data'!Q893)=2026,CONCATENATE(DAY('Raw Data'!Q893),".",IF(LEN(MONTH('Raw Data'!Q893))=2,MONTH('Raw Data'!Q893),CONCATENATE(MONTH('Raw Data'!Q893)))),CONCATENATE(MONTH('Raw Data'!Q893),".",RIGHT(YEAR('Raw Data'!Q893),2))),'Raw Data'!Q893))</f>
        <v>8.1</v>
      </c>
    </row>
    <row r="894" spans="1:17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43</v>
      </c>
      <c r="G894">
        <f>VALUE(IF(AND(ISERR(FIND(".",'Raw Data'!G894)),LEN('Raw Data'!G894)=5), IF(YEAR('Raw Data'!G894)=2026,CONCATENATE(DAY('Raw Data'!G894),".",IF(LEN(MONTH('Raw Data'!G894))=2,MONTH('Raw Data'!G894),CONCATENATE("0",MONTH('Raw Data'!G894)))),CONCATENATE(MONTH('Raw Data'!G894),".",RIGHT(YEAR('Raw Data'!G894),2))),'Raw Data'!G894))</f>
        <v>92.49</v>
      </c>
      <c r="H894">
        <f>'Raw Data'!H894</f>
        <v>5</v>
      </c>
      <c r="I894" s="6">
        <f t="shared" si="39"/>
        <v>23.122500000000002</v>
      </c>
      <c r="J894" s="6">
        <f>'Raw Data'!J894</f>
        <v>485.57249999999999</v>
      </c>
      <c r="K894" s="1">
        <f>VALUE(IFERROR(VALUE('Raw Data'!K894),CONCATENATE(MID('Raw Data'!K894,3,2),".","0",LEFT('Raw Data'!K894,1),".", RIGHT('Raw Data'!K894,4))))</f>
        <v>43499</v>
      </c>
      <c r="L894" s="2">
        <f>'Raw Data'!L894</f>
        <v>0.69097222222222221</v>
      </c>
      <c r="M894" t="s">
        <v>33</v>
      </c>
      <c r="N894">
        <f>VALUE(IF(AND(ISERR(FIND(".",'Raw Data'!N894)),LEN('Raw Data'!N894)=5), IF(YEAR('Raw Data'!N894)=2026,CONCATENATE(DAY('Raw Data'!N894),".",IF(LEN(MONTH('Raw Data'!N894))=2,MONTH('Raw Data'!N894),CONCATENATE("0",MONTH('Raw Data'!N894)))),CONCATENATE(MONTH('Raw Data'!N894),".",RIGHT(YEAR('Raw Data'!N894),2))),'Raw Data'!N894))</f>
        <v>462.45</v>
      </c>
      <c r="O894" s="6">
        <f t="shared" si="40"/>
        <v>4.7619047619047628</v>
      </c>
      <c r="P894" s="6">
        <f t="shared" si="41"/>
        <v>23.122500000000002</v>
      </c>
      <c r="Q894">
        <f>VALUE(IF(AND(ISERR(FIND(".",'Raw Data'!Q894)),LEN('Raw Data'!Q894)=5), IF(YEAR('Raw Data'!Q894)=2026,CONCATENATE(DAY('Raw Data'!Q894),".",IF(LEN(MONTH('Raw Data'!Q894))=2,MONTH('Raw Data'!Q894),CONCATENATE(MONTH('Raw Data'!Q894)))),CONCATENATE(MONTH('Raw Data'!Q894),".",RIGHT(YEAR('Raw Data'!Q894),2))),'Raw Data'!Q894))</f>
        <v>8.6</v>
      </c>
    </row>
    <row r="895" spans="1:17">
      <c r="A895" t="s">
        <v>982</v>
      </c>
      <c r="B895" t="s">
        <v>34</v>
      </c>
      <c r="C895" t="s">
        <v>35</v>
      </c>
      <c r="D895" t="s">
        <v>27</v>
      </c>
      <c r="E895" t="s">
        <v>30</v>
      </c>
      <c r="F895" t="s">
        <v>28</v>
      </c>
      <c r="G895">
        <f>VALUE(IF(AND(ISERR(FIND(".",'Raw Data'!G895)),LEN('Raw Data'!G895)=5), IF(YEAR('Raw Data'!G895)=2026,CONCATENATE(DAY('Raw Data'!G895),".",IF(LEN(MONTH('Raw Data'!G895))=2,MONTH('Raw Data'!G895),CONCATENATE("0",MONTH('Raw Data'!G895)))),CONCATENATE(MONTH('Raw Data'!G895),".",RIGHT(YEAR('Raw Data'!G895),2))),'Raw Data'!G895))</f>
        <v>28.38</v>
      </c>
      <c r="H895">
        <f>'Raw Data'!H895</f>
        <v>5</v>
      </c>
      <c r="I895" s="6">
        <f t="shared" si="39"/>
        <v>7.0949999999999989</v>
      </c>
      <c r="J895" s="6">
        <f>'Raw Data'!J895</f>
        <v>148.995</v>
      </c>
      <c r="K895" s="1">
        <f>VALUE(IFERROR(VALUE('Raw Data'!K895),CONCATENATE(MID('Raw Data'!K895,3,2),".","0",LEFT('Raw Data'!K895,1),".", RIGHT('Raw Data'!K895,4))))</f>
        <v>43619</v>
      </c>
      <c r="L895" s="2">
        <f>'Raw Data'!L895</f>
        <v>0.87291666666666667</v>
      </c>
      <c r="M895" t="s">
        <v>29</v>
      </c>
      <c r="N895">
        <f>VALUE(IF(AND(ISERR(FIND(".",'Raw Data'!N895)),LEN('Raw Data'!N895)=5), IF(YEAR('Raw Data'!N895)=2026,CONCATENATE(DAY('Raw Data'!N895),".",IF(LEN(MONTH('Raw Data'!N895))=2,MONTH('Raw Data'!N895),CONCATENATE("0",MONTH('Raw Data'!N895)))),CONCATENATE(MONTH('Raw Data'!N895),".",RIGHT(YEAR('Raw Data'!N895),2))),'Raw Data'!N895))</f>
        <v>141.9</v>
      </c>
      <c r="O895" s="6">
        <f t="shared" si="40"/>
        <v>4.761904761904761</v>
      </c>
      <c r="P895" s="6">
        <f t="shared" si="41"/>
        <v>7.0949999999999989</v>
      </c>
      <c r="Q895">
        <f>VALUE(IF(AND(ISERR(FIND(".",'Raw Data'!Q895)),LEN('Raw Data'!Q895)=5), IF(YEAR('Raw Data'!Q895)=2026,CONCATENATE(DAY('Raw Data'!Q895),".",IF(LEN(MONTH('Raw Data'!Q895))=2,MONTH('Raw Data'!Q895),CONCATENATE(MONTH('Raw Data'!Q895)))),CONCATENATE(MONTH('Raw Data'!Q895),".",RIGHT(YEAR('Raw Data'!Q895),2))),'Raw Data'!Q895))</f>
        <v>9.4</v>
      </c>
    </row>
    <row r="896" spans="1:17">
      <c r="A896" t="s">
        <v>983</v>
      </c>
      <c r="B896" t="s">
        <v>34</v>
      </c>
      <c r="C896" t="s">
        <v>35</v>
      </c>
      <c r="D896" t="s">
        <v>20</v>
      </c>
      <c r="E896" t="s">
        <v>30</v>
      </c>
      <c r="F896" t="s">
        <v>28</v>
      </c>
      <c r="G896">
        <f>VALUE(IF(AND(ISERR(FIND(".",'Raw Data'!G896)),LEN('Raw Data'!G896)=5), IF(YEAR('Raw Data'!G896)=2026,CONCATENATE(DAY('Raw Data'!G896),".",IF(LEN(MONTH('Raw Data'!G896))=2,MONTH('Raw Data'!G896),CONCATENATE("0",MONTH('Raw Data'!G896)))),CONCATENATE(MONTH('Raw Data'!G896),".",RIGHT(YEAR('Raw Data'!G896),2))),'Raw Data'!G896))</f>
        <v>50.45</v>
      </c>
      <c r="H896">
        <f>'Raw Data'!H896</f>
        <v>6</v>
      </c>
      <c r="I896" s="6">
        <f t="shared" si="39"/>
        <v>15.134999999999934</v>
      </c>
      <c r="J896" s="6">
        <f>'Raw Data'!J896</f>
        <v>317.83499999999998</v>
      </c>
      <c r="K896" s="1">
        <f>VALUE(IFERROR(VALUE('Raw Data'!K896),CONCATENATE(MID('Raw Data'!K896,3,2),".","0",LEFT('Raw Data'!K896,1),".", RIGHT('Raw Data'!K896,4))))</f>
        <v>43618</v>
      </c>
      <c r="L896" s="2">
        <f>'Raw Data'!L896</f>
        <v>0.63611111111111118</v>
      </c>
      <c r="M896" t="s">
        <v>33</v>
      </c>
      <c r="N896">
        <f>VALUE(IF(AND(ISERR(FIND(".",'Raw Data'!N896)),LEN('Raw Data'!N896)=5), IF(YEAR('Raw Data'!N896)=2026,CONCATENATE(DAY('Raw Data'!N896),".",IF(LEN(MONTH('Raw Data'!N896))=2,MONTH('Raw Data'!N896),CONCATENATE("0",MONTH('Raw Data'!N896)))),CONCATENATE(MONTH('Raw Data'!N896),".",RIGHT(YEAR('Raw Data'!N896),2))),'Raw Data'!N896))</f>
        <v>302.7</v>
      </c>
      <c r="O896" s="6">
        <f t="shared" si="40"/>
        <v>4.7619047619047592</v>
      </c>
      <c r="P896" s="6">
        <f t="shared" si="41"/>
        <v>15.134999999999991</v>
      </c>
      <c r="Q896">
        <f>VALUE(IF(AND(ISERR(FIND(".",'Raw Data'!Q896)),LEN('Raw Data'!Q896)=5), IF(YEAR('Raw Data'!Q896)=2026,CONCATENATE(DAY('Raw Data'!Q896),".",IF(LEN(MONTH('Raw Data'!Q896))=2,MONTH('Raw Data'!Q896),CONCATENATE(MONTH('Raw Data'!Q896)))),CONCATENATE(MONTH('Raw Data'!Q896),".",RIGHT(YEAR('Raw Data'!Q896),2))),'Raw Data'!Q896))</f>
        <v>8.9</v>
      </c>
    </row>
    <row r="897" spans="1:17">
      <c r="A897" t="s">
        <v>984</v>
      </c>
      <c r="B897" t="s">
        <v>34</v>
      </c>
      <c r="C897" t="s">
        <v>35</v>
      </c>
      <c r="D897" t="s">
        <v>27</v>
      </c>
      <c r="E897" t="s">
        <v>30</v>
      </c>
      <c r="F897" t="s">
        <v>22</v>
      </c>
      <c r="G897">
        <f>VALUE(IF(AND(ISERR(FIND(".",'Raw Data'!G897)),LEN('Raw Data'!G897)=5), IF(YEAR('Raw Data'!G897)=2026,CONCATENATE(DAY('Raw Data'!G897),".",IF(LEN(MONTH('Raw Data'!G897))=2,MONTH('Raw Data'!G897),CONCATENATE("0",MONTH('Raw Data'!G897)))),CONCATENATE(MONTH('Raw Data'!G897),".",RIGHT(YEAR('Raw Data'!G897),2))),'Raw Data'!G897))</f>
        <v>99.16</v>
      </c>
      <c r="H897">
        <f>'Raw Data'!H897</f>
        <v>8</v>
      </c>
      <c r="I897" s="6">
        <f t="shared" si="39"/>
        <v>39.663999999999987</v>
      </c>
      <c r="J897" s="6">
        <f>'Raw Data'!J897</f>
        <v>832.94399999999996</v>
      </c>
      <c r="K897" s="1">
        <f>VALUE(IFERROR(VALUE('Raw Data'!K897),CONCATENATE(MID('Raw Data'!K897,3,2),".","0",LEFT('Raw Data'!K897,1),".", RIGHT('Raw Data'!K897,4))))</f>
        <v>43493</v>
      </c>
      <c r="L897" s="2">
        <f>'Raw Data'!L897</f>
        <v>0.74097222222222225</v>
      </c>
      <c r="M897" t="s">
        <v>33</v>
      </c>
      <c r="N897">
        <f>VALUE(IF(AND(ISERR(FIND(".",'Raw Data'!N897)),LEN('Raw Data'!N897)=5), IF(YEAR('Raw Data'!N897)=2026,CONCATENATE(DAY('Raw Data'!N897),".",IF(LEN(MONTH('Raw Data'!N897))=2,MONTH('Raw Data'!N897),CONCATENATE("0",MONTH('Raw Data'!N897)))),CONCATENATE(MONTH('Raw Data'!N897),".",RIGHT(YEAR('Raw Data'!N897),2))),'Raw Data'!N897))</f>
        <v>793.28</v>
      </c>
      <c r="O897" s="6">
        <f t="shared" si="40"/>
        <v>4.761904761904761</v>
      </c>
      <c r="P897" s="6">
        <f t="shared" si="41"/>
        <v>39.663999999999987</v>
      </c>
      <c r="Q897">
        <f>VALUE(IF(AND(ISERR(FIND(".",'Raw Data'!Q897)),LEN('Raw Data'!Q897)=5), IF(YEAR('Raw Data'!Q897)=2026,CONCATENATE(DAY('Raw Data'!Q897),".",IF(LEN(MONTH('Raw Data'!Q897))=2,MONTH('Raw Data'!Q897),CONCATENATE(MONTH('Raw Data'!Q897)))),CONCATENATE(MONTH('Raw Data'!Q897),".",RIGHT(YEAR('Raw Data'!Q897),2))),'Raw Data'!Q897))</f>
        <v>4.2</v>
      </c>
    </row>
    <row r="898" spans="1:17">
      <c r="A898" t="s">
        <v>985</v>
      </c>
      <c r="B898" t="s">
        <v>25</v>
      </c>
      <c r="C898" t="s">
        <v>26</v>
      </c>
      <c r="D898" t="s">
        <v>27</v>
      </c>
      <c r="E898" t="s">
        <v>30</v>
      </c>
      <c r="F898" t="s">
        <v>43</v>
      </c>
      <c r="G898">
        <f>VALUE(IF(AND(ISERR(FIND(".",'Raw Data'!G898)),LEN('Raw Data'!G898)=5), IF(YEAR('Raw Data'!G898)=2026,CONCATENATE(DAY('Raw Data'!G898),".",IF(LEN(MONTH('Raw Data'!G898))=2,MONTH('Raw Data'!G898),CONCATENATE("0",MONTH('Raw Data'!G898)))),CONCATENATE(MONTH('Raw Data'!G898),".",RIGHT(YEAR('Raw Data'!G898),2))),'Raw Data'!G898))</f>
        <v>60.74</v>
      </c>
      <c r="H898">
        <f>'Raw Data'!H898</f>
        <v>7</v>
      </c>
      <c r="I898" s="6">
        <f t="shared" si="39"/>
        <v>21.259000000000015</v>
      </c>
      <c r="J898" s="6">
        <f>'Raw Data'!J898</f>
        <v>446.43900000000002</v>
      </c>
      <c r="K898" s="1">
        <f>VALUE(IFERROR(VALUE('Raw Data'!K898),CONCATENATE(MID('Raw Data'!K898,3,2),".","0",LEFT('Raw Data'!K898,1),".", RIGHT('Raw Data'!K898,4))))</f>
        <v>43483</v>
      </c>
      <c r="L898" s="2">
        <f>'Raw Data'!L898</f>
        <v>0.68263888888888891</v>
      </c>
      <c r="M898" t="s">
        <v>23</v>
      </c>
      <c r="N898">
        <f>VALUE(IF(AND(ISERR(FIND(".",'Raw Data'!N898)),LEN('Raw Data'!N898)=5), IF(YEAR('Raw Data'!N898)=2026,CONCATENATE(DAY('Raw Data'!N898),".",IF(LEN(MONTH('Raw Data'!N898))=2,MONTH('Raw Data'!N898),CONCATENATE("0",MONTH('Raw Data'!N898)))),CONCATENATE(MONTH('Raw Data'!N898),".",RIGHT(YEAR('Raw Data'!N898),2))),'Raw Data'!N898))</f>
        <v>425.18</v>
      </c>
      <c r="O898" s="6">
        <f t="shared" si="40"/>
        <v>4.7619047619047654</v>
      </c>
      <c r="P898" s="6">
        <f t="shared" si="41"/>
        <v>21.259000000000015</v>
      </c>
      <c r="Q898">
        <f>VALUE(IF(AND(ISERR(FIND(".",'Raw Data'!Q898)),LEN('Raw Data'!Q898)=5), IF(YEAR('Raw Data'!Q898)=2026,CONCATENATE(DAY('Raw Data'!Q898),".",IF(LEN(MONTH('Raw Data'!Q898))=2,MONTH('Raw Data'!Q898),CONCATENATE(MONTH('Raw Data'!Q898)))),CONCATENATE(MONTH('Raw Data'!Q898),".",RIGHT(YEAR('Raw Data'!Q898),2))),'Raw Data'!Q898))</f>
        <v>5</v>
      </c>
    </row>
    <row r="899" spans="1:17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40</v>
      </c>
      <c r="G899">
        <f>VALUE(IF(AND(ISERR(FIND(".",'Raw Data'!G899)),LEN('Raw Data'!G899)=5), IF(YEAR('Raw Data'!G899)=2026,CONCATENATE(DAY('Raw Data'!G899),".",IF(LEN(MONTH('Raw Data'!G899))=2,MONTH('Raw Data'!G899),CONCATENATE("0",MONTH('Raw Data'!G899)))),CONCATENATE(MONTH('Raw Data'!G899),".",RIGHT(YEAR('Raw Data'!G899),2))),'Raw Data'!G899))</f>
        <v>47.27</v>
      </c>
      <c r="H899">
        <f>'Raw Data'!H899</f>
        <v>6</v>
      </c>
      <c r="I899" s="6">
        <f t="shared" ref="I899:I962" si="42">J899-G899*H899</f>
        <v>14.180999999999983</v>
      </c>
      <c r="J899" s="6">
        <f>'Raw Data'!J899</f>
        <v>297.80099999999999</v>
      </c>
      <c r="K899" s="1">
        <f>VALUE(IFERROR(VALUE('Raw Data'!K899),CONCATENATE(MID('Raw Data'!K899,3,2),".","0",LEFT('Raw Data'!K899,1),".", RIGHT('Raw Data'!K899,4))))</f>
        <v>43587</v>
      </c>
      <c r="L899" s="2">
        <f>'Raw Data'!L899</f>
        <v>0.4284722222222222</v>
      </c>
      <c r="M899" t="s">
        <v>29</v>
      </c>
      <c r="N899">
        <f>VALUE(IF(AND(ISERR(FIND(".",'Raw Data'!N899)),LEN('Raw Data'!N899)=5), IF(YEAR('Raw Data'!N899)=2026,CONCATENATE(DAY('Raw Data'!N899),".",IF(LEN(MONTH('Raw Data'!N899))=2,MONTH('Raw Data'!N899),CONCATENATE("0",MONTH('Raw Data'!N899)))),CONCATENATE(MONTH('Raw Data'!N899),".",RIGHT(YEAR('Raw Data'!N899),2))),'Raw Data'!N899))</f>
        <v>283.62</v>
      </c>
      <c r="O899" s="6">
        <f t="shared" ref="O899:O962" si="43">P899/J899*100</f>
        <v>4.7619047619047565</v>
      </c>
      <c r="P899" s="6">
        <f t="shared" ref="P899:P962" si="44">J899-N899</f>
        <v>14.180999999999983</v>
      </c>
      <c r="Q899">
        <f>VALUE(IF(AND(ISERR(FIND(".",'Raw Data'!Q899)),LEN('Raw Data'!Q899)=5), IF(YEAR('Raw Data'!Q899)=2026,CONCATENATE(DAY('Raw Data'!Q899),".",IF(LEN(MONTH('Raw Data'!Q899))=2,MONTH('Raw Data'!Q899),CONCATENATE(MONTH('Raw Data'!Q899)))),CONCATENATE(MONTH('Raw Data'!Q899),".",RIGHT(YEAR('Raw Data'!Q899),2))),'Raw Data'!Q899))</f>
        <v>8.8000000000000007</v>
      </c>
    </row>
    <row r="900" spans="1:17">
      <c r="A900" t="s">
        <v>987</v>
      </c>
      <c r="B900" t="s">
        <v>25</v>
      </c>
      <c r="C900" t="s">
        <v>26</v>
      </c>
      <c r="D900" t="s">
        <v>20</v>
      </c>
      <c r="E900" t="s">
        <v>30</v>
      </c>
      <c r="F900" t="s">
        <v>22</v>
      </c>
      <c r="G900">
        <f>VALUE(IF(AND(ISERR(FIND(".",'Raw Data'!G900)),LEN('Raw Data'!G900)=5), IF(YEAR('Raw Data'!G900)=2026,CONCATENATE(DAY('Raw Data'!G900),".",IF(LEN(MONTH('Raw Data'!G900))=2,MONTH('Raw Data'!G900),CONCATENATE("0",MONTH('Raw Data'!G900)))),CONCATENATE(MONTH('Raw Data'!G900),".",RIGHT(YEAR('Raw Data'!G900),2))),'Raw Data'!G900))</f>
        <v>85.6</v>
      </c>
      <c r="H900">
        <f>'Raw Data'!H900</f>
        <v>7</v>
      </c>
      <c r="I900" s="6">
        <f t="shared" si="42"/>
        <v>29.960000000000036</v>
      </c>
      <c r="J900" s="6">
        <f>'Raw Data'!J900</f>
        <v>629.16</v>
      </c>
      <c r="K900" s="1">
        <f>VALUE(IFERROR(VALUE('Raw Data'!K900),CONCATENATE(MID('Raw Data'!K900,3,2),".","0",LEFT('Raw Data'!K900,1),".", RIGHT('Raw Data'!K900,4))))</f>
        <v>43499</v>
      </c>
      <c r="L900" s="2">
        <f>'Raw Data'!L900</f>
        <v>0.57638888888888895</v>
      </c>
      <c r="M900" t="s">
        <v>29</v>
      </c>
      <c r="N900">
        <f>VALUE(IF(AND(ISERR(FIND(".",'Raw Data'!N900)),LEN('Raw Data'!N900)=5), IF(YEAR('Raw Data'!N900)=2026,CONCATENATE(DAY('Raw Data'!N900),".",IF(LEN(MONTH('Raw Data'!N900))=2,MONTH('Raw Data'!N900),CONCATENATE("0",MONTH('Raw Data'!N900)))),CONCATENATE(MONTH('Raw Data'!N900),".",RIGHT(YEAR('Raw Data'!N900),2))),'Raw Data'!N900))</f>
        <v>599.20000000000005</v>
      </c>
      <c r="O900" s="6">
        <f t="shared" si="43"/>
        <v>4.7619047619047494</v>
      </c>
      <c r="P900" s="6">
        <f t="shared" si="44"/>
        <v>29.959999999999923</v>
      </c>
      <c r="Q900">
        <f>VALUE(IF(AND(ISERR(FIND(".",'Raw Data'!Q900)),LEN('Raw Data'!Q900)=5), IF(YEAR('Raw Data'!Q900)=2026,CONCATENATE(DAY('Raw Data'!Q900),".",IF(LEN(MONTH('Raw Data'!Q900))=2,MONTH('Raw Data'!Q900),CONCATENATE(MONTH('Raw Data'!Q900)))),CONCATENATE(MONTH('Raw Data'!Q900),".",RIGHT(YEAR('Raw Data'!Q900),2))),'Raw Data'!Q900))</f>
        <v>5.3</v>
      </c>
    </row>
    <row r="901" spans="1:17">
      <c r="A901" t="s">
        <v>988</v>
      </c>
      <c r="B901" t="s">
        <v>18</v>
      </c>
      <c r="C901" t="s">
        <v>19</v>
      </c>
      <c r="D901" t="s">
        <v>20</v>
      </c>
      <c r="E901" t="s">
        <v>30</v>
      </c>
      <c r="F901" t="s">
        <v>40</v>
      </c>
      <c r="G901">
        <f>VALUE(IF(AND(ISERR(FIND(".",'Raw Data'!G901)),LEN('Raw Data'!G901)=5), IF(YEAR('Raw Data'!G901)=2026,CONCATENATE(DAY('Raw Data'!G901),".",IF(LEN(MONTH('Raw Data'!G901))=2,MONTH('Raw Data'!G901),CONCATENATE("0",MONTH('Raw Data'!G901)))),CONCATENATE(MONTH('Raw Data'!G901),".",RIGHT(YEAR('Raw Data'!G901),2))),'Raw Data'!G901))</f>
        <v>35.04</v>
      </c>
      <c r="H901">
        <f>'Raw Data'!H901</f>
        <v>9</v>
      </c>
      <c r="I901" s="6">
        <f t="shared" si="42"/>
        <v>15.767999999999972</v>
      </c>
      <c r="J901" s="6">
        <f>'Raw Data'!J901</f>
        <v>331.12799999999999</v>
      </c>
      <c r="K901" s="1">
        <f>VALUE(IFERROR(VALUE('Raw Data'!K901),CONCATENATE(MID('Raw Data'!K901,3,2),".","0",LEFT('Raw Data'!K901,1),".", RIGHT('Raw Data'!K901,4))))</f>
        <v>43710</v>
      </c>
      <c r="L901" s="2">
        <f>'Raw Data'!L901</f>
        <v>0.80347222222222225</v>
      </c>
      <c r="M901" t="s">
        <v>23</v>
      </c>
      <c r="N901">
        <f>VALUE(IF(AND(ISERR(FIND(".",'Raw Data'!N901)),LEN('Raw Data'!N901)=5), IF(YEAR('Raw Data'!N901)=2026,CONCATENATE(DAY('Raw Data'!N901),".",IF(LEN(MONTH('Raw Data'!N901))=2,MONTH('Raw Data'!N901),CONCATENATE("0",MONTH('Raw Data'!N901)))),CONCATENATE(MONTH('Raw Data'!N901),".",RIGHT(YEAR('Raw Data'!N901),2))),'Raw Data'!N901))</f>
        <v>315.36</v>
      </c>
      <c r="O901" s="6">
        <f t="shared" si="43"/>
        <v>4.7619047619047539</v>
      </c>
      <c r="P901" s="6">
        <f t="shared" si="44"/>
        <v>15.767999999999972</v>
      </c>
      <c r="Q901">
        <f>VALUE(IF(AND(ISERR(FIND(".",'Raw Data'!Q901)),LEN('Raw Data'!Q901)=5), IF(YEAR('Raw Data'!Q901)=2026,CONCATENATE(DAY('Raw Data'!Q901),".",IF(LEN(MONTH('Raw Data'!Q901))=2,MONTH('Raw Data'!Q901),CONCATENATE(MONTH('Raw Data'!Q901)))),CONCATENATE(MONTH('Raw Data'!Q901),".",RIGHT(YEAR('Raw Data'!Q901),2))),'Raw Data'!Q901))</f>
        <v>4.5999999999999996</v>
      </c>
    </row>
    <row r="902" spans="1:17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f>VALUE(IF(AND(ISERR(FIND(".",'Raw Data'!G902)),LEN('Raw Data'!G902)=5), IF(YEAR('Raw Data'!G902)=2026,CONCATENATE(DAY('Raw Data'!G902),".",IF(LEN(MONTH('Raw Data'!G902))=2,MONTH('Raw Data'!G902),CONCATENATE("0",MONTH('Raw Data'!G902)))),CONCATENATE(MONTH('Raw Data'!G902),".",RIGHT(YEAR('Raw Data'!G902),2))),'Raw Data'!G902))</f>
        <v>44.84</v>
      </c>
      <c r="H902">
        <f>'Raw Data'!H902</f>
        <v>9</v>
      </c>
      <c r="I902" s="6">
        <f t="shared" si="42"/>
        <v>20.17799999999994</v>
      </c>
      <c r="J902" s="6">
        <f>'Raw Data'!J902</f>
        <v>423.738</v>
      </c>
      <c r="K902" s="1">
        <f>VALUE(IFERROR(VALUE('Raw Data'!K902),CONCATENATE(MID('Raw Data'!K902,3,2),".","0",LEFT('Raw Data'!K902,1),".", RIGHT('Raw Data'!K902,4))))</f>
        <v>43479</v>
      </c>
      <c r="L902" s="2">
        <f>'Raw Data'!L902</f>
        <v>0.58333333333333337</v>
      </c>
      <c r="M902" t="s">
        <v>33</v>
      </c>
      <c r="N902">
        <f>VALUE(IF(AND(ISERR(FIND(".",'Raw Data'!N902)),LEN('Raw Data'!N902)=5), IF(YEAR('Raw Data'!N902)=2026,CONCATENATE(DAY('Raw Data'!N902),".",IF(LEN(MONTH('Raw Data'!N902))=2,MONTH('Raw Data'!N902),CONCATENATE("0",MONTH('Raw Data'!N902)))),CONCATENATE(MONTH('Raw Data'!N902),".",RIGHT(YEAR('Raw Data'!N902),2))),'Raw Data'!N902))</f>
        <v>403.56</v>
      </c>
      <c r="O902" s="6">
        <f t="shared" si="43"/>
        <v>4.761904761904761</v>
      </c>
      <c r="P902" s="6">
        <f t="shared" si="44"/>
        <v>20.177999999999997</v>
      </c>
      <c r="Q902">
        <f>VALUE(IF(AND(ISERR(FIND(".",'Raw Data'!Q902)),LEN('Raw Data'!Q902)=5), IF(YEAR('Raw Data'!Q902)=2026,CONCATENATE(DAY('Raw Data'!Q902),".",IF(LEN(MONTH('Raw Data'!Q902))=2,MONTH('Raw Data'!Q902),CONCATENATE(MONTH('Raw Data'!Q902)))),CONCATENATE(MONTH('Raw Data'!Q902),".",RIGHT(YEAR('Raw Data'!Q902),2))),'Raw Data'!Q902))</f>
        <v>7.5</v>
      </c>
    </row>
    <row r="903" spans="1:17">
      <c r="A903" t="s">
        <v>990</v>
      </c>
      <c r="B903" t="s">
        <v>34</v>
      </c>
      <c r="C903" t="s">
        <v>35</v>
      </c>
      <c r="D903" t="s">
        <v>27</v>
      </c>
      <c r="E903" t="s">
        <v>30</v>
      </c>
      <c r="F903" t="s">
        <v>32</v>
      </c>
      <c r="G903">
        <f>VALUE(IF(AND(ISERR(FIND(".",'Raw Data'!G903)),LEN('Raw Data'!G903)=5), IF(YEAR('Raw Data'!G903)=2026,CONCATENATE(DAY('Raw Data'!G903),".",IF(LEN(MONTH('Raw Data'!G903))=2,MONTH('Raw Data'!G903),CONCATENATE("0",MONTH('Raw Data'!G903)))),CONCATENATE(MONTH('Raw Data'!G903),".",RIGHT(YEAR('Raw Data'!G903),2))),'Raw Data'!G903))</f>
        <v>45.97</v>
      </c>
      <c r="H903">
        <f>'Raw Data'!H903</f>
        <v>4</v>
      </c>
      <c r="I903" s="6">
        <f t="shared" si="42"/>
        <v>9.1940000000000168</v>
      </c>
      <c r="J903" s="6">
        <f>'Raw Data'!J903</f>
        <v>193.07400000000001</v>
      </c>
      <c r="K903" s="1">
        <f>VALUE(IFERROR(VALUE('Raw Data'!K903),CONCATENATE(MID('Raw Data'!K903,3,2),".","0",LEFT('Raw Data'!K903,1),".", RIGHT('Raw Data'!K903,4))))</f>
        <v>43710</v>
      </c>
      <c r="L903" s="2">
        <f>'Raw Data'!L903</f>
        <v>0.50138888888888888</v>
      </c>
      <c r="M903" t="s">
        <v>23</v>
      </c>
      <c r="N903">
        <f>VALUE(IF(AND(ISERR(FIND(".",'Raw Data'!N903)),LEN('Raw Data'!N903)=5), IF(YEAR('Raw Data'!N903)=2026,CONCATENATE(DAY('Raw Data'!N903),".",IF(LEN(MONTH('Raw Data'!N903))=2,MONTH('Raw Data'!N903),CONCATENATE("0",MONTH('Raw Data'!N903)))),CONCATENATE(MONTH('Raw Data'!N903),".",RIGHT(YEAR('Raw Data'!N903),2))),'Raw Data'!N903))</f>
        <v>183.88</v>
      </c>
      <c r="O903" s="6">
        <f t="shared" si="43"/>
        <v>4.7619047619047707</v>
      </c>
      <c r="P903" s="6">
        <f t="shared" si="44"/>
        <v>9.1940000000000168</v>
      </c>
      <c r="Q903">
        <f>VALUE(IF(AND(ISERR(FIND(".",'Raw Data'!Q903)),LEN('Raw Data'!Q903)=5), IF(YEAR('Raw Data'!Q903)=2026,CONCATENATE(DAY('Raw Data'!Q903),".",IF(LEN(MONTH('Raw Data'!Q903))=2,MONTH('Raw Data'!Q903),CONCATENATE(MONTH('Raw Data'!Q903)))),CONCATENATE(MONTH('Raw Data'!Q903),".",RIGHT(YEAR('Raw Data'!Q903),2))),'Raw Data'!Q903))</f>
        <v>5.0999999999999996</v>
      </c>
    </row>
    <row r="904" spans="1:17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f>VALUE(IF(AND(ISERR(FIND(".",'Raw Data'!G904)),LEN('Raw Data'!G904)=5), IF(YEAR('Raw Data'!G904)=2026,CONCATENATE(DAY('Raw Data'!G904),".",IF(LEN(MONTH('Raw Data'!G904))=2,MONTH('Raw Data'!G904),CONCATENATE("0",MONTH('Raw Data'!G904)))),CONCATENATE(MONTH('Raw Data'!G904),".",RIGHT(YEAR('Raw Data'!G904),2))),'Raw Data'!G904))</f>
        <v>27.73</v>
      </c>
      <c r="H904">
        <f>'Raw Data'!H904</f>
        <v>5</v>
      </c>
      <c r="I904" s="6">
        <f t="shared" si="42"/>
        <v>6.9325000000000045</v>
      </c>
      <c r="J904" s="6">
        <f>'Raw Data'!J904</f>
        <v>145.58250000000001</v>
      </c>
      <c r="K904" s="1">
        <f>VALUE(IFERROR(VALUE('Raw Data'!K904),CONCATENATE(MID('Raw Data'!K904,3,2),".","0",LEFT('Raw Data'!K904,1),".", RIGHT('Raw Data'!K904,4))))</f>
        <v>43550</v>
      </c>
      <c r="L904" s="2">
        <f>'Raw Data'!L904</f>
        <v>0.84791666666666676</v>
      </c>
      <c r="M904" t="s">
        <v>33</v>
      </c>
      <c r="N904">
        <f>VALUE(IF(AND(ISERR(FIND(".",'Raw Data'!N904)),LEN('Raw Data'!N904)=5), IF(YEAR('Raw Data'!N904)=2026,CONCATENATE(DAY('Raw Data'!N904),".",IF(LEN(MONTH('Raw Data'!N904))=2,MONTH('Raw Data'!N904),CONCATENATE("0",MONTH('Raw Data'!N904)))),CONCATENATE(MONTH('Raw Data'!N904),".",RIGHT(YEAR('Raw Data'!N904),2))),'Raw Data'!N904))</f>
        <v>138.65</v>
      </c>
      <c r="O904" s="6">
        <f t="shared" si="43"/>
        <v>4.7619047619047645</v>
      </c>
      <c r="P904" s="6">
        <f t="shared" si="44"/>
        <v>6.9325000000000045</v>
      </c>
      <c r="Q904">
        <f>VALUE(IF(AND(ISERR(FIND(".",'Raw Data'!Q904)),LEN('Raw Data'!Q904)=5), IF(YEAR('Raw Data'!Q904)=2026,CONCATENATE(DAY('Raw Data'!Q904),".",IF(LEN(MONTH('Raw Data'!Q904))=2,MONTH('Raw Data'!Q904),CONCATENATE(MONTH('Raw Data'!Q904)))),CONCATENATE(MONTH('Raw Data'!Q904),".",RIGHT(YEAR('Raw Data'!Q904),2))),'Raw Data'!Q904))</f>
        <v>4.2</v>
      </c>
    </row>
    <row r="905" spans="1:17">
      <c r="A905" t="s">
        <v>992</v>
      </c>
      <c r="B905" t="s">
        <v>18</v>
      </c>
      <c r="C905" t="s">
        <v>19</v>
      </c>
      <c r="D905" t="s">
        <v>27</v>
      </c>
      <c r="E905" t="s">
        <v>30</v>
      </c>
      <c r="F905" t="s">
        <v>40</v>
      </c>
      <c r="G905">
        <f>VALUE(IF(AND(ISERR(FIND(".",'Raw Data'!G905)),LEN('Raw Data'!G905)=5), IF(YEAR('Raw Data'!G905)=2026,CONCATENATE(DAY('Raw Data'!G905),".",IF(LEN(MONTH('Raw Data'!G905))=2,MONTH('Raw Data'!G905),CONCATENATE("0",MONTH('Raw Data'!G905)))),CONCATENATE(MONTH('Raw Data'!G905),".",RIGHT(YEAR('Raw Data'!G905),2))),'Raw Data'!G905))</f>
        <v>11.53</v>
      </c>
      <c r="H905">
        <f>'Raw Data'!H905</f>
        <v>7</v>
      </c>
      <c r="I905" s="6">
        <f t="shared" si="42"/>
        <v>4.0355000000000132</v>
      </c>
      <c r="J905" s="6">
        <f>'Raw Data'!J905</f>
        <v>84.745500000000007</v>
      </c>
      <c r="K905" s="1">
        <f>VALUE(IFERROR(VALUE('Raw Data'!K905),CONCATENATE(MID('Raw Data'!K905,3,2),".","0",LEFT('Raw Data'!K905,1),".", RIGHT('Raw Data'!K905,4))))</f>
        <v>43493</v>
      </c>
      <c r="L905" s="2">
        <f>'Raw Data'!L905</f>
        <v>0.73263888888888884</v>
      </c>
      <c r="M905" t="s">
        <v>29</v>
      </c>
      <c r="N905">
        <f>VALUE(IF(AND(ISERR(FIND(".",'Raw Data'!N905)),LEN('Raw Data'!N905)=5), IF(YEAR('Raw Data'!N905)=2026,CONCATENATE(DAY('Raw Data'!N905),".",IF(LEN(MONTH('Raw Data'!N905))=2,MONTH('Raw Data'!N905),CONCATENATE("0",MONTH('Raw Data'!N905)))),CONCATENATE(MONTH('Raw Data'!N905),".",RIGHT(YEAR('Raw Data'!N905),2))),'Raw Data'!N905))</f>
        <v>80.709999999999994</v>
      </c>
      <c r="O905" s="6">
        <f t="shared" si="43"/>
        <v>4.761904761904777</v>
      </c>
      <c r="P905" s="6">
        <f t="shared" si="44"/>
        <v>4.0355000000000132</v>
      </c>
      <c r="Q905">
        <f>VALUE(IF(AND(ISERR(FIND(".",'Raw Data'!Q905)),LEN('Raw Data'!Q905)=5), IF(YEAR('Raw Data'!Q905)=2026,CONCATENATE(DAY('Raw Data'!Q905),".",IF(LEN(MONTH('Raw Data'!Q905))=2,MONTH('Raw Data'!Q905),CONCATENATE(MONTH('Raw Data'!Q905)))),CONCATENATE(MONTH('Raw Data'!Q905),".",RIGHT(YEAR('Raw Data'!Q905),2))),'Raw Data'!Q905))</f>
        <v>8.1</v>
      </c>
    </row>
    <row r="906" spans="1:17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f>VALUE(IF(AND(ISERR(FIND(".",'Raw Data'!G906)),LEN('Raw Data'!G906)=5), IF(YEAR('Raw Data'!G906)=2026,CONCATENATE(DAY('Raw Data'!G906),".",IF(LEN(MONTH('Raw Data'!G906))=2,MONTH('Raw Data'!G906),CONCATENATE("0",MONTH('Raw Data'!G906)))),CONCATENATE(MONTH('Raw Data'!G906),".",RIGHT(YEAR('Raw Data'!G906),2))),'Raw Data'!G906))</f>
        <v>58.32</v>
      </c>
      <c r="H906">
        <f>'Raw Data'!H906</f>
        <v>2</v>
      </c>
      <c r="I906" s="6">
        <f t="shared" si="42"/>
        <v>5.8319999999999936</v>
      </c>
      <c r="J906" s="6">
        <f>'Raw Data'!J906</f>
        <v>122.47199999999999</v>
      </c>
      <c r="K906" s="1">
        <f>VALUE(IFERROR(VALUE('Raw Data'!K906),CONCATENATE(MID('Raw Data'!K906,3,2),".","0",LEFT('Raw Data'!K906,1),".", RIGHT('Raw Data'!K906,4))))</f>
        <v>43510</v>
      </c>
      <c r="L906" s="2">
        <f>'Raw Data'!L906</f>
        <v>0.52916666666666667</v>
      </c>
      <c r="M906" t="s">
        <v>23</v>
      </c>
      <c r="N906">
        <f>VALUE(IF(AND(ISERR(FIND(".",'Raw Data'!N906)),LEN('Raw Data'!N906)=5), IF(YEAR('Raw Data'!N906)=2026,CONCATENATE(DAY('Raw Data'!N906),".",IF(LEN(MONTH('Raw Data'!N906))=2,MONTH('Raw Data'!N906),CONCATENATE("0",MONTH('Raw Data'!N906)))),CONCATENATE(MONTH('Raw Data'!N906),".",RIGHT(YEAR('Raw Data'!N906),2))),'Raw Data'!N906))</f>
        <v>116.64</v>
      </c>
      <c r="O906" s="6">
        <f t="shared" si="43"/>
        <v>4.7619047619047565</v>
      </c>
      <c r="P906" s="6">
        <f t="shared" si="44"/>
        <v>5.8319999999999936</v>
      </c>
      <c r="Q906">
        <f>VALUE(IF(AND(ISERR(FIND(".",'Raw Data'!Q906)),LEN('Raw Data'!Q906)=5), IF(YEAR('Raw Data'!Q906)=2026,CONCATENATE(DAY('Raw Data'!Q906),".",IF(LEN(MONTH('Raw Data'!Q906))=2,MONTH('Raw Data'!Q906),CONCATENATE(MONTH('Raw Data'!Q906)))),CONCATENATE(MONTH('Raw Data'!Q906),".",RIGHT(YEAR('Raw Data'!Q906),2))),'Raw Data'!Q906))</f>
        <v>6</v>
      </c>
    </row>
    <row r="907" spans="1:17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f>VALUE(IF(AND(ISERR(FIND(".",'Raw Data'!G907)),LEN('Raw Data'!G907)=5), IF(YEAR('Raw Data'!G907)=2026,CONCATENATE(DAY('Raw Data'!G907),".",IF(LEN(MONTH('Raw Data'!G907))=2,MONTH('Raw Data'!G907),CONCATENATE("0",MONTH('Raw Data'!G907)))),CONCATENATE(MONTH('Raw Data'!G907),".",RIGHT(YEAR('Raw Data'!G907),2))),'Raw Data'!G907))</f>
        <v>78.38</v>
      </c>
      <c r="H907">
        <f>'Raw Data'!H907</f>
        <v>4</v>
      </c>
      <c r="I907" s="6">
        <f t="shared" si="42"/>
        <v>15.676000000000045</v>
      </c>
      <c r="J907" s="6">
        <f>'Raw Data'!J907</f>
        <v>329.19600000000003</v>
      </c>
      <c r="K907" s="1">
        <f>VALUE(IFERROR(VALUE('Raw Data'!K907),CONCATENATE(MID('Raw Data'!K907,3,2),".","0",LEFT('Raw Data'!K907,1),".", RIGHT('Raw Data'!K907,4))))</f>
        <v>43548</v>
      </c>
      <c r="L907" s="2">
        <f>'Raw Data'!L907</f>
        <v>0.74722222222222223</v>
      </c>
      <c r="M907" t="s">
        <v>29</v>
      </c>
      <c r="N907">
        <f>VALUE(IF(AND(ISERR(FIND(".",'Raw Data'!N907)),LEN('Raw Data'!N907)=5), IF(YEAR('Raw Data'!N907)=2026,CONCATENATE(DAY('Raw Data'!N907),".",IF(LEN(MONTH('Raw Data'!N907))=2,MONTH('Raw Data'!N907),CONCATENATE("0",MONTH('Raw Data'!N907)))),CONCATENATE(MONTH('Raw Data'!N907),".",RIGHT(YEAR('Raw Data'!N907),2))),'Raw Data'!N907))</f>
        <v>313.52</v>
      </c>
      <c r="O907" s="6">
        <f t="shared" si="43"/>
        <v>4.7619047619047752</v>
      </c>
      <c r="P907" s="6">
        <f t="shared" si="44"/>
        <v>15.676000000000045</v>
      </c>
      <c r="Q907">
        <f>VALUE(IF(AND(ISERR(FIND(".",'Raw Data'!Q907)),LEN('Raw Data'!Q907)=5), IF(YEAR('Raw Data'!Q907)=2026,CONCATENATE(DAY('Raw Data'!Q907),".",IF(LEN(MONTH('Raw Data'!Q907))=2,MONTH('Raw Data'!Q907),CONCATENATE(MONTH('Raw Data'!Q907)))),CONCATENATE(MONTH('Raw Data'!Q907),".",RIGHT(YEAR('Raw Data'!Q907),2))),'Raw Data'!Q907))</f>
        <v>7.9</v>
      </c>
    </row>
    <row r="908" spans="1:17">
      <c r="A908" t="s">
        <v>995</v>
      </c>
      <c r="B908" t="s">
        <v>25</v>
      </c>
      <c r="C908" t="s">
        <v>26</v>
      </c>
      <c r="D908" t="s">
        <v>27</v>
      </c>
      <c r="E908" t="s">
        <v>30</v>
      </c>
      <c r="F908" t="s">
        <v>22</v>
      </c>
      <c r="G908">
        <f>VALUE(IF(AND(ISERR(FIND(".",'Raw Data'!G908)),LEN('Raw Data'!G908)=5), IF(YEAR('Raw Data'!G908)=2026,CONCATENATE(DAY('Raw Data'!G908),".",IF(LEN(MONTH('Raw Data'!G908))=2,MONTH('Raw Data'!G908),CONCATENATE("0",MONTH('Raw Data'!G908)))),CONCATENATE(MONTH('Raw Data'!G908),".",RIGHT(YEAR('Raw Data'!G908),2))),'Raw Data'!G908))</f>
        <v>84.61</v>
      </c>
      <c r="H908">
        <f>'Raw Data'!H908</f>
        <v>10</v>
      </c>
      <c r="I908" s="6">
        <f t="shared" si="42"/>
        <v>42.30499999999995</v>
      </c>
      <c r="J908" s="6">
        <f>'Raw Data'!J908</f>
        <v>888.40499999999997</v>
      </c>
      <c r="K908" s="1">
        <f>VALUE(IFERROR(VALUE('Raw Data'!K908),CONCATENATE(MID('Raw Data'!K908,3,2),".","0",LEFT('Raw Data'!K908,1),".", RIGHT('Raw Data'!K908,4))))</f>
        <v>43710</v>
      </c>
      <c r="L908" s="2">
        <f>'Raw Data'!L908</f>
        <v>0.79027777777777775</v>
      </c>
      <c r="M908" t="s">
        <v>33</v>
      </c>
      <c r="N908">
        <f>VALUE(IF(AND(ISERR(FIND(".",'Raw Data'!N908)),LEN('Raw Data'!N908)=5), IF(YEAR('Raw Data'!N908)=2026,CONCATENATE(DAY('Raw Data'!N908),".",IF(LEN(MONTH('Raw Data'!N908))=2,MONTH('Raw Data'!N908),CONCATENATE("0",MONTH('Raw Data'!N908)))),CONCATENATE(MONTH('Raw Data'!N908),".",RIGHT(YEAR('Raw Data'!N908),2))),'Raw Data'!N908))</f>
        <v>846.1</v>
      </c>
      <c r="O908" s="6">
        <f t="shared" si="43"/>
        <v>4.7619047619047556</v>
      </c>
      <c r="P908" s="6">
        <f t="shared" si="44"/>
        <v>42.30499999999995</v>
      </c>
      <c r="Q908">
        <f>VALUE(IF(AND(ISERR(FIND(".",'Raw Data'!Q908)),LEN('Raw Data'!Q908)=5), IF(YEAR('Raw Data'!Q908)=2026,CONCATENATE(DAY('Raw Data'!Q908),".",IF(LEN(MONTH('Raw Data'!Q908))=2,MONTH('Raw Data'!Q908),CONCATENATE(MONTH('Raw Data'!Q908)))),CONCATENATE(MONTH('Raw Data'!Q908),".",RIGHT(YEAR('Raw Data'!Q908),2))),'Raw Data'!Q908))</f>
        <v>8.8000000000000007</v>
      </c>
    </row>
    <row r="909" spans="1:17">
      <c r="A909" t="s">
        <v>996</v>
      </c>
      <c r="B909" t="s">
        <v>34</v>
      </c>
      <c r="C909" t="s">
        <v>35</v>
      </c>
      <c r="D909" t="s">
        <v>27</v>
      </c>
      <c r="E909" t="s">
        <v>21</v>
      </c>
      <c r="F909" t="s">
        <v>22</v>
      </c>
      <c r="G909">
        <f>VALUE(IF(AND(ISERR(FIND(".",'Raw Data'!G909)),LEN('Raw Data'!G909)=5), IF(YEAR('Raw Data'!G909)=2026,CONCATENATE(DAY('Raw Data'!G909),".",IF(LEN(MONTH('Raw Data'!G909))=2,MONTH('Raw Data'!G909),CONCATENATE("0",MONTH('Raw Data'!G909)))),CONCATENATE(MONTH('Raw Data'!G909),".",RIGHT(YEAR('Raw Data'!G909),2))),'Raw Data'!G909))</f>
        <v>82.88</v>
      </c>
      <c r="H909">
        <f>'Raw Data'!H909</f>
        <v>5</v>
      </c>
      <c r="I909" s="6">
        <f t="shared" si="42"/>
        <v>20.720000000000027</v>
      </c>
      <c r="J909" s="6">
        <f>'Raw Data'!J909</f>
        <v>435.12</v>
      </c>
      <c r="K909" s="1">
        <f>VALUE(IFERROR(VALUE('Raw Data'!K909),CONCATENATE(MID('Raw Data'!K909,3,2),".","0",LEFT('Raw Data'!K909,1),".", RIGHT('Raw Data'!K909,4))))</f>
        <v>43548</v>
      </c>
      <c r="L909" s="2">
        <f>'Raw Data'!L909</f>
        <v>0.58888888888888891</v>
      </c>
      <c r="M909" t="s">
        <v>33</v>
      </c>
      <c r="N909">
        <f>VALUE(IF(AND(ISERR(FIND(".",'Raw Data'!N909)),LEN('Raw Data'!N909)=5), IF(YEAR('Raw Data'!N909)=2026,CONCATENATE(DAY('Raw Data'!N909),".",IF(LEN(MONTH('Raw Data'!N909))=2,MONTH('Raw Data'!N909),CONCATENATE("0",MONTH('Raw Data'!N909)))),CONCATENATE(MONTH('Raw Data'!N909),".",RIGHT(YEAR('Raw Data'!N909),2))),'Raw Data'!N909))</f>
        <v>414.4</v>
      </c>
      <c r="O909" s="6">
        <f t="shared" si="43"/>
        <v>4.7619047619047681</v>
      </c>
      <c r="P909" s="6">
        <f t="shared" si="44"/>
        <v>20.720000000000027</v>
      </c>
      <c r="Q909">
        <f>VALUE(IF(AND(ISERR(FIND(".",'Raw Data'!Q909)),LEN('Raw Data'!Q909)=5), IF(YEAR('Raw Data'!Q909)=2026,CONCATENATE(DAY('Raw Data'!Q909),".",IF(LEN(MONTH('Raw Data'!Q909))=2,MONTH('Raw Data'!Q909),CONCATENATE(MONTH('Raw Data'!Q909)))),CONCATENATE(MONTH('Raw Data'!Q909),".",RIGHT(YEAR('Raw Data'!Q909),2))),'Raw Data'!Q909))</f>
        <v>6.6</v>
      </c>
    </row>
    <row r="910" spans="1:17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40</v>
      </c>
      <c r="G910">
        <f>VALUE(IF(AND(ISERR(FIND(".",'Raw Data'!G910)),LEN('Raw Data'!G910)=5), IF(YEAR('Raw Data'!G910)=2026,CONCATENATE(DAY('Raw Data'!G910),".",IF(LEN(MONTH('Raw Data'!G910))=2,MONTH('Raw Data'!G910),CONCATENATE("0",MONTH('Raw Data'!G910)))),CONCATENATE(MONTH('Raw Data'!G910),".",RIGHT(YEAR('Raw Data'!G910),2))),'Raw Data'!G910))</f>
        <v>79.540000000000006</v>
      </c>
      <c r="H910">
        <f>'Raw Data'!H910</f>
        <v>2</v>
      </c>
      <c r="I910" s="6">
        <f t="shared" si="42"/>
        <v>7.9539999999999793</v>
      </c>
      <c r="J910" s="6">
        <f>'Raw Data'!J910</f>
        <v>167.03399999999999</v>
      </c>
      <c r="K910" s="1">
        <f>VALUE(IFERROR(VALUE('Raw Data'!K910),CONCATENATE(MID('Raw Data'!K910,3,2),".","0",LEFT('Raw Data'!K910,1),".", RIGHT('Raw Data'!K910,4))))</f>
        <v>43551</v>
      </c>
      <c r="L910" s="2">
        <f>'Raw Data'!L910</f>
        <v>0.6875</v>
      </c>
      <c r="M910" t="s">
        <v>23</v>
      </c>
      <c r="N910">
        <f>VALUE(IF(AND(ISERR(FIND(".",'Raw Data'!N910)),LEN('Raw Data'!N910)=5), IF(YEAR('Raw Data'!N910)=2026,CONCATENATE(DAY('Raw Data'!N910),".",IF(LEN(MONTH('Raw Data'!N910))=2,MONTH('Raw Data'!N910),CONCATENATE("0",MONTH('Raw Data'!N910)))),CONCATENATE(MONTH('Raw Data'!N910),".",RIGHT(YEAR('Raw Data'!N910),2))),'Raw Data'!N910))</f>
        <v>159.08000000000001</v>
      </c>
      <c r="O910" s="6">
        <f t="shared" si="43"/>
        <v>4.7619047619047494</v>
      </c>
      <c r="P910" s="6">
        <f t="shared" si="44"/>
        <v>7.9539999999999793</v>
      </c>
      <c r="Q910">
        <f>VALUE(IF(AND(ISERR(FIND(".",'Raw Data'!Q910)),LEN('Raw Data'!Q910)=5), IF(YEAR('Raw Data'!Q910)=2026,CONCATENATE(DAY('Raw Data'!Q910),".",IF(LEN(MONTH('Raw Data'!Q910))=2,MONTH('Raw Data'!Q910),CONCATENATE(MONTH('Raw Data'!Q910)))),CONCATENATE(MONTH('Raw Data'!Q910),".",RIGHT(YEAR('Raw Data'!Q910),2))),'Raw Data'!Q910))</f>
        <v>6.2</v>
      </c>
    </row>
    <row r="911" spans="1:17">
      <c r="A911" t="s">
        <v>998</v>
      </c>
      <c r="B911" t="s">
        <v>34</v>
      </c>
      <c r="C911" t="s">
        <v>35</v>
      </c>
      <c r="D911" t="s">
        <v>27</v>
      </c>
      <c r="E911" t="s">
        <v>21</v>
      </c>
      <c r="F911" t="s">
        <v>32</v>
      </c>
      <c r="G911">
        <f>VALUE(IF(AND(ISERR(FIND(".",'Raw Data'!G911)),LEN('Raw Data'!G911)=5), IF(YEAR('Raw Data'!G911)=2026,CONCATENATE(DAY('Raw Data'!G911),".",IF(LEN(MONTH('Raw Data'!G911))=2,MONTH('Raw Data'!G911),CONCATENATE("0",MONTH('Raw Data'!G911)))),CONCATENATE(MONTH('Raw Data'!G911),".",RIGHT(YEAR('Raw Data'!G911),2))),'Raw Data'!G911))</f>
        <v>49.01</v>
      </c>
      <c r="H911">
        <f>'Raw Data'!H911</f>
        <v>10</v>
      </c>
      <c r="I911" s="6">
        <f t="shared" si="42"/>
        <v>24.505000000000052</v>
      </c>
      <c r="J911" s="6">
        <f>'Raw Data'!J911</f>
        <v>514.60500000000002</v>
      </c>
      <c r="K911" s="1">
        <f>VALUE(IFERROR(VALUE('Raw Data'!K911),CONCATENATE(MID('Raw Data'!K911,3,2),".","0",LEFT('Raw Data'!K911,1),".", RIGHT('Raw Data'!K911,4))))</f>
        <v>43492</v>
      </c>
      <c r="L911" s="2">
        <f>'Raw Data'!L911</f>
        <v>0.44722222222222219</v>
      </c>
      <c r="M911" t="s">
        <v>33</v>
      </c>
      <c r="N911">
        <f>VALUE(IF(AND(ISERR(FIND(".",'Raw Data'!N911)),LEN('Raw Data'!N911)=5), IF(YEAR('Raw Data'!N911)=2026,CONCATENATE(DAY('Raw Data'!N911),".",IF(LEN(MONTH('Raw Data'!N911))=2,MONTH('Raw Data'!N911),CONCATENATE("0",MONTH('Raw Data'!N911)))),CONCATENATE(MONTH('Raw Data'!N911),".",RIGHT(YEAR('Raw Data'!N911),2))),'Raw Data'!N911))</f>
        <v>490.1</v>
      </c>
      <c r="O911" s="6">
        <f t="shared" si="43"/>
        <v>4.761904761904761</v>
      </c>
      <c r="P911" s="6">
        <f t="shared" si="44"/>
        <v>24.504999999999995</v>
      </c>
      <c r="Q911">
        <f>VALUE(IF(AND(ISERR(FIND(".",'Raw Data'!Q911)),LEN('Raw Data'!Q911)=5), IF(YEAR('Raw Data'!Q911)=2026,CONCATENATE(DAY('Raw Data'!Q911),".",IF(LEN(MONTH('Raw Data'!Q911))=2,MONTH('Raw Data'!Q911),CONCATENATE(MONTH('Raw Data'!Q911)))),CONCATENATE(MONTH('Raw Data'!Q911),".",RIGHT(YEAR('Raw Data'!Q911),2))),'Raw Data'!Q911))</f>
        <v>4.2</v>
      </c>
    </row>
    <row r="912" spans="1:17">
      <c r="A912" t="s">
        <v>999</v>
      </c>
      <c r="B912" t="s">
        <v>34</v>
      </c>
      <c r="C912" t="s">
        <v>35</v>
      </c>
      <c r="D912" t="s">
        <v>20</v>
      </c>
      <c r="E912" t="s">
        <v>21</v>
      </c>
      <c r="F912" t="s">
        <v>40</v>
      </c>
      <c r="G912">
        <f>VALUE(IF(AND(ISERR(FIND(".",'Raw Data'!G912)),LEN('Raw Data'!G912)=5), IF(YEAR('Raw Data'!G912)=2026,CONCATENATE(DAY('Raw Data'!G912),".",IF(LEN(MONTH('Raw Data'!G912))=2,MONTH('Raw Data'!G912),CONCATENATE("0",MONTH('Raw Data'!G912)))),CONCATENATE(MONTH('Raw Data'!G912),".",RIGHT(YEAR('Raw Data'!G912),2))),'Raw Data'!G912))</f>
        <v>29.15</v>
      </c>
      <c r="H912">
        <f>'Raw Data'!H912</f>
        <v>3</v>
      </c>
      <c r="I912" s="6">
        <f t="shared" si="42"/>
        <v>4.3725000000000165</v>
      </c>
      <c r="J912" s="6">
        <f>'Raw Data'!J912</f>
        <v>91.822500000000005</v>
      </c>
      <c r="K912" s="1">
        <f>VALUE(IFERROR(VALUE('Raw Data'!K912),CONCATENATE(MID('Raw Data'!K912,3,2),".","0",LEFT('Raw Data'!K912,1),".", RIGHT('Raw Data'!K912,4))))</f>
        <v>43551</v>
      </c>
      <c r="L912" s="2">
        <f>'Raw Data'!L912</f>
        <v>0.8534722222222223</v>
      </c>
      <c r="M912" t="s">
        <v>33</v>
      </c>
      <c r="N912">
        <f>VALUE(IF(AND(ISERR(FIND(".",'Raw Data'!N912)),LEN('Raw Data'!N912)=5), IF(YEAR('Raw Data'!N912)=2026,CONCATENATE(DAY('Raw Data'!N912),".",IF(LEN(MONTH('Raw Data'!N912))=2,MONTH('Raw Data'!N912),CONCATENATE("0",MONTH('Raw Data'!N912)))),CONCATENATE(MONTH('Raw Data'!N912),".",RIGHT(YEAR('Raw Data'!N912),2))),'Raw Data'!N912))</f>
        <v>87.45</v>
      </c>
      <c r="O912" s="6">
        <f t="shared" si="43"/>
        <v>4.7619047619047645</v>
      </c>
      <c r="P912" s="6">
        <f t="shared" si="44"/>
        <v>4.3725000000000023</v>
      </c>
      <c r="Q912">
        <f>VALUE(IF(AND(ISERR(FIND(".",'Raw Data'!Q912)),LEN('Raw Data'!Q912)=5), IF(YEAR('Raw Data'!Q912)=2026,CONCATENATE(DAY('Raw Data'!Q912),".",IF(LEN(MONTH('Raw Data'!Q912))=2,MONTH('Raw Data'!Q912),CONCATENATE(MONTH('Raw Data'!Q912)))),CONCATENATE(MONTH('Raw Data'!Q912),".",RIGHT(YEAR('Raw Data'!Q912),2))),'Raw Data'!Q912))</f>
        <v>7.3</v>
      </c>
    </row>
    <row r="913" spans="1:17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f>VALUE(IF(AND(ISERR(FIND(".",'Raw Data'!G913)),LEN('Raw Data'!G913)=5), IF(YEAR('Raw Data'!G913)=2026,CONCATENATE(DAY('Raw Data'!G913),".",IF(LEN(MONTH('Raw Data'!G913))=2,MONTH('Raw Data'!G913),CONCATENATE("0",MONTH('Raw Data'!G913)))),CONCATENATE(MONTH('Raw Data'!G913),".",RIGHT(YEAR('Raw Data'!G913),2))),'Raw Data'!G913))</f>
        <v>56.13</v>
      </c>
      <c r="H913">
        <f>'Raw Data'!H913</f>
        <v>4</v>
      </c>
      <c r="I913" s="6">
        <f t="shared" si="42"/>
        <v>11.225999999999999</v>
      </c>
      <c r="J913" s="6">
        <f>'Raw Data'!J913</f>
        <v>235.74600000000001</v>
      </c>
      <c r="K913" s="1">
        <f>VALUE(IFERROR(VALUE('Raw Data'!K913),CONCATENATE(MID('Raw Data'!K913,3,2),".","0",LEFT('Raw Data'!K913,1),".", RIGHT('Raw Data'!K913,4))))</f>
        <v>43484</v>
      </c>
      <c r="L913" s="2">
        <f>'Raw Data'!L913</f>
        <v>0.48819444444444443</v>
      </c>
      <c r="M913" t="s">
        <v>23</v>
      </c>
      <c r="N913">
        <f>VALUE(IF(AND(ISERR(FIND(".",'Raw Data'!N913)),LEN('Raw Data'!N913)=5), IF(YEAR('Raw Data'!N913)=2026,CONCATENATE(DAY('Raw Data'!N913),".",IF(LEN(MONTH('Raw Data'!N913))=2,MONTH('Raw Data'!N913),CONCATENATE("0",MONTH('Raw Data'!N913)))),CONCATENATE(MONTH('Raw Data'!N913),".",RIGHT(YEAR('Raw Data'!N913),2))),'Raw Data'!N913))</f>
        <v>224.52</v>
      </c>
      <c r="O913" s="6">
        <f t="shared" si="43"/>
        <v>4.7619047619047619</v>
      </c>
      <c r="P913" s="6">
        <f t="shared" si="44"/>
        <v>11.225999999999999</v>
      </c>
      <c r="Q913">
        <f>VALUE(IF(AND(ISERR(FIND(".",'Raw Data'!Q913)),LEN('Raw Data'!Q913)=5), IF(YEAR('Raw Data'!Q913)=2026,CONCATENATE(DAY('Raw Data'!Q913),".",IF(LEN(MONTH('Raw Data'!Q913))=2,MONTH('Raw Data'!Q913),CONCATENATE(MONTH('Raw Data'!Q913)))),CONCATENATE(MONTH('Raw Data'!Q913),".",RIGHT(YEAR('Raw Data'!Q913),2))),'Raw Data'!Q913))</f>
        <v>8.6</v>
      </c>
    </row>
    <row r="914" spans="1:17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f>VALUE(IF(AND(ISERR(FIND(".",'Raw Data'!G914)),LEN('Raw Data'!G914)=5), IF(YEAR('Raw Data'!G914)=2026,CONCATENATE(DAY('Raw Data'!G914),".",IF(LEN(MONTH('Raw Data'!G914))=2,MONTH('Raw Data'!G914),CONCATENATE("0",MONTH('Raw Data'!G914)))),CONCATENATE(MONTH('Raw Data'!G914),".",RIGHT(YEAR('Raw Data'!G914),2))),'Raw Data'!G914))</f>
        <v>93.12</v>
      </c>
      <c r="H914">
        <f>'Raw Data'!H914</f>
        <v>8</v>
      </c>
      <c r="I914" s="6">
        <f t="shared" si="42"/>
        <v>37.247999999999934</v>
      </c>
      <c r="J914" s="6">
        <f>'Raw Data'!J914</f>
        <v>782.20799999999997</v>
      </c>
      <c r="K914" s="1">
        <f>VALUE(IFERROR(VALUE('Raw Data'!K914),CONCATENATE(MID('Raw Data'!K914,3,2),".","0",LEFT('Raw Data'!K914,1),".", RIGHT('Raw Data'!K914,4))))</f>
        <v>43648</v>
      </c>
      <c r="L914" s="2">
        <f>'Raw Data'!L914</f>
        <v>0.42291666666666666</v>
      </c>
      <c r="M914" t="s">
        <v>29</v>
      </c>
      <c r="N914">
        <f>VALUE(IF(AND(ISERR(FIND(".",'Raw Data'!N914)),LEN('Raw Data'!N914)=5), IF(YEAR('Raw Data'!N914)=2026,CONCATENATE(DAY('Raw Data'!N914),".",IF(LEN(MONTH('Raw Data'!N914))=2,MONTH('Raw Data'!N914),CONCATENATE("0",MONTH('Raw Data'!N914)))),CONCATENATE(MONTH('Raw Data'!N914),".",RIGHT(YEAR('Raw Data'!N914),2))),'Raw Data'!N914))</f>
        <v>744.96</v>
      </c>
      <c r="O914" s="6">
        <f t="shared" si="43"/>
        <v>4.761904761904753</v>
      </c>
      <c r="P914" s="6">
        <f t="shared" si="44"/>
        <v>37.247999999999934</v>
      </c>
      <c r="Q914">
        <f>VALUE(IF(AND(ISERR(FIND(".",'Raw Data'!Q914)),LEN('Raw Data'!Q914)=5), IF(YEAR('Raw Data'!Q914)=2026,CONCATENATE(DAY('Raw Data'!Q914),".",IF(LEN(MONTH('Raw Data'!Q914))=2,MONTH('Raw Data'!Q914),CONCATENATE(MONTH('Raw Data'!Q914)))),CONCATENATE(MONTH('Raw Data'!Q914),".",RIGHT(YEAR('Raw Data'!Q914),2))),'Raw Data'!Q914))</f>
        <v>6.8</v>
      </c>
    </row>
    <row r="915" spans="1:17">
      <c r="A915" t="s">
        <v>1002</v>
      </c>
      <c r="B915" t="s">
        <v>18</v>
      </c>
      <c r="C915" t="s">
        <v>19</v>
      </c>
      <c r="D915" t="s">
        <v>20</v>
      </c>
      <c r="E915" t="s">
        <v>30</v>
      </c>
      <c r="F915" t="s">
        <v>43</v>
      </c>
      <c r="G915">
        <f>VALUE(IF(AND(ISERR(FIND(".",'Raw Data'!G915)),LEN('Raw Data'!G915)=5), IF(YEAR('Raw Data'!G915)=2026,CONCATENATE(DAY('Raw Data'!G915),".",IF(LEN(MONTH('Raw Data'!G915))=2,MONTH('Raw Data'!G915),CONCATENATE("0",MONTH('Raw Data'!G915)))),CONCATENATE(MONTH('Raw Data'!G915),".",RIGHT(YEAR('Raw Data'!G915),2))),'Raw Data'!G915))</f>
        <v>51.34</v>
      </c>
      <c r="H915">
        <f>'Raw Data'!H915</f>
        <v>8</v>
      </c>
      <c r="I915" s="6">
        <f t="shared" si="42"/>
        <v>20.535999999999945</v>
      </c>
      <c r="J915" s="6">
        <f>'Raw Data'!J915</f>
        <v>431.25599999999997</v>
      </c>
      <c r="K915" s="1">
        <f>VALUE(IFERROR(VALUE('Raw Data'!K915),CONCATENATE(MID('Raw Data'!K915,3,2),".","0",LEFT('Raw Data'!K915,1),".", RIGHT('Raw Data'!K915,4))))</f>
        <v>43496</v>
      </c>
      <c r="L915" s="2">
        <f>'Raw Data'!L915</f>
        <v>0.41666666666666669</v>
      </c>
      <c r="M915" t="s">
        <v>23</v>
      </c>
      <c r="N915">
        <f>VALUE(IF(AND(ISERR(FIND(".",'Raw Data'!N915)),LEN('Raw Data'!N915)=5), IF(YEAR('Raw Data'!N915)=2026,CONCATENATE(DAY('Raw Data'!N915),".",IF(LEN(MONTH('Raw Data'!N915))=2,MONTH('Raw Data'!N915),CONCATENATE("0",MONTH('Raw Data'!N915)))),CONCATENATE(MONTH('Raw Data'!N915),".",RIGHT(YEAR('Raw Data'!N915),2))),'Raw Data'!N915))</f>
        <v>410.72</v>
      </c>
      <c r="O915" s="6">
        <f t="shared" si="43"/>
        <v>4.7619047619047494</v>
      </c>
      <c r="P915" s="6">
        <f t="shared" si="44"/>
        <v>20.535999999999945</v>
      </c>
      <c r="Q915">
        <f>VALUE(IF(AND(ISERR(FIND(".",'Raw Data'!Q915)),LEN('Raw Data'!Q915)=5), IF(YEAR('Raw Data'!Q915)=2026,CONCATENATE(DAY('Raw Data'!Q915),".",IF(LEN(MONTH('Raw Data'!Q915))=2,MONTH('Raw Data'!Q915),CONCATENATE(MONTH('Raw Data'!Q915)))),CONCATENATE(MONTH('Raw Data'!Q915),".",RIGHT(YEAR('Raw Data'!Q915),2))),'Raw Data'!Q915))</f>
        <v>7.6</v>
      </c>
    </row>
    <row r="916" spans="1:17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40</v>
      </c>
      <c r="G916">
        <f>VALUE(IF(AND(ISERR(FIND(".",'Raw Data'!G916)),LEN('Raw Data'!G916)=5), IF(YEAR('Raw Data'!G916)=2026,CONCATENATE(DAY('Raw Data'!G916),".",IF(LEN(MONTH('Raw Data'!G916))=2,MONTH('Raw Data'!G916),CONCATENATE("0",MONTH('Raw Data'!G916)))),CONCATENATE(MONTH('Raw Data'!G916),".",RIGHT(YEAR('Raw Data'!G916),2))),'Raw Data'!G916))</f>
        <v>99.6</v>
      </c>
      <c r="H916">
        <f>'Raw Data'!H916</f>
        <v>3</v>
      </c>
      <c r="I916" s="6">
        <f t="shared" si="42"/>
        <v>14.940000000000055</v>
      </c>
      <c r="J916" s="6">
        <f>'Raw Data'!J916</f>
        <v>313.74</v>
      </c>
      <c r="K916" s="1">
        <f>VALUE(IFERROR(VALUE('Raw Data'!K916),CONCATENATE(MID('Raw Data'!K916,3,2),".","0",LEFT('Raw Data'!K916,1),".", RIGHT('Raw Data'!K916,4))))</f>
        <v>43521</v>
      </c>
      <c r="L916" s="2">
        <f>'Raw Data'!L916</f>
        <v>0.78125</v>
      </c>
      <c r="M916" t="s">
        <v>29</v>
      </c>
      <c r="N916">
        <f>VALUE(IF(AND(ISERR(FIND(".",'Raw Data'!N916)),LEN('Raw Data'!N916)=5), IF(YEAR('Raw Data'!N916)=2026,CONCATENATE(DAY('Raw Data'!N916),".",IF(LEN(MONTH('Raw Data'!N916))=2,MONTH('Raw Data'!N916),CONCATENATE("0",MONTH('Raw Data'!N916)))),CONCATENATE(MONTH('Raw Data'!N916),".",RIGHT(YEAR('Raw Data'!N916),2))),'Raw Data'!N916))</f>
        <v>298.8</v>
      </c>
      <c r="O916" s="6">
        <f t="shared" si="43"/>
        <v>4.761904761904761</v>
      </c>
      <c r="P916" s="6">
        <f t="shared" si="44"/>
        <v>14.939999999999998</v>
      </c>
      <c r="Q916">
        <f>VALUE(IF(AND(ISERR(FIND(".",'Raw Data'!Q916)),LEN('Raw Data'!Q916)=5), IF(YEAR('Raw Data'!Q916)=2026,CONCATENATE(DAY('Raw Data'!Q916),".",IF(LEN(MONTH('Raw Data'!Q916))=2,MONTH('Raw Data'!Q916),CONCATENATE(MONTH('Raw Data'!Q916)))),CONCATENATE(MONTH('Raw Data'!Q916),".",RIGHT(YEAR('Raw Data'!Q916),2))),'Raw Data'!Q916))</f>
        <v>5.8</v>
      </c>
    </row>
    <row r="917" spans="1:17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f>VALUE(IF(AND(ISERR(FIND(".",'Raw Data'!G917)),LEN('Raw Data'!G917)=5), IF(YEAR('Raw Data'!G917)=2026,CONCATENATE(DAY('Raw Data'!G917),".",IF(LEN(MONTH('Raw Data'!G917))=2,MONTH('Raw Data'!G917),CONCATENATE("0",MONTH('Raw Data'!G917)))),CONCATENATE(MONTH('Raw Data'!G917),".",RIGHT(YEAR('Raw Data'!G917),2))),'Raw Data'!G917))</f>
        <v>35.49</v>
      </c>
      <c r="H917">
        <f>'Raw Data'!H917</f>
        <v>6</v>
      </c>
      <c r="I917" s="6">
        <f t="shared" si="42"/>
        <v>10.646999999999991</v>
      </c>
      <c r="J917" s="6">
        <f>'Raw Data'!J917</f>
        <v>223.58699999999999</v>
      </c>
      <c r="K917" s="1">
        <f>VALUE(IFERROR(VALUE('Raw Data'!K917),CONCATENATE(MID('Raw Data'!K917,3,2),".","0",LEFT('Raw Data'!K917,1),".", RIGHT('Raw Data'!K917,4))))</f>
        <v>43498</v>
      </c>
      <c r="L917" s="2">
        <f>'Raw Data'!L917</f>
        <v>0.52777777777777779</v>
      </c>
      <c r="M917" t="s">
        <v>29</v>
      </c>
      <c r="N917">
        <f>VALUE(IF(AND(ISERR(FIND(".",'Raw Data'!N917)),LEN('Raw Data'!N917)=5), IF(YEAR('Raw Data'!N917)=2026,CONCATENATE(DAY('Raw Data'!N917),".",IF(LEN(MONTH('Raw Data'!N917))=2,MONTH('Raw Data'!N917),CONCATENATE("0",MONTH('Raw Data'!N917)))),CONCATENATE(MONTH('Raw Data'!N917),".",RIGHT(YEAR('Raw Data'!N917),2))),'Raw Data'!N917))</f>
        <v>212.94</v>
      </c>
      <c r="O917" s="6">
        <f t="shared" si="43"/>
        <v>4.7619047619047583</v>
      </c>
      <c r="P917" s="6">
        <f t="shared" si="44"/>
        <v>10.646999999999991</v>
      </c>
      <c r="Q917">
        <f>VALUE(IF(AND(ISERR(FIND(".",'Raw Data'!Q917)),LEN('Raw Data'!Q917)=5), IF(YEAR('Raw Data'!Q917)=2026,CONCATENATE(DAY('Raw Data'!Q917),".",IF(LEN(MONTH('Raw Data'!Q917))=2,MONTH('Raw Data'!Q917),CONCATENATE(MONTH('Raw Data'!Q917)))),CONCATENATE(MONTH('Raw Data'!Q917),".",RIGHT(YEAR('Raw Data'!Q917),2))),'Raw Data'!Q917))</f>
        <v>4.0999999999999996</v>
      </c>
    </row>
    <row r="918" spans="1:17">
      <c r="A918" t="s">
        <v>1005</v>
      </c>
      <c r="B918" t="s">
        <v>25</v>
      </c>
      <c r="C918" t="s">
        <v>26</v>
      </c>
      <c r="D918" t="s">
        <v>20</v>
      </c>
      <c r="E918" t="s">
        <v>30</v>
      </c>
      <c r="F918" t="s">
        <v>38</v>
      </c>
      <c r="G918">
        <f>VALUE(IF(AND(ISERR(FIND(".",'Raw Data'!G918)),LEN('Raw Data'!G918)=5), IF(YEAR('Raw Data'!G918)=2026,CONCATENATE(DAY('Raw Data'!G918),".",IF(LEN(MONTH('Raw Data'!G918))=2,MONTH('Raw Data'!G918),CONCATENATE("0",MONTH('Raw Data'!G918)))),CONCATENATE(MONTH('Raw Data'!G918),".",RIGHT(YEAR('Raw Data'!G918),2))),'Raw Data'!G918))</f>
        <v>42.85</v>
      </c>
      <c r="H918">
        <f>'Raw Data'!H918</f>
        <v>1</v>
      </c>
      <c r="I918" s="6">
        <f t="shared" si="42"/>
        <v>2.1424999999999983</v>
      </c>
      <c r="J918" s="6">
        <f>'Raw Data'!J918</f>
        <v>44.9925</v>
      </c>
      <c r="K918" s="1">
        <f>VALUE(IFERROR(VALUE('Raw Data'!K918),CONCATENATE(MID('Raw Data'!K918,3,2),".","0",LEFT('Raw Data'!K918,1),".", RIGHT('Raw Data'!K918,4))))</f>
        <v>43538</v>
      </c>
      <c r="L918" s="2">
        <f>'Raw Data'!L918</f>
        <v>0.65</v>
      </c>
      <c r="M918" t="s">
        <v>33</v>
      </c>
      <c r="N918">
        <f>VALUE(IF(AND(ISERR(FIND(".",'Raw Data'!N918)),LEN('Raw Data'!N918)=5), IF(YEAR('Raw Data'!N918)=2026,CONCATENATE(DAY('Raw Data'!N918),".",IF(LEN(MONTH('Raw Data'!N918))=2,MONTH('Raw Data'!N918),CONCATENATE("0",MONTH('Raw Data'!N918)))),CONCATENATE(MONTH('Raw Data'!N918),".",RIGHT(YEAR('Raw Data'!N918),2))),'Raw Data'!N918))</f>
        <v>42.85</v>
      </c>
      <c r="O918" s="6">
        <f t="shared" si="43"/>
        <v>4.7619047619047583</v>
      </c>
      <c r="P918" s="6">
        <f t="shared" si="44"/>
        <v>2.1424999999999983</v>
      </c>
      <c r="Q918">
        <f>VALUE(IF(AND(ISERR(FIND(".",'Raw Data'!Q918)),LEN('Raw Data'!Q918)=5), IF(YEAR('Raw Data'!Q918)=2026,CONCATENATE(DAY('Raw Data'!Q918),".",IF(LEN(MONTH('Raw Data'!Q918))=2,MONTH('Raw Data'!Q918),CONCATENATE(MONTH('Raw Data'!Q918)))),CONCATENATE(MONTH('Raw Data'!Q918),".",RIGHT(YEAR('Raw Data'!Q918),2))),'Raw Data'!Q918))</f>
        <v>9.3000000000000007</v>
      </c>
    </row>
    <row r="919" spans="1:17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43</v>
      </c>
      <c r="G919">
        <f>VALUE(IF(AND(ISERR(FIND(".",'Raw Data'!G919)),LEN('Raw Data'!G919)=5), IF(YEAR('Raw Data'!G919)=2026,CONCATENATE(DAY('Raw Data'!G919),".",IF(LEN(MONTH('Raw Data'!G919))=2,MONTH('Raw Data'!G919),CONCATENATE("0",MONTH('Raw Data'!G919)))),CONCATENATE(MONTH('Raw Data'!G919),".",RIGHT(YEAR('Raw Data'!G919),2))),'Raw Data'!G919))</f>
        <v>94.67</v>
      </c>
      <c r="H919">
        <f>'Raw Data'!H919</f>
        <v>4</v>
      </c>
      <c r="I919" s="6">
        <f t="shared" si="42"/>
        <v>18.933999999999969</v>
      </c>
      <c r="J919" s="6">
        <f>'Raw Data'!J919</f>
        <v>397.61399999999998</v>
      </c>
      <c r="K919" s="1">
        <f>VALUE(IFERROR(VALUE('Raw Data'!K919),CONCATENATE(MID('Raw Data'!K919,3,2),".","0",LEFT('Raw Data'!K919,1),".", RIGHT('Raw Data'!K919,4))))</f>
        <v>43772</v>
      </c>
      <c r="L919" s="2">
        <f>'Raw Data'!L919</f>
        <v>0.50277777777777777</v>
      </c>
      <c r="M919" t="s">
        <v>29</v>
      </c>
      <c r="N919">
        <f>VALUE(IF(AND(ISERR(FIND(".",'Raw Data'!N919)),LEN('Raw Data'!N919)=5), IF(YEAR('Raw Data'!N919)=2026,CONCATENATE(DAY('Raw Data'!N919),".",IF(LEN(MONTH('Raw Data'!N919))=2,MONTH('Raw Data'!N919),CONCATENATE("0",MONTH('Raw Data'!N919)))),CONCATENATE(MONTH('Raw Data'!N919),".",RIGHT(YEAR('Raw Data'!N919),2))),'Raw Data'!N919))</f>
        <v>378.68</v>
      </c>
      <c r="O919" s="6">
        <f t="shared" si="43"/>
        <v>4.7619047619047548</v>
      </c>
      <c r="P919" s="6">
        <f t="shared" si="44"/>
        <v>18.933999999999969</v>
      </c>
      <c r="Q919">
        <f>VALUE(IF(AND(ISERR(FIND(".",'Raw Data'!Q919)),LEN('Raw Data'!Q919)=5), IF(YEAR('Raw Data'!Q919)=2026,CONCATENATE(DAY('Raw Data'!Q919),".",IF(LEN(MONTH('Raw Data'!Q919))=2,MONTH('Raw Data'!Q919),CONCATENATE(MONTH('Raw Data'!Q919)))),CONCATENATE(MONTH('Raw Data'!Q919),".",RIGHT(YEAR('Raw Data'!Q919),2))),'Raw Data'!Q919))</f>
        <v>6.8</v>
      </c>
    </row>
    <row r="920" spans="1:17">
      <c r="A920" t="s">
        <v>1007</v>
      </c>
      <c r="B920" t="s">
        <v>34</v>
      </c>
      <c r="C920" t="s">
        <v>35</v>
      </c>
      <c r="D920" t="s">
        <v>27</v>
      </c>
      <c r="E920" t="s">
        <v>30</v>
      </c>
      <c r="F920" t="s">
        <v>32</v>
      </c>
      <c r="G920">
        <f>VALUE(IF(AND(ISERR(FIND(".",'Raw Data'!G920)),LEN('Raw Data'!G920)=5), IF(YEAR('Raw Data'!G920)=2026,CONCATENATE(DAY('Raw Data'!G920),".",IF(LEN(MONTH('Raw Data'!G920))=2,MONTH('Raw Data'!G920),CONCATENATE("0",MONTH('Raw Data'!G920)))),CONCATENATE(MONTH('Raw Data'!G920),".",RIGHT(YEAR('Raw Data'!G920),2))),'Raw Data'!G920))</f>
        <v>68.97</v>
      </c>
      <c r="H920">
        <f>'Raw Data'!H920</f>
        <v>3</v>
      </c>
      <c r="I920" s="6">
        <f t="shared" si="42"/>
        <v>10.345500000000015</v>
      </c>
      <c r="J920" s="6">
        <f>'Raw Data'!J920</f>
        <v>217.25550000000001</v>
      </c>
      <c r="K920" s="1">
        <f>VALUE(IFERROR(VALUE('Raw Data'!K920),CONCATENATE(MID('Raw Data'!K920,3,2),".","0",LEFT('Raw Data'!K920,1),".", RIGHT('Raw Data'!K920,4))))</f>
        <v>43518</v>
      </c>
      <c r="L920" s="2">
        <f>'Raw Data'!L920</f>
        <v>0.47638888888888892</v>
      </c>
      <c r="M920" t="s">
        <v>23</v>
      </c>
      <c r="N920">
        <f>VALUE(IF(AND(ISERR(FIND(".",'Raw Data'!N920)),LEN('Raw Data'!N920)=5), IF(YEAR('Raw Data'!N920)=2026,CONCATENATE(DAY('Raw Data'!N920),".",IF(LEN(MONTH('Raw Data'!N920))=2,MONTH('Raw Data'!N920),CONCATENATE("0",MONTH('Raw Data'!N920)))),CONCATENATE(MONTH('Raw Data'!N920),".",RIGHT(YEAR('Raw Data'!N920),2))),'Raw Data'!N920))</f>
        <v>206.91</v>
      </c>
      <c r="O920" s="6">
        <f t="shared" si="43"/>
        <v>4.761904761904769</v>
      </c>
      <c r="P920" s="6">
        <f t="shared" si="44"/>
        <v>10.345500000000015</v>
      </c>
      <c r="Q920">
        <f>VALUE(IF(AND(ISERR(FIND(".",'Raw Data'!Q920)),LEN('Raw Data'!Q920)=5), IF(YEAR('Raw Data'!Q920)=2026,CONCATENATE(DAY('Raw Data'!Q920),".",IF(LEN(MONTH('Raw Data'!Q920))=2,MONTH('Raw Data'!Q920),CONCATENATE(MONTH('Raw Data'!Q920)))),CONCATENATE(MONTH('Raw Data'!Q920),".",RIGHT(YEAR('Raw Data'!Q920),2))),'Raw Data'!Q920))</f>
        <v>8.6999999999999993</v>
      </c>
    </row>
    <row r="921" spans="1:17">
      <c r="A921" t="s">
        <v>1008</v>
      </c>
      <c r="B921" t="s">
        <v>34</v>
      </c>
      <c r="C921" t="s">
        <v>35</v>
      </c>
      <c r="D921" t="s">
        <v>20</v>
      </c>
      <c r="E921" t="s">
        <v>21</v>
      </c>
      <c r="F921" t="s">
        <v>28</v>
      </c>
      <c r="G921">
        <f>VALUE(IF(AND(ISERR(FIND(".",'Raw Data'!G921)),LEN('Raw Data'!G921)=5), IF(YEAR('Raw Data'!G921)=2026,CONCATENATE(DAY('Raw Data'!G921),".",IF(LEN(MONTH('Raw Data'!G921))=2,MONTH('Raw Data'!G921),CONCATENATE("0",MONTH('Raw Data'!G921)))),CONCATENATE(MONTH('Raw Data'!G921),".",RIGHT(YEAR('Raw Data'!G921),2))),'Raw Data'!G921))</f>
        <v>26.26</v>
      </c>
      <c r="H921">
        <f>'Raw Data'!H921</f>
        <v>3</v>
      </c>
      <c r="I921" s="6">
        <f t="shared" si="42"/>
        <v>3.938999999999993</v>
      </c>
      <c r="J921" s="6">
        <f>'Raw Data'!J921</f>
        <v>82.718999999999994</v>
      </c>
      <c r="K921" s="1">
        <f>VALUE(IFERROR(VALUE('Raw Data'!K921),CONCATENATE(MID('Raw Data'!K921,3,2),".","0",LEFT('Raw Data'!K921,1),".", RIGHT('Raw Data'!K921,4))))</f>
        <v>43499</v>
      </c>
      <c r="L921" s="2">
        <f>'Raw Data'!L921</f>
        <v>0.52500000000000002</v>
      </c>
      <c r="M921" t="s">
        <v>23</v>
      </c>
      <c r="N921">
        <f>VALUE(IF(AND(ISERR(FIND(".",'Raw Data'!N921)),LEN('Raw Data'!N921)=5), IF(YEAR('Raw Data'!N921)=2026,CONCATENATE(DAY('Raw Data'!N921),".",IF(LEN(MONTH('Raw Data'!N921))=2,MONTH('Raw Data'!N921),CONCATENATE("0",MONTH('Raw Data'!N921)))),CONCATENATE(MONTH('Raw Data'!N921),".",RIGHT(YEAR('Raw Data'!N921),2))),'Raw Data'!N921))</f>
        <v>78.78</v>
      </c>
      <c r="O921" s="6">
        <f t="shared" si="43"/>
        <v>4.7619047619047539</v>
      </c>
      <c r="P921" s="6">
        <f t="shared" si="44"/>
        <v>3.938999999999993</v>
      </c>
      <c r="Q921">
        <f>VALUE(IF(AND(ISERR(FIND(".",'Raw Data'!Q921)),LEN('Raw Data'!Q921)=5), IF(YEAR('Raw Data'!Q921)=2026,CONCATENATE(DAY('Raw Data'!Q921),".",IF(LEN(MONTH('Raw Data'!Q921))=2,MONTH('Raw Data'!Q921),CONCATENATE(MONTH('Raw Data'!Q921)))),CONCATENATE(MONTH('Raw Data'!Q921),".",RIGHT(YEAR('Raw Data'!Q921),2))),'Raw Data'!Q921))</f>
        <v>6.3</v>
      </c>
    </row>
    <row r="922" spans="1:17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f>VALUE(IF(AND(ISERR(FIND(".",'Raw Data'!G922)),LEN('Raw Data'!G922)=5), IF(YEAR('Raw Data'!G922)=2026,CONCATENATE(DAY('Raw Data'!G922),".",IF(LEN(MONTH('Raw Data'!G922))=2,MONTH('Raw Data'!G922),CONCATENATE("0",MONTH('Raw Data'!G922)))),CONCATENATE(MONTH('Raw Data'!G922),".",RIGHT(YEAR('Raw Data'!G922),2))),'Raw Data'!G922))</f>
        <v>35.79</v>
      </c>
      <c r="H922">
        <f>'Raw Data'!H922</f>
        <v>9</v>
      </c>
      <c r="I922" s="6">
        <f t="shared" si="42"/>
        <v>16.105500000000006</v>
      </c>
      <c r="J922" s="6">
        <f>'Raw Data'!J922</f>
        <v>338.21550000000002</v>
      </c>
      <c r="K922" s="1">
        <f>VALUE(IFERROR(VALUE('Raw Data'!K922),CONCATENATE(MID('Raw Data'!K922,3,2),".","0",LEFT('Raw Data'!K922,1),".", RIGHT('Raw Data'!K922,4))))</f>
        <v>43741</v>
      </c>
      <c r="L922" s="2">
        <f>'Raw Data'!L922</f>
        <v>0.62916666666666665</v>
      </c>
      <c r="M922" t="s">
        <v>33</v>
      </c>
      <c r="N922">
        <f>VALUE(IF(AND(ISERR(FIND(".",'Raw Data'!N922)),LEN('Raw Data'!N922)=5), IF(YEAR('Raw Data'!N922)=2026,CONCATENATE(DAY('Raw Data'!N922),".",IF(LEN(MONTH('Raw Data'!N922))=2,MONTH('Raw Data'!N922),CONCATENATE("0",MONTH('Raw Data'!N922)))),CONCATENATE(MONTH('Raw Data'!N922),".",RIGHT(YEAR('Raw Data'!N922),2))),'Raw Data'!N922))</f>
        <v>322.11</v>
      </c>
      <c r="O922" s="6">
        <f t="shared" si="43"/>
        <v>4.7619047619047636</v>
      </c>
      <c r="P922" s="6">
        <f t="shared" si="44"/>
        <v>16.105500000000006</v>
      </c>
      <c r="Q922">
        <f>VALUE(IF(AND(ISERR(FIND(".",'Raw Data'!Q922)),LEN('Raw Data'!Q922)=5), IF(YEAR('Raw Data'!Q922)=2026,CONCATENATE(DAY('Raw Data'!Q922),".",IF(LEN(MONTH('Raw Data'!Q922))=2,MONTH('Raw Data'!Q922),CONCATENATE(MONTH('Raw Data'!Q922)))),CONCATENATE(MONTH('Raw Data'!Q922),".",RIGHT(YEAR('Raw Data'!Q922),2))),'Raw Data'!Q922))</f>
        <v>5.0999999999999996</v>
      </c>
    </row>
    <row r="923" spans="1:17">
      <c r="A923" t="s">
        <v>1010</v>
      </c>
      <c r="B923" t="s">
        <v>34</v>
      </c>
      <c r="C923" t="s">
        <v>35</v>
      </c>
      <c r="D923" t="s">
        <v>27</v>
      </c>
      <c r="E923" t="s">
        <v>21</v>
      </c>
      <c r="F923" t="s">
        <v>32</v>
      </c>
      <c r="G923">
        <f>VALUE(IF(AND(ISERR(FIND(".",'Raw Data'!G923)),LEN('Raw Data'!G923)=5), IF(YEAR('Raw Data'!G923)=2026,CONCATENATE(DAY('Raw Data'!G923),".",IF(LEN(MONTH('Raw Data'!G923))=2,MONTH('Raw Data'!G923),CONCATENATE("0",MONTH('Raw Data'!G923)))),CONCATENATE(MONTH('Raw Data'!G923),".",RIGHT(YEAR('Raw Data'!G923),2))),'Raw Data'!G923))</f>
        <v>16.37</v>
      </c>
      <c r="H923">
        <f>'Raw Data'!H923</f>
        <v>6</v>
      </c>
      <c r="I923" s="6">
        <f t="shared" si="42"/>
        <v>4.9110000000000014</v>
      </c>
      <c r="J923" s="6">
        <f>'Raw Data'!J923</f>
        <v>103.131</v>
      </c>
      <c r="K923" s="1">
        <f>VALUE(IFERROR(VALUE('Raw Data'!K923),CONCATENATE(MID('Raw Data'!K923,3,2),".","0",LEFT('Raw Data'!K923,1),".", RIGHT('Raw Data'!K923,4))))</f>
        <v>43679</v>
      </c>
      <c r="L923" s="2">
        <f>'Raw Data'!L923</f>
        <v>0.45694444444444443</v>
      </c>
      <c r="M923" t="s">
        <v>29</v>
      </c>
      <c r="N923">
        <f>VALUE(IF(AND(ISERR(FIND(".",'Raw Data'!N923)),LEN('Raw Data'!N923)=5), IF(YEAR('Raw Data'!N923)=2026,CONCATENATE(DAY('Raw Data'!N923),".",IF(LEN(MONTH('Raw Data'!N923))=2,MONTH('Raw Data'!N923),CONCATENATE("0",MONTH('Raw Data'!N923)))),CONCATENATE(MONTH('Raw Data'!N923),".",RIGHT(YEAR('Raw Data'!N923),2))),'Raw Data'!N923))</f>
        <v>98.22</v>
      </c>
      <c r="O923" s="6">
        <f t="shared" si="43"/>
        <v>4.7619047619047628</v>
      </c>
      <c r="P923" s="6">
        <f t="shared" si="44"/>
        <v>4.9110000000000014</v>
      </c>
      <c r="Q923">
        <f>VALUE(IF(AND(ISERR(FIND(".",'Raw Data'!Q923)),LEN('Raw Data'!Q923)=5), IF(YEAR('Raw Data'!Q923)=2026,CONCATENATE(DAY('Raw Data'!Q923),".",IF(LEN(MONTH('Raw Data'!Q923))=2,MONTH('Raw Data'!Q923),CONCATENATE(MONTH('Raw Data'!Q923)))),CONCATENATE(MONTH('Raw Data'!Q923),".",RIGHT(YEAR('Raw Data'!Q923),2))),'Raw Data'!Q923))</f>
        <v>7</v>
      </c>
    </row>
    <row r="924" spans="1:17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f>VALUE(IF(AND(ISERR(FIND(".",'Raw Data'!G924)),LEN('Raw Data'!G924)=5), IF(YEAR('Raw Data'!G924)=2026,CONCATENATE(DAY('Raw Data'!G924),".",IF(LEN(MONTH('Raw Data'!G924))=2,MONTH('Raw Data'!G924),CONCATENATE("0",MONTH('Raw Data'!G924)))),CONCATENATE(MONTH('Raw Data'!G924),".",RIGHT(YEAR('Raw Data'!G924),2))),'Raw Data'!G924))</f>
        <v>12.73</v>
      </c>
      <c r="H924">
        <f>'Raw Data'!H924</f>
        <v>2</v>
      </c>
      <c r="I924" s="6">
        <f t="shared" si="42"/>
        <v>1.2729999999999997</v>
      </c>
      <c r="J924" s="6">
        <f>'Raw Data'!J924</f>
        <v>26.733000000000001</v>
      </c>
      <c r="K924" s="1">
        <f>VALUE(IFERROR(VALUE('Raw Data'!K924),CONCATENATE(MID('Raw Data'!K924,3,2),".","0",LEFT('Raw Data'!K924,1),".", RIGHT('Raw Data'!K924,4))))</f>
        <v>43518</v>
      </c>
      <c r="L924" s="2">
        <f>'Raw Data'!L924</f>
        <v>0.50694444444444442</v>
      </c>
      <c r="M924" t="s">
        <v>33</v>
      </c>
      <c r="N924">
        <f>VALUE(IF(AND(ISERR(FIND(".",'Raw Data'!N924)),LEN('Raw Data'!N924)=5), IF(YEAR('Raw Data'!N924)=2026,CONCATENATE(DAY('Raw Data'!N924),".",IF(LEN(MONTH('Raw Data'!N924))=2,MONTH('Raw Data'!N924),CONCATENATE("0",MONTH('Raw Data'!N924)))),CONCATENATE(MONTH('Raw Data'!N924),".",RIGHT(YEAR('Raw Data'!N924),2))),'Raw Data'!N924))</f>
        <v>25.46</v>
      </c>
      <c r="O924" s="6">
        <f t="shared" si="43"/>
        <v>4.761904761904761</v>
      </c>
      <c r="P924" s="6">
        <f t="shared" si="44"/>
        <v>1.2729999999999997</v>
      </c>
      <c r="Q924">
        <f>VALUE(IF(AND(ISERR(FIND(".",'Raw Data'!Q924)),LEN('Raw Data'!Q924)=5), IF(YEAR('Raw Data'!Q924)=2026,CONCATENATE(DAY('Raw Data'!Q924),".",IF(LEN(MONTH('Raw Data'!Q924))=2,MONTH('Raw Data'!Q924),CONCATENATE(MONTH('Raw Data'!Q924)))),CONCATENATE(MONTH('Raw Data'!Q924),".",RIGHT(YEAR('Raw Data'!Q924),2))),'Raw Data'!Q924))</f>
        <v>5.2</v>
      </c>
    </row>
    <row r="925" spans="1:17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38</v>
      </c>
      <c r="G925">
        <f>VALUE(IF(AND(ISERR(FIND(".",'Raw Data'!G925)),LEN('Raw Data'!G925)=5), IF(YEAR('Raw Data'!G925)=2026,CONCATENATE(DAY('Raw Data'!G925),".",IF(LEN(MONTH('Raw Data'!G925))=2,MONTH('Raw Data'!G925),CONCATENATE("0",MONTH('Raw Data'!G925)))),CONCATENATE(MONTH('Raw Data'!G925),".",RIGHT(YEAR('Raw Data'!G925),2))),'Raw Data'!G925))</f>
        <v>83.14</v>
      </c>
      <c r="H925">
        <f>'Raw Data'!H925</f>
        <v>7</v>
      </c>
      <c r="I925" s="6">
        <f t="shared" si="42"/>
        <v>29.098999999999933</v>
      </c>
      <c r="J925" s="6">
        <f>'Raw Data'!J925</f>
        <v>611.07899999999995</v>
      </c>
      <c r="K925" s="1">
        <f>VALUE(IFERROR(VALUE('Raw Data'!K925),CONCATENATE(MID('Raw Data'!K925,3,2),".","0",LEFT('Raw Data'!K925,1),".", RIGHT('Raw Data'!K925,4))))</f>
        <v>43739</v>
      </c>
      <c r="L925" s="2">
        <f>'Raw Data'!L925</f>
        <v>0.4381944444444445</v>
      </c>
      <c r="M925" t="s">
        <v>33</v>
      </c>
      <c r="N925">
        <f>VALUE(IF(AND(ISERR(FIND(".",'Raw Data'!N925)),LEN('Raw Data'!N925)=5), IF(YEAR('Raw Data'!N925)=2026,CONCATENATE(DAY('Raw Data'!N925),".",IF(LEN(MONTH('Raw Data'!N925))=2,MONTH('Raw Data'!N925),CONCATENATE("0",MONTH('Raw Data'!N925)))),CONCATENATE(MONTH('Raw Data'!N925),".",RIGHT(YEAR('Raw Data'!N925),2))),'Raw Data'!N925))</f>
        <v>581.98</v>
      </c>
      <c r="O925" s="6">
        <f t="shared" si="43"/>
        <v>4.7619047619047512</v>
      </c>
      <c r="P925" s="6">
        <f t="shared" si="44"/>
        <v>29.098999999999933</v>
      </c>
      <c r="Q925">
        <f>VALUE(IF(AND(ISERR(FIND(".",'Raw Data'!Q925)),LEN('Raw Data'!Q925)=5), IF(YEAR('Raw Data'!Q925)=2026,CONCATENATE(DAY('Raw Data'!Q925),".",IF(LEN(MONTH('Raw Data'!Q925))=2,MONTH('Raw Data'!Q925),CONCATENATE(MONTH('Raw Data'!Q925)))),CONCATENATE(MONTH('Raw Data'!Q925),".",RIGHT(YEAR('Raw Data'!Q925),2))),'Raw Data'!Q925))</f>
        <v>6.6</v>
      </c>
    </row>
    <row r="926" spans="1:17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38</v>
      </c>
      <c r="G926">
        <f>VALUE(IF(AND(ISERR(FIND(".",'Raw Data'!G926)),LEN('Raw Data'!G926)=5), IF(YEAR('Raw Data'!G926)=2026,CONCATENATE(DAY('Raw Data'!G926),".",IF(LEN(MONTH('Raw Data'!G926))=2,MONTH('Raw Data'!G926),CONCATENATE("0",MONTH('Raw Data'!G926)))),CONCATENATE(MONTH('Raw Data'!G926),".",RIGHT(YEAR('Raw Data'!G926),2))),'Raw Data'!G926))</f>
        <v>35.22</v>
      </c>
      <c r="H926">
        <f>'Raw Data'!H926</f>
        <v>6</v>
      </c>
      <c r="I926" s="6">
        <f t="shared" si="42"/>
        <v>10.566000000000003</v>
      </c>
      <c r="J926" s="6">
        <f>'Raw Data'!J926</f>
        <v>221.886</v>
      </c>
      <c r="K926" s="1">
        <f>VALUE(IFERROR(VALUE('Raw Data'!K926),CONCATENATE(MID('Raw Data'!K926,3,2),".","0",LEFT('Raw Data'!K926,1),".", RIGHT('Raw Data'!K926,4))))</f>
        <v>43538</v>
      </c>
      <c r="L926" s="2">
        <f>'Raw Data'!L926</f>
        <v>0.5756944444444444</v>
      </c>
      <c r="M926" t="s">
        <v>23</v>
      </c>
      <c r="N926">
        <f>VALUE(IF(AND(ISERR(FIND(".",'Raw Data'!N926)),LEN('Raw Data'!N926)=5), IF(YEAR('Raw Data'!N926)=2026,CONCATENATE(DAY('Raw Data'!N926),".",IF(LEN(MONTH('Raw Data'!N926))=2,MONTH('Raw Data'!N926),CONCATENATE("0",MONTH('Raw Data'!N926)))),CONCATENATE(MONTH('Raw Data'!N926),".",RIGHT(YEAR('Raw Data'!N926),2))),'Raw Data'!N926))</f>
        <v>211.32</v>
      </c>
      <c r="O926" s="6">
        <f t="shared" si="43"/>
        <v>4.7619047619047628</v>
      </c>
      <c r="P926" s="6">
        <f t="shared" si="44"/>
        <v>10.566000000000003</v>
      </c>
      <c r="Q926">
        <f>VALUE(IF(AND(ISERR(FIND(".",'Raw Data'!Q926)),LEN('Raw Data'!Q926)=5), IF(YEAR('Raw Data'!Q926)=2026,CONCATENATE(DAY('Raw Data'!Q926),".",IF(LEN(MONTH('Raw Data'!Q926))=2,MONTH('Raw Data'!Q926),CONCATENATE(MONTH('Raw Data'!Q926)))),CONCATENATE(MONTH('Raw Data'!Q926),".",RIGHT(YEAR('Raw Data'!Q926),2))),'Raw Data'!Q926))</f>
        <v>6.5</v>
      </c>
    </row>
    <row r="927" spans="1:17">
      <c r="A927" t="s">
        <v>1014</v>
      </c>
      <c r="B927" t="s">
        <v>34</v>
      </c>
      <c r="C927" t="s">
        <v>35</v>
      </c>
      <c r="D927" t="s">
        <v>27</v>
      </c>
      <c r="E927" t="s">
        <v>21</v>
      </c>
      <c r="F927" t="s">
        <v>28</v>
      </c>
      <c r="G927">
        <f>VALUE(IF(AND(ISERR(FIND(".",'Raw Data'!G927)),LEN('Raw Data'!G927)=5), IF(YEAR('Raw Data'!G927)=2026,CONCATENATE(DAY('Raw Data'!G927),".",IF(LEN(MONTH('Raw Data'!G927))=2,MONTH('Raw Data'!G927),CONCATENATE("0",MONTH('Raw Data'!G927)))),CONCATENATE(MONTH('Raw Data'!G927),".",RIGHT(YEAR('Raw Data'!G927),2))),'Raw Data'!G927))</f>
        <v>13.78</v>
      </c>
      <c r="H927">
        <f>'Raw Data'!H927</f>
        <v>4</v>
      </c>
      <c r="I927" s="6">
        <f t="shared" si="42"/>
        <v>2.7560000000000002</v>
      </c>
      <c r="J927" s="6">
        <f>'Raw Data'!J927</f>
        <v>57.875999999999998</v>
      </c>
      <c r="K927" s="1">
        <f>VALUE(IFERROR(VALUE('Raw Data'!K927),CONCATENATE(MID('Raw Data'!K927,3,2),".","0",LEFT('Raw Data'!K927,1),".", RIGHT('Raw Data'!K927,4))))</f>
        <v>43739</v>
      </c>
      <c r="L927" s="2">
        <f>'Raw Data'!L927</f>
        <v>0.46527777777777773</v>
      </c>
      <c r="M927" t="s">
        <v>23</v>
      </c>
      <c r="N927">
        <f>VALUE(IF(AND(ISERR(FIND(".",'Raw Data'!N927)),LEN('Raw Data'!N927)=5), IF(YEAR('Raw Data'!N927)=2026,CONCATENATE(DAY('Raw Data'!N927),".",IF(LEN(MONTH('Raw Data'!N927))=2,MONTH('Raw Data'!N927),CONCATENATE("0",MONTH('Raw Data'!N927)))),CONCATENATE(MONTH('Raw Data'!N927),".",RIGHT(YEAR('Raw Data'!N927),2))),'Raw Data'!N927))</f>
        <v>55.12</v>
      </c>
      <c r="O927" s="6">
        <f t="shared" si="43"/>
        <v>4.7619047619047628</v>
      </c>
      <c r="P927" s="6">
        <f t="shared" si="44"/>
        <v>2.7560000000000002</v>
      </c>
      <c r="Q927">
        <f>VALUE(IF(AND(ISERR(FIND(".",'Raw Data'!Q927)),LEN('Raw Data'!Q927)=5), IF(YEAR('Raw Data'!Q927)=2026,CONCATENATE(DAY('Raw Data'!Q927),".",IF(LEN(MONTH('Raw Data'!Q927))=2,MONTH('Raw Data'!Q927),CONCATENATE(MONTH('Raw Data'!Q927)))),CONCATENATE(MONTH('Raw Data'!Q927),".",RIGHT(YEAR('Raw Data'!Q927),2))),'Raw Data'!Q927))</f>
        <v>9</v>
      </c>
    </row>
    <row r="928" spans="1:17">
      <c r="A928" t="s">
        <v>1015</v>
      </c>
      <c r="B928" t="s">
        <v>34</v>
      </c>
      <c r="C928" t="s">
        <v>35</v>
      </c>
      <c r="D928" t="s">
        <v>20</v>
      </c>
      <c r="E928" t="s">
        <v>30</v>
      </c>
      <c r="F928" t="s">
        <v>38</v>
      </c>
      <c r="G928">
        <f>VALUE(IF(AND(ISERR(FIND(".",'Raw Data'!G928)),LEN('Raw Data'!G928)=5), IF(YEAR('Raw Data'!G928)=2026,CONCATENATE(DAY('Raw Data'!G928),".",IF(LEN(MONTH('Raw Data'!G928))=2,MONTH('Raw Data'!G928),CONCATENATE("0",MONTH('Raw Data'!G928)))),CONCATENATE(MONTH('Raw Data'!G928),".",RIGHT(YEAR('Raw Data'!G928),2))),'Raw Data'!G928))</f>
        <v>88.31</v>
      </c>
      <c r="H928">
        <f>'Raw Data'!H928</f>
        <v>1</v>
      </c>
      <c r="I928" s="6">
        <f t="shared" si="42"/>
        <v>4.4154999999999944</v>
      </c>
      <c r="J928" s="6">
        <f>'Raw Data'!J928</f>
        <v>92.725499999999997</v>
      </c>
      <c r="K928" s="1">
        <f>VALUE(IFERROR(VALUE('Raw Data'!K928),CONCATENATE(MID('Raw Data'!K928,3,2),".","0",LEFT('Raw Data'!K928,1),".", RIGHT('Raw Data'!K928,4))))</f>
        <v>43511</v>
      </c>
      <c r="L928" s="2">
        <f>'Raw Data'!L928</f>
        <v>0.73472222222222217</v>
      </c>
      <c r="M928" t="s">
        <v>33</v>
      </c>
      <c r="N928">
        <f>VALUE(IF(AND(ISERR(FIND(".",'Raw Data'!N928)),LEN('Raw Data'!N928)=5), IF(YEAR('Raw Data'!N928)=2026,CONCATENATE(DAY('Raw Data'!N928),".",IF(LEN(MONTH('Raw Data'!N928))=2,MONTH('Raw Data'!N928),CONCATENATE("0",MONTH('Raw Data'!N928)))),CONCATENATE(MONTH('Raw Data'!N928),".",RIGHT(YEAR('Raw Data'!N928),2))),'Raw Data'!N928))</f>
        <v>88.31</v>
      </c>
      <c r="O928" s="6">
        <f t="shared" si="43"/>
        <v>4.7619047619047556</v>
      </c>
      <c r="P928" s="6">
        <f t="shared" si="44"/>
        <v>4.4154999999999944</v>
      </c>
      <c r="Q928">
        <f>VALUE(IF(AND(ISERR(FIND(".",'Raw Data'!Q928)),LEN('Raw Data'!Q928)=5), IF(YEAR('Raw Data'!Q928)=2026,CONCATENATE(DAY('Raw Data'!Q928),".",IF(LEN(MONTH('Raw Data'!Q928))=2,MONTH('Raw Data'!Q928),CONCATENATE(MONTH('Raw Data'!Q928)))),CONCATENATE(MONTH('Raw Data'!Q928),".",RIGHT(YEAR('Raw Data'!Q928),2))),'Raw Data'!Q928))</f>
        <v>5.2</v>
      </c>
    </row>
    <row r="929" spans="1:17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f>VALUE(IF(AND(ISERR(FIND(".",'Raw Data'!G929)),LEN('Raw Data'!G929)=5), IF(YEAR('Raw Data'!G929)=2026,CONCATENATE(DAY('Raw Data'!G929),".",IF(LEN(MONTH('Raw Data'!G929))=2,MONTH('Raw Data'!G929),CONCATENATE("0",MONTH('Raw Data'!G929)))),CONCATENATE(MONTH('Raw Data'!G929),".",RIGHT(YEAR('Raw Data'!G929),2))),'Raw Data'!G929))</f>
        <v>39.619999999999997</v>
      </c>
      <c r="H929">
        <f>'Raw Data'!H929</f>
        <v>9</v>
      </c>
      <c r="I929" s="6">
        <f t="shared" si="42"/>
        <v>17.829000000000008</v>
      </c>
      <c r="J929" s="6">
        <f>'Raw Data'!J929</f>
        <v>374.40899999999999</v>
      </c>
      <c r="K929" s="1">
        <f>VALUE(IFERROR(VALUE('Raw Data'!K929),CONCATENATE(MID('Raw Data'!K929,3,2),".","0",LEFT('Raw Data'!K929,1),".", RIGHT('Raw Data'!K929,4))))</f>
        <v>43478</v>
      </c>
      <c r="L929" s="2">
        <f>'Raw Data'!L929</f>
        <v>0.74583333333333324</v>
      </c>
      <c r="M929" t="s">
        <v>33</v>
      </c>
      <c r="N929">
        <f>VALUE(IF(AND(ISERR(FIND(".",'Raw Data'!N929)),LEN('Raw Data'!N929)=5), IF(YEAR('Raw Data'!N929)=2026,CONCATENATE(DAY('Raw Data'!N929),".",IF(LEN(MONTH('Raw Data'!N929))=2,MONTH('Raw Data'!N929),CONCATENATE("0",MONTH('Raw Data'!N929)))),CONCATENATE(MONTH('Raw Data'!N929),".",RIGHT(YEAR('Raw Data'!N929),2))),'Raw Data'!N929))</f>
        <v>356.58</v>
      </c>
      <c r="O929" s="6">
        <f t="shared" si="43"/>
        <v>4.7619047619047645</v>
      </c>
      <c r="P929" s="6">
        <f t="shared" si="44"/>
        <v>17.829000000000008</v>
      </c>
      <c r="Q929">
        <f>VALUE(IF(AND(ISERR(FIND(".",'Raw Data'!Q929)),LEN('Raw Data'!Q929)=5), IF(YEAR('Raw Data'!Q929)=2026,CONCATENATE(DAY('Raw Data'!Q929),".",IF(LEN(MONTH('Raw Data'!Q929))=2,MONTH('Raw Data'!Q929),CONCATENATE(MONTH('Raw Data'!Q929)))),CONCATENATE(MONTH('Raw Data'!Q929),".",RIGHT(YEAR('Raw Data'!Q929),2))),'Raw Data'!Q929))</f>
        <v>6.8</v>
      </c>
    </row>
    <row r="930" spans="1:17">
      <c r="A930" t="s">
        <v>1017</v>
      </c>
      <c r="B930" t="s">
        <v>34</v>
      </c>
      <c r="C930" t="s">
        <v>35</v>
      </c>
      <c r="D930" t="s">
        <v>27</v>
      </c>
      <c r="E930" t="s">
        <v>21</v>
      </c>
      <c r="F930" t="s">
        <v>28</v>
      </c>
      <c r="G930">
        <f>VALUE(IF(AND(ISERR(FIND(".",'Raw Data'!G930)),LEN('Raw Data'!G930)=5), IF(YEAR('Raw Data'!G930)=2026,CONCATENATE(DAY('Raw Data'!G930),".",IF(LEN(MONTH('Raw Data'!G930))=2,MONTH('Raw Data'!G930),CONCATENATE("0",MONTH('Raw Data'!G930)))),CONCATENATE(MONTH('Raw Data'!G930),".",RIGHT(YEAR('Raw Data'!G930),2))),'Raw Data'!G930))</f>
        <v>88.25</v>
      </c>
      <c r="H930">
        <f>'Raw Data'!H930</f>
        <v>9</v>
      </c>
      <c r="I930" s="6">
        <f t="shared" si="42"/>
        <v>39.712499999999977</v>
      </c>
      <c r="J930" s="6">
        <f>'Raw Data'!J930</f>
        <v>833.96249999999998</v>
      </c>
      <c r="K930" s="1">
        <f>VALUE(IFERROR(VALUE('Raw Data'!K930),CONCATENATE(MID('Raw Data'!K930,3,2),".","0",LEFT('Raw Data'!K930,1),".", RIGHT('Raw Data'!K930,4))))</f>
        <v>43511</v>
      </c>
      <c r="L930" s="2">
        <f>'Raw Data'!L930</f>
        <v>0.86875000000000002</v>
      </c>
      <c r="M930" t="s">
        <v>33</v>
      </c>
      <c r="N930">
        <f>VALUE(IF(AND(ISERR(FIND(".",'Raw Data'!N930)),LEN('Raw Data'!N930)=5), IF(YEAR('Raw Data'!N930)=2026,CONCATENATE(DAY('Raw Data'!N930),".",IF(LEN(MONTH('Raw Data'!N930))=2,MONTH('Raw Data'!N930),CONCATENATE("0",MONTH('Raw Data'!N930)))),CONCATENATE(MONTH('Raw Data'!N930),".",RIGHT(YEAR('Raw Data'!N930),2))),'Raw Data'!N930))</f>
        <v>794.25</v>
      </c>
      <c r="O930" s="6">
        <f t="shared" si="43"/>
        <v>4.7619047619047592</v>
      </c>
      <c r="P930" s="6">
        <f t="shared" si="44"/>
        <v>39.712499999999977</v>
      </c>
      <c r="Q930">
        <f>VALUE(IF(AND(ISERR(FIND(".",'Raw Data'!Q930)),LEN('Raw Data'!Q930)=5), IF(YEAR('Raw Data'!Q930)=2026,CONCATENATE(DAY('Raw Data'!Q930),".",IF(LEN(MONTH('Raw Data'!Q930))=2,MONTH('Raw Data'!Q930),CONCATENATE(MONTH('Raw Data'!Q930)))),CONCATENATE(MONTH('Raw Data'!Q930),".",RIGHT(YEAR('Raw Data'!Q930),2))),'Raw Data'!Q930))</f>
        <v>7.6</v>
      </c>
    </row>
    <row r="931" spans="1:17">
      <c r="A931" t="s">
        <v>1018</v>
      </c>
      <c r="B931" t="s">
        <v>34</v>
      </c>
      <c r="C931" t="s">
        <v>35</v>
      </c>
      <c r="D931" t="s">
        <v>27</v>
      </c>
      <c r="E931" t="s">
        <v>30</v>
      </c>
      <c r="F931" t="s">
        <v>38</v>
      </c>
      <c r="G931">
        <f>VALUE(IF(AND(ISERR(FIND(".",'Raw Data'!G931)),LEN('Raw Data'!G931)=5), IF(YEAR('Raw Data'!G931)=2026,CONCATENATE(DAY('Raw Data'!G931),".",IF(LEN(MONTH('Raw Data'!G931))=2,MONTH('Raw Data'!G931),CONCATENATE("0",MONTH('Raw Data'!G931)))),CONCATENATE(MONTH('Raw Data'!G931),".",RIGHT(YEAR('Raw Data'!G931),2))),'Raw Data'!G931))</f>
        <v>25.31</v>
      </c>
      <c r="H931">
        <f>'Raw Data'!H931</f>
        <v>2</v>
      </c>
      <c r="I931" s="6">
        <f t="shared" si="42"/>
        <v>2.5310000000000059</v>
      </c>
      <c r="J931" s="6">
        <f>'Raw Data'!J931</f>
        <v>53.151000000000003</v>
      </c>
      <c r="K931" s="1">
        <f>VALUE(IFERROR(VALUE('Raw Data'!K931),CONCATENATE(MID('Raw Data'!K931,3,2),".","0",LEFT('Raw Data'!K931,1),".", RIGHT('Raw Data'!K931,4))))</f>
        <v>43499</v>
      </c>
      <c r="L931" s="2">
        <f>'Raw Data'!L931</f>
        <v>0.80972222222222223</v>
      </c>
      <c r="M931" t="s">
        <v>23</v>
      </c>
      <c r="N931">
        <f>VALUE(IF(AND(ISERR(FIND(".",'Raw Data'!N931)),LEN('Raw Data'!N931)=5), IF(YEAR('Raw Data'!N931)=2026,CONCATENATE(DAY('Raw Data'!N931),".",IF(LEN(MONTH('Raw Data'!N931))=2,MONTH('Raw Data'!N931),CONCATENATE("0",MONTH('Raw Data'!N931)))),CONCATENATE(MONTH('Raw Data'!N931),".",RIGHT(YEAR('Raw Data'!N931),2))),'Raw Data'!N931))</f>
        <v>50.62</v>
      </c>
      <c r="O931" s="6">
        <f t="shared" si="43"/>
        <v>4.7619047619047725</v>
      </c>
      <c r="P931" s="6">
        <f t="shared" si="44"/>
        <v>2.5310000000000059</v>
      </c>
      <c r="Q931">
        <f>VALUE(IF(AND(ISERR(FIND(".",'Raw Data'!Q931)),LEN('Raw Data'!Q931)=5), IF(YEAR('Raw Data'!Q931)=2026,CONCATENATE(DAY('Raw Data'!Q931),".",IF(LEN(MONTH('Raw Data'!Q931))=2,MONTH('Raw Data'!Q931),CONCATENATE(MONTH('Raw Data'!Q931)))),CONCATENATE(MONTH('Raw Data'!Q931),".",RIGHT(YEAR('Raw Data'!Q931),2))),'Raw Data'!Q931))</f>
        <v>7.2</v>
      </c>
    </row>
    <row r="932" spans="1:17">
      <c r="A932" t="s">
        <v>1019</v>
      </c>
      <c r="B932" t="s">
        <v>34</v>
      </c>
      <c r="C932" t="s">
        <v>35</v>
      </c>
      <c r="D932" t="s">
        <v>27</v>
      </c>
      <c r="E932" t="s">
        <v>30</v>
      </c>
      <c r="F932" t="s">
        <v>32</v>
      </c>
      <c r="G932">
        <f>VALUE(IF(AND(ISERR(FIND(".",'Raw Data'!G932)),LEN('Raw Data'!G932)=5), IF(YEAR('Raw Data'!G932)=2026,CONCATENATE(DAY('Raw Data'!G932),".",IF(LEN(MONTH('Raw Data'!G932))=2,MONTH('Raw Data'!G932),CONCATENATE("0",MONTH('Raw Data'!G932)))),CONCATENATE(MONTH('Raw Data'!G932),".",RIGHT(YEAR('Raw Data'!G932),2))),'Raw Data'!G932))</f>
        <v>99.92</v>
      </c>
      <c r="H932">
        <f>'Raw Data'!H932</f>
        <v>6</v>
      </c>
      <c r="I932" s="6">
        <f t="shared" si="42"/>
        <v>29.975999999999999</v>
      </c>
      <c r="J932" s="6">
        <f>'Raw Data'!J932</f>
        <v>629.49599999999998</v>
      </c>
      <c r="K932" s="1">
        <f>VALUE(IFERROR(VALUE('Raw Data'!K932),CONCATENATE(MID('Raw Data'!K932,3,2),".","0",LEFT('Raw Data'!K932,1),".", RIGHT('Raw Data'!K932,4))))</f>
        <v>43548</v>
      </c>
      <c r="L932" s="2">
        <f>'Raw Data'!L932</f>
        <v>0.56458333333333333</v>
      </c>
      <c r="M932" t="s">
        <v>23</v>
      </c>
      <c r="N932">
        <f>VALUE(IF(AND(ISERR(FIND(".",'Raw Data'!N932)),LEN('Raw Data'!N932)=5), IF(YEAR('Raw Data'!N932)=2026,CONCATENATE(DAY('Raw Data'!N932),".",IF(LEN(MONTH('Raw Data'!N932))=2,MONTH('Raw Data'!N932),CONCATENATE("0",MONTH('Raw Data'!N932)))),CONCATENATE(MONTH('Raw Data'!N932),".",RIGHT(YEAR('Raw Data'!N932),2))),'Raw Data'!N932))</f>
        <v>599.52</v>
      </c>
      <c r="O932" s="6">
        <f t="shared" si="43"/>
        <v>4.7619047619047619</v>
      </c>
      <c r="P932" s="6">
        <f t="shared" si="44"/>
        <v>29.975999999999999</v>
      </c>
      <c r="Q932">
        <f>VALUE(IF(AND(ISERR(FIND(".",'Raw Data'!Q932)),LEN('Raw Data'!Q932)=5), IF(YEAR('Raw Data'!Q932)=2026,CONCATENATE(DAY('Raw Data'!Q932),".",IF(LEN(MONTH('Raw Data'!Q932))=2,MONTH('Raw Data'!Q932),CONCATENATE(MONTH('Raw Data'!Q932)))),CONCATENATE(MONTH('Raw Data'!Q932),".",RIGHT(YEAR('Raw Data'!Q932),2))),'Raw Data'!Q932))</f>
        <v>7.1</v>
      </c>
    </row>
    <row r="933" spans="1:17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43</v>
      </c>
      <c r="G933">
        <f>VALUE(IF(AND(ISERR(FIND(".",'Raw Data'!G933)),LEN('Raw Data'!G933)=5), IF(YEAR('Raw Data'!G933)=2026,CONCATENATE(DAY('Raw Data'!G933),".",IF(LEN(MONTH('Raw Data'!G933))=2,MONTH('Raw Data'!G933),CONCATENATE("0",MONTH('Raw Data'!G933)))),CONCATENATE(MONTH('Raw Data'!G933),".",RIGHT(YEAR('Raw Data'!G933),2))),'Raw Data'!G933))</f>
        <v>83.35</v>
      </c>
      <c r="H933">
        <f>'Raw Data'!H933</f>
        <v>2</v>
      </c>
      <c r="I933" s="6">
        <f t="shared" si="42"/>
        <v>8.335000000000008</v>
      </c>
      <c r="J933" s="6">
        <f>'Raw Data'!J933</f>
        <v>175.035</v>
      </c>
      <c r="K933" s="1">
        <f>VALUE(IFERROR(VALUE('Raw Data'!K933),CONCATENATE(MID('Raw Data'!K933,3,2),".","0",LEFT('Raw Data'!K933,1),".", RIGHT('Raw Data'!K933,4))))</f>
        <v>43498</v>
      </c>
      <c r="L933" s="2">
        <f>'Raw Data'!L933</f>
        <v>0.58680555555555558</v>
      </c>
      <c r="M933" t="s">
        <v>33</v>
      </c>
      <c r="N933">
        <f>VALUE(IF(AND(ISERR(FIND(".",'Raw Data'!N933)),LEN('Raw Data'!N933)=5), IF(YEAR('Raw Data'!N933)=2026,CONCATENATE(DAY('Raw Data'!N933),".",IF(LEN(MONTH('Raw Data'!N933))=2,MONTH('Raw Data'!N933),CONCATENATE("0",MONTH('Raw Data'!N933)))),CONCATENATE(MONTH('Raw Data'!N933),".",RIGHT(YEAR('Raw Data'!N933),2))),'Raw Data'!N933))</f>
        <v>166.7</v>
      </c>
      <c r="O933" s="6">
        <f t="shared" si="43"/>
        <v>4.7619047619047663</v>
      </c>
      <c r="P933" s="6">
        <f t="shared" si="44"/>
        <v>8.335000000000008</v>
      </c>
      <c r="Q933">
        <f>VALUE(IF(AND(ISERR(FIND(".",'Raw Data'!Q933)),LEN('Raw Data'!Q933)=5), IF(YEAR('Raw Data'!Q933)=2026,CONCATENATE(DAY('Raw Data'!Q933),".",IF(LEN(MONTH('Raw Data'!Q933))=2,MONTH('Raw Data'!Q933),CONCATENATE(MONTH('Raw Data'!Q933)))),CONCATENATE(MONTH('Raw Data'!Q933),".",RIGHT(YEAR('Raw Data'!Q933),2))),'Raw Data'!Q933))</f>
        <v>9.5</v>
      </c>
    </row>
    <row r="934" spans="1:17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40</v>
      </c>
      <c r="G934">
        <f>VALUE(IF(AND(ISERR(FIND(".",'Raw Data'!G934)),LEN('Raw Data'!G934)=5), IF(YEAR('Raw Data'!G934)=2026,CONCATENATE(DAY('Raw Data'!G934),".",IF(LEN(MONTH('Raw Data'!G934))=2,MONTH('Raw Data'!G934),CONCATENATE("0",MONTH('Raw Data'!G934)))),CONCATENATE(MONTH('Raw Data'!G934),".",RIGHT(YEAR('Raw Data'!G934),2))),'Raw Data'!G934))</f>
        <v>74.44</v>
      </c>
      <c r="H934">
        <f>'Raw Data'!H934</f>
        <v>10</v>
      </c>
      <c r="I934" s="6">
        <f t="shared" si="42"/>
        <v>37.220000000000027</v>
      </c>
      <c r="J934" s="6">
        <f>'Raw Data'!J934</f>
        <v>781.62</v>
      </c>
      <c r="K934" s="1">
        <f>VALUE(IFERROR(VALUE('Raw Data'!K934),CONCATENATE(MID('Raw Data'!K934,3,2),".","0",LEFT('Raw Data'!K934,1),".", RIGHT('Raw Data'!K934,4))))</f>
        <v>43523</v>
      </c>
      <c r="L934" s="2">
        <f>'Raw Data'!L934</f>
        <v>0.4861111111111111</v>
      </c>
      <c r="M934" t="s">
        <v>23</v>
      </c>
      <c r="N934">
        <f>VALUE(IF(AND(ISERR(FIND(".",'Raw Data'!N934)),LEN('Raw Data'!N934)=5), IF(YEAR('Raw Data'!N934)=2026,CONCATENATE(DAY('Raw Data'!N934),".",IF(LEN(MONTH('Raw Data'!N934))=2,MONTH('Raw Data'!N934),CONCATENATE("0",MONTH('Raw Data'!N934)))),CONCATENATE(MONTH('Raw Data'!N934),".",RIGHT(YEAR('Raw Data'!N934),2))),'Raw Data'!N934))</f>
        <v>744.4</v>
      </c>
      <c r="O934" s="6">
        <f t="shared" si="43"/>
        <v>4.7619047619047654</v>
      </c>
      <c r="P934" s="6">
        <f t="shared" si="44"/>
        <v>37.220000000000027</v>
      </c>
      <c r="Q934">
        <f>VALUE(IF(AND(ISERR(FIND(".",'Raw Data'!Q934)),LEN('Raw Data'!Q934)=5), IF(YEAR('Raw Data'!Q934)=2026,CONCATENATE(DAY('Raw Data'!Q934),".",IF(LEN(MONTH('Raw Data'!Q934))=2,MONTH('Raw Data'!Q934),CONCATENATE(MONTH('Raw Data'!Q934)))),CONCATENATE(MONTH('Raw Data'!Q934),".",RIGHT(YEAR('Raw Data'!Q934),2))),'Raw Data'!Q934))</f>
        <v>5.0999999999999996</v>
      </c>
    </row>
    <row r="935" spans="1:17">
      <c r="A935" t="s">
        <v>1022</v>
      </c>
      <c r="B935" t="s">
        <v>25</v>
      </c>
      <c r="C935" t="s">
        <v>26</v>
      </c>
      <c r="D935" t="s">
        <v>27</v>
      </c>
      <c r="E935" t="s">
        <v>30</v>
      </c>
      <c r="F935" t="s">
        <v>22</v>
      </c>
      <c r="G935">
        <f>VALUE(IF(AND(ISERR(FIND(".",'Raw Data'!G935)),LEN('Raw Data'!G935)=5), IF(YEAR('Raw Data'!G935)=2026,CONCATENATE(DAY('Raw Data'!G935),".",IF(LEN(MONTH('Raw Data'!G935))=2,MONTH('Raw Data'!G935),CONCATENATE("0",MONTH('Raw Data'!G935)))),CONCATENATE(MONTH('Raw Data'!G935),".",RIGHT(YEAR('Raw Data'!G935),2))),'Raw Data'!G935))</f>
        <v>64.08</v>
      </c>
      <c r="H935">
        <f>'Raw Data'!H935</f>
        <v>7</v>
      </c>
      <c r="I935" s="6">
        <f t="shared" si="42"/>
        <v>22.427999999999997</v>
      </c>
      <c r="J935" s="6">
        <f>'Raw Data'!J935</f>
        <v>470.988</v>
      </c>
      <c r="K935" s="1">
        <f>VALUE(IFERROR(VALUE('Raw Data'!K935),CONCATENATE(MID('Raw Data'!K935,3,2),".","0",LEFT('Raw Data'!K935,1),".", RIGHT('Raw Data'!K935,4))))</f>
        <v>43485</v>
      </c>
      <c r="L935" s="2">
        <f>'Raw Data'!L935</f>
        <v>0.51874999999999993</v>
      </c>
      <c r="M935" t="s">
        <v>23</v>
      </c>
      <c r="N935">
        <f>VALUE(IF(AND(ISERR(FIND(".",'Raw Data'!N935)),LEN('Raw Data'!N935)=5), IF(YEAR('Raw Data'!N935)=2026,CONCATENATE(DAY('Raw Data'!N935),".",IF(LEN(MONTH('Raw Data'!N935))=2,MONTH('Raw Data'!N935),CONCATENATE("0",MONTH('Raw Data'!N935)))),CONCATENATE(MONTH('Raw Data'!N935),".",RIGHT(YEAR('Raw Data'!N935),2))),'Raw Data'!N935))</f>
        <v>448.56</v>
      </c>
      <c r="O935" s="6">
        <f t="shared" si="43"/>
        <v>4.7619047619047619</v>
      </c>
      <c r="P935" s="6">
        <f t="shared" si="44"/>
        <v>22.427999999999997</v>
      </c>
      <c r="Q935">
        <f>VALUE(IF(AND(ISERR(FIND(".",'Raw Data'!Q935)),LEN('Raw Data'!Q935)=5), IF(YEAR('Raw Data'!Q935)=2026,CONCATENATE(DAY('Raw Data'!Q935),".",IF(LEN(MONTH('Raw Data'!Q935))=2,MONTH('Raw Data'!Q935),CONCATENATE(MONTH('Raw Data'!Q935)))),CONCATENATE(MONTH('Raw Data'!Q935),".",RIGHT(YEAR('Raw Data'!Q935),2))),'Raw Data'!Q935))</f>
        <v>7.6</v>
      </c>
    </row>
    <row r="936" spans="1:17">
      <c r="A936" t="s">
        <v>1023</v>
      </c>
      <c r="B936" t="s">
        <v>34</v>
      </c>
      <c r="C936" t="s">
        <v>35</v>
      </c>
      <c r="D936" t="s">
        <v>27</v>
      </c>
      <c r="E936" t="s">
        <v>21</v>
      </c>
      <c r="F936" t="s">
        <v>32</v>
      </c>
      <c r="G936">
        <f>VALUE(IF(AND(ISERR(FIND(".",'Raw Data'!G936)),LEN('Raw Data'!G936)=5), IF(YEAR('Raw Data'!G936)=2026,CONCATENATE(DAY('Raw Data'!G936),".",IF(LEN(MONTH('Raw Data'!G936))=2,MONTH('Raw Data'!G936),CONCATENATE("0",MONTH('Raw Data'!G936)))),CONCATENATE(MONTH('Raw Data'!G936),".",RIGHT(YEAR('Raw Data'!G936),2))),'Raw Data'!G936))</f>
        <v>63.15</v>
      </c>
      <c r="H936">
        <f>'Raw Data'!H936</f>
        <v>6</v>
      </c>
      <c r="I936" s="6">
        <f t="shared" si="42"/>
        <v>18.94500000000005</v>
      </c>
      <c r="J936" s="6">
        <f>'Raw Data'!J936</f>
        <v>397.84500000000003</v>
      </c>
      <c r="K936" s="1">
        <f>VALUE(IFERROR(VALUE('Raw Data'!K936),CONCATENATE(MID('Raw Data'!K936,3,2),".","0",LEFT('Raw Data'!K936,1),".", RIGHT('Raw Data'!K936,4))))</f>
        <v>43525</v>
      </c>
      <c r="L936" s="2">
        <f>'Raw Data'!L936</f>
        <v>0.85</v>
      </c>
      <c r="M936" t="s">
        <v>23</v>
      </c>
      <c r="N936">
        <f>VALUE(IF(AND(ISERR(FIND(".",'Raw Data'!N936)),LEN('Raw Data'!N936)=5), IF(YEAR('Raw Data'!N936)=2026,CONCATENATE(DAY('Raw Data'!N936),".",IF(LEN(MONTH('Raw Data'!N936))=2,MONTH('Raw Data'!N936),CONCATENATE("0",MONTH('Raw Data'!N936)))),CONCATENATE(MONTH('Raw Data'!N936),".",RIGHT(YEAR('Raw Data'!N936),2))),'Raw Data'!N936))</f>
        <v>378.9</v>
      </c>
      <c r="O936" s="6">
        <f t="shared" si="43"/>
        <v>4.7619047619047743</v>
      </c>
      <c r="P936" s="6">
        <f t="shared" si="44"/>
        <v>18.94500000000005</v>
      </c>
      <c r="Q936">
        <f>VALUE(IF(AND(ISERR(FIND(".",'Raw Data'!Q936)),LEN('Raw Data'!Q936)=5), IF(YEAR('Raw Data'!Q936)=2026,CONCATENATE(DAY('Raw Data'!Q936),".",IF(LEN(MONTH('Raw Data'!Q936))=2,MONTH('Raw Data'!Q936),CONCATENATE(MONTH('Raw Data'!Q936)))),CONCATENATE(MONTH('Raw Data'!Q936),".",RIGHT(YEAR('Raw Data'!Q936),2))),'Raw Data'!Q936))</f>
        <v>9.8000000000000007</v>
      </c>
    </row>
    <row r="937" spans="1:17">
      <c r="A937" t="s">
        <v>1024</v>
      </c>
      <c r="B937" t="s">
        <v>25</v>
      </c>
      <c r="C937" t="s">
        <v>26</v>
      </c>
      <c r="D937" t="s">
        <v>20</v>
      </c>
      <c r="E937" t="s">
        <v>30</v>
      </c>
      <c r="F937" t="s">
        <v>32</v>
      </c>
      <c r="G937">
        <f>VALUE(IF(AND(ISERR(FIND(".",'Raw Data'!G937)),LEN('Raw Data'!G937)=5), IF(YEAR('Raw Data'!G937)=2026,CONCATENATE(DAY('Raw Data'!G937),".",IF(LEN(MONTH('Raw Data'!G937))=2,MONTH('Raw Data'!G937),CONCATENATE("0",MONTH('Raw Data'!G937)))),CONCATENATE(MONTH('Raw Data'!G937),".",RIGHT(YEAR('Raw Data'!G937),2))),'Raw Data'!G937))</f>
        <v>85.72</v>
      </c>
      <c r="H937">
        <f>'Raw Data'!H937</f>
        <v>3</v>
      </c>
      <c r="I937" s="6">
        <f t="shared" si="42"/>
        <v>12.858000000000004</v>
      </c>
      <c r="J937" s="6">
        <f>'Raw Data'!J937</f>
        <v>270.01799999999997</v>
      </c>
      <c r="K937" s="1">
        <f>VALUE(IFERROR(VALUE('Raw Data'!K937),CONCATENATE(MID('Raw Data'!K937,3,2),".","0",LEFT('Raw Data'!K937,1),".", RIGHT('Raw Data'!K937,4))))</f>
        <v>43489</v>
      </c>
      <c r="L937" s="2">
        <f>'Raw Data'!L937</f>
        <v>0.87430555555555556</v>
      </c>
      <c r="M937" t="s">
        <v>23</v>
      </c>
      <c r="N937">
        <f>VALUE(IF(AND(ISERR(FIND(".",'Raw Data'!N937)),LEN('Raw Data'!N937)=5), IF(YEAR('Raw Data'!N937)=2026,CONCATENATE(DAY('Raw Data'!N937),".",IF(LEN(MONTH('Raw Data'!N937))=2,MONTH('Raw Data'!N937),CONCATENATE("0",MONTH('Raw Data'!N937)))),CONCATENATE(MONTH('Raw Data'!N937),".",RIGHT(YEAR('Raw Data'!N937),2))),'Raw Data'!N937))</f>
        <v>257.16000000000003</v>
      </c>
      <c r="O937" s="6">
        <f t="shared" si="43"/>
        <v>4.7619047619047432</v>
      </c>
      <c r="P937" s="6">
        <f t="shared" si="44"/>
        <v>12.857999999999947</v>
      </c>
      <c r="Q937">
        <f>VALUE(IF(AND(ISERR(FIND(".",'Raw Data'!Q937)),LEN('Raw Data'!Q937)=5), IF(YEAR('Raw Data'!Q937)=2026,CONCATENATE(DAY('Raw Data'!Q937),".",IF(LEN(MONTH('Raw Data'!Q937))=2,MONTH('Raw Data'!Q937),CONCATENATE(MONTH('Raw Data'!Q937)))),CONCATENATE(MONTH('Raw Data'!Q937),".",RIGHT(YEAR('Raw Data'!Q937),2))),'Raw Data'!Q937))</f>
        <v>5.0999999999999996</v>
      </c>
    </row>
    <row r="938" spans="1:17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f>VALUE(IF(AND(ISERR(FIND(".",'Raw Data'!G938)),LEN('Raw Data'!G938)=5), IF(YEAR('Raw Data'!G938)=2026,CONCATENATE(DAY('Raw Data'!G938),".",IF(LEN(MONTH('Raw Data'!G938))=2,MONTH('Raw Data'!G938),CONCATENATE("0",MONTH('Raw Data'!G938)))),CONCATENATE(MONTH('Raw Data'!G938),".",RIGHT(YEAR('Raw Data'!G938),2))),'Raw Data'!G938))</f>
        <v>78.89</v>
      </c>
      <c r="H938">
        <f>'Raw Data'!H938</f>
        <v>7</v>
      </c>
      <c r="I938" s="6">
        <f t="shared" si="42"/>
        <v>27.611499999999978</v>
      </c>
      <c r="J938" s="6">
        <f>'Raw Data'!J938</f>
        <v>579.8415</v>
      </c>
      <c r="K938" s="1">
        <f>VALUE(IFERROR(VALUE('Raw Data'!K938),CONCATENATE(MID('Raw Data'!K938,3,2),".","0",LEFT('Raw Data'!K938,1),".", RIGHT('Raw Data'!K938,4))))</f>
        <v>43586</v>
      </c>
      <c r="L938" s="2">
        <f>'Raw Data'!L938</f>
        <v>0.82500000000000007</v>
      </c>
      <c r="M938" t="s">
        <v>23</v>
      </c>
      <c r="N938">
        <f>VALUE(IF(AND(ISERR(FIND(".",'Raw Data'!N938)),LEN('Raw Data'!N938)=5), IF(YEAR('Raw Data'!N938)=2026,CONCATENATE(DAY('Raw Data'!N938),".",IF(LEN(MONTH('Raw Data'!N938))=2,MONTH('Raw Data'!N938),CONCATENATE("0",MONTH('Raw Data'!N938)))),CONCATENATE(MONTH('Raw Data'!N938),".",RIGHT(YEAR('Raw Data'!N938),2))),'Raw Data'!N938))</f>
        <v>552.23</v>
      </c>
      <c r="O938" s="6">
        <f t="shared" si="43"/>
        <v>4.7619047619047583</v>
      </c>
      <c r="P938" s="6">
        <f t="shared" si="44"/>
        <v>27.611499999999978</v>
      </c>
      <c r="Q938">
        <f>VALUE(IF(AND(ISERR(FIND(".",'Raw Data'!Q938)),LEN('Raw Data'!Q938)=5), IF(YEAR('Raw Data'!Q938)=2026,CONCATENATE(DAY('Raw Data'!Q938),".",IF(LEN(MONTH('Raw Data'!Q938))=2,MONTH('Raw Data'!Q938),CONCATENATE(MONTH('Raw Data'!Q938)))),CONCATENATE(MONTH('Raw Data'!Q938),".",RIGHT(YEAR('Raw Data'!Q938),2))),'Raw Data'!Q938))</f>
        <v>7.5</v>
      </c>
    </row>
    <row r="939" spans="1:17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38</v>
      </c>
      <c r="G939">
        <f>VALUE(IF(AND(ISERR(FIND(".",'Raw Data'!G939)),LEN('Raw Data'!G939)=5), IF(YEAR('Raw Data'!G939)=2026,CONCATENATE(DAY('Raw Data'!G939),".",IF(LEN(MONTH('Raw Data'!G939))=2,MONTH('Raw Data'!G939),CONCATENATE("0",MONTH('Raw Data'!G939)))),CONCATENATE(MONTH('Raw Data'!G939),".",RIGHT(YEAR('Raw Data'!G939),2))),'Raw Data'!G939))</f>
        <v>89.48</v>
      </c>
      <c r="H939">
        <f>'Raw Data'!H939</f>
        <v>5</v>
      </c>
      <c r="I939" s="6">
        <f t="shared" si="42"/>
        <v>22.369999999999948</v>
      </c>
      <c r="J939" s="6">
        <f>'Raw Data'!J939</f>
        <v>469.77</v>
      </c>
      <c r="K939" s="1">
        <f>VALUE(IFERROR(VALUE('Raw Data'!K939),CONCATENATE(MID('Raw Data'!K939,3,2),".","0",LEFT('Raw Data'!K939,1),".", RIGHT('Raw Data'!K939,4))))</f>
        <v>43554</v>
      </c>
      <c r="L939" s="2">
        <f>'Raw Data'!L939</f>
        <v>0.4291666666666667</v>
      </c>
      <c r="M939" t="s">
        <v>29</v>
      </c>
      <c r="N939">
        <f>VALUE(IF(AND(ISERR(FIND(".",'Raw Data'!N939)),LEN('Raw Data'!N939)=5), IF(YEAR('Raw Data'!N939)=2026,CONCATENATE(DAY('Raw Data'!N939),".",IF(LEN(MONTH('Raw Data'!N939))=2,MONTH('Raw Data'!N939),CONCATENATE("0",MONTH('Raw Data'!N939)))),CONCATENATE(MONTH('Raw Data'!N939),".",RIGHT(YEAR('Raw Data'!N939),2))),'Raw Data'!N939))</f>
        <v>447.4</v>
      </c>
      <c r="O939" s="6">
        <f t="shared" si="43"/>
        <v>4.7619047619047628</v>
      </c>
      <c r="P939" s="6">
        <f t="shared" si="44"/>
        <v>22.370000000000005</v>
      </c>
      <c r="Q939">
        <f>VALUE(IF(AND(ISERR(FIND(".",'Raw Data'!Q939)),LEN('Raw Data'!Q939)=5), IF(YEAR('Raw Data'!Q939)=2026,CONCATENATE(DAY('Raw Data'!Q939),".",IF(LEN(MONTH('Raw Data'!Q939))=2,MONTH('Raw Data'!Q939),CONCATENATE(MONTH('Raw Data'!Q939)))),CONCATENATE(MONTH('Raw Data'!Q939),".",RIGHT(YEAR('Raw Data'!Q939),2))),'Raw Data'!Q939))</f>
        <v>7.4</v>
      </c>
    </row>
    <row r="940" spans="1:17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f>VALUE(IF(AND(ISERR(FIND(".",'Raw Data'!G940)),LEN('Raw Data'!G940)=5), IF(YEAR('Raw Data'!G940)=2026,CONCATENATE(DAY('Raw Data'!G940),".",IF(LEN(MONTH('Raw Data'!G940))=2,MONTH('Raw Data'!G940),CONCATENATE("0",MONTH('Raw Data'!G940)))),CONCATENATE(MONTH('Raw Data'!G940),".",RIGHT(YEAR('Raw Data'!G940),2))),'Raw Data'!G940))</f>
        <v>92.09</v>
      </c>
      <c r="H940">
        <f>'Raw Data'!H940</f>
        <v>3</v>
      </c>
      <c r="I940" s="6">
        <f t="shared" si="42"/>
        <v>13.813500000000033</v>
      </c>
      <c r="J940" s="6">
        <f>'Raw Data'!J940</f>
        <v>290.08350000000002</v>
      </c>
      <c r="K940" s="1">
        <f>VALUE(IFERROR(VALUE('Raw Data'!K940),CONCATENATE(MID('Raw Data'!K940,3,2),".","0",LEFT('Raw Data'!K940,1),".", RIGHT('Raw Data'!K940,4))))</f>
        <v>43513</v>
      </c>
      <c r="L940" s="2">
        <f>'Raw Data'!L940</f>
        <v>0.68541666666666667</v>
      </c>
      <c r="M940" t="s">
        <v>29</v>
      </c>
      <c r="N940">
        <f>VALUE(IF(AND(ISERR(FIND(".",'Raw Data'!N940)),LEN('Raw Data'!N940)=5), IF(YEAR('Raw Data'!N940)=2026,CONCATENATE(DAY('Raw Data'!N940),".",IF(LEN(MONTH('Raw Data'!N940))=2,MONTH('Raw Data'!N940),CONCATENATE("0",MONTH('Raw Data'!N940)))),CONCATENATE(MONTH('Raw Data'!N940),".",RIGHT(YEAR('Raw Data'!N940),2))),'Raw Data'!N940))</f>
        <v>276.27</v>
      </c>
      <c r="O940" s="6">
        <f t="shared" si="43"/>
        <v>4.7619047619047734</v>
      </c>
      <c r="P940" s="6">
        <f t="shared" si="44"/>
        <v>13.813500000000033</v>
      </c>
      <c r="Q940">
        <f>VALUE(IF(AND(ISERR(FIND(".",'Raw Data'!Q940)),LEN('Raw Data'!Q940)=5), IF(YEAR('Raw Data'!Q940)=2026,CONCATENATE(DAY('Raw Data'!Q940),".",IF(LEN(MONTH('Raw Data'!Q940))=2,MONTH('Raw Data'!Q940),CONCATENATE(MONTH('Raw Data'!Q940)))),CONCATENATE(MONTH('Raw Data'!Q940),".",RIGHT(YEAR('Raw Data'!Q940),2))),'Raw Data'!Q940))</f>
        <v>4.2</v>
      </c>
    </row>
    <row r="941" spans="1:17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40</v>
      </c>
      <c r="G941">
        <f>VALUE(IF(AND(ISERR(FIND(".",'Raw Data'!G941)),LEN('Raw Data'!G941)=5), IF(YEAR('Raw Data'!G941)=2026,CONCATENATE(DAY('Raw Data'!G941),".",IF(LEN(MONTH('Raw Data'!G941))=2,MONTH('Raw Data'!G941),CONCATENATE("0",MONTH('Raw Data'!G941)))),CONCATENATE(MONTH('Raw Data'!G941),".",RIGHT(YEAR('Raw Data'!G941),2))),'Raw Data'!G941))</f>
        <v>57.29</v>
      </c>
      <c r="H941">
        <f>'Raw Data'!H941</f>
        <v>6</v>
      </c>
      <c r="I941" s="6">
        <f t="shared" si="42"/>
        <v>17.187000000000012</v>
      </c>
      <c r="J941" s="6">
        <f>'Raw Data'!J941</f>
        <v>360.92700000000002</v>
      </c>
      <c r="K941" s="1">
        <f>VALUE(IFERROR(VALUE('Raw Data'!K941),CONCATENATE(MID('Raw Data'!K941,3,2),".","0",LEFT('Raw Data'!K941,1),".", RIGHT('Raw Data'!K941,4))))</f>
        <v>43545</v>
      </c>
      <c r="L941" s="2">
        <f>'Raw Data'!L941</f>
        <v>0.71111111111111114</v>
      </c>
      <c r="M941" t="s">
        <v>23</v>
      </c>
      <c r="N941">
        <f>VALUE(IF(AND(ISERR(FIND(".",'Raw Data'!N941)),LEN('Raw Data'!N941)=5), IF(YEAR('Raw Data'!N941)=2026,CONCATENATE(DAY('Raw Data'!N941),".",IF(LEN(MONTH('Raw Data'!N941))=2,MONTH('Raw Data'!N941),CONCATENATE("0",MONTH('Raw Data'!N941)))),CONCATENATE(MONTH('Raw Data'!N941),".",RIGHT(YEAR('Raw Data'!N941),2))),'Raw Data'!N941))</f>
        <v>343.74</v>
      </c>
      <c r="O941" s="6">
        <f t="shared" si="43"/>
        <v>4.7619047619047654</v>
      </c>
      <c r="P941" s="6">
        <f t="shared" si="44"/>
        <v>17.187000000000012</v>
      </c>
      <c r="Q941">
        <f>VALUE(IF(AND(ISERR(FIND(".",'Raw Data'!Q941)),LEN('Raw Data'!Q941)=5), IF(YEAR('Raw Data'!Q941)=2026,CONCATENATE(DAY('Raw Data'!Q941),".",IF(LEN(MONTH('Raw Data'!Q941))=2,MONTH('Raw Data'!Q941),CONCATENATE(MONTH('Raw Data'!Q941)))),CONCATENATE(MONTH('Raw Data'!Q941),".",RIGHT(YEAR('Raw Data'!Q941),2))),'Raw Data'!Q941))</f>
        <v>5.9</v>
      </c>
    </row>
    <row r="942" spans="1:17">
      <c r="A942" t="s">
        <v>1029</v>
      </c>
      <c r="B942" t="s">
        <v>18</v>
      </c>
      <c r="C942" t="s">
        <v>19</v>
      </c>
      <c r="D942" t="s">
        <v>27</v>
      </c>
      <c r="E942" t="s">
        <v>30</v>
      </c>
      <c r="F942" t="s">
        <v>40</v>
      </c>
      <c r="G942">
        <f>VALUE(IF(AND(ISERR(FIND(".",'Raw Data'!G942)),LEN('Raw Data'!G942)=5), IF(YEAR('Raw Data'!G942)=2026,CONCATENATE(DAY('Raw Data'!G942),".",IF(LEN(MONTH('Raw Data'!G942))=2,MONTH('Raw Data'!G942),CONCATENATE("0",MONTH('Raw Data'!G942)))),CONCATENATE(MONTH('Raw Data'!G942),".",RIGHT(YEAR('Raw Data'!G942),2))),'Raw Data'!G942))</f>
        <v>66.52</v>
      </c>
      <c r="H942">
        <f>'Raw Data'!H942</f>
        <v>4</v>
      </c>
      <c r="I942" s="6">
        <f t="shared" si="42"/>
        <v>13.30400000000003</v>
      </c>
      <c r="J942" s="6">
        <f>'Raw Data'!J942</f>
        <v>279.38400000000001</v>
      </c>
      <c r="K942" s="1">
        <f>VALUE(IFERROR(VALUE('Raw Data'!K942),CONCATENATE(MID('Raw Data'!K942,3,2),".","0",LEFT('Raw Data'!K942,1),".", RIGHT('Raw Data'!K942,4))))</f>
        <v>43499</v>
      </c>
      <c r="L942" s="2">
        <f>'Raw Data'!L942</f>
        <v>0.7597222222222223</v>
      </c>
      <c r="M942" t="s">
        <v>23</v>
      </c>
      <c r="N942">
        <f>VALUE(IF(AND(ISERR(FIND(".",'Raw Data'!N942)),LEN('Raw Data'!N942)=5), IF(YEAR('Raw Data'!N942)=2026,CONCATENATE(DAY('Raw Data'!N942),".",IF(LEN(MONTH('Raw Data'!N942))=2,MONTH('Raw Data'!N942),CONCATENATE("0",MONTH('Raw Data'!N942)))),CONCATENATE(MONTH('Raw Data'!N942),".",RIGHT(YEAR('Raw Data'!N942),2))),'Raw Data'!N942))</f>
        <v>266.08</v>
      </c>
      <c r="O942" s="6">
        <f t="shared" si="43"/>
        <v>4.7619047619047725</v>
      </c>
      <c r="P942" s="6">
        <f t="shared" si="44"/>
        <v>13.30400000000003</v>
      </c>
      <c r="Q942">
        <f>VALUE(IF(AND(ISERR(FIND(".",'Raw Data'!Q942)),LEN('Raw Data'!Q942)=5), IF(YEAR('Raw Data'!Q942)=2026,CONCATENATE(DAY('Raw Data'!Q942),".",IF(LEN(MONTH('Raw Data'!Q942))=2,MONTH('Raw Data'!Q942),CONCATENATE(MONTH('Raw Data'!Q942)))),CONCATENATE(MONTH('Raw Data'!Q942),".",RIGHT(YEAR('Raw Data'!Q942),2))),'Raw Data'!Q942))</f>
        <v>6.9</v>
      </c>
    </row>
    <row r="943" spans="1:17">
      <c r="A943" t="s">
        <v>1030</v>
      </c>
      <c r="B943" t="s">
        <v>25</v>
      </c>
      <c r="C943" t="s">
        <v>26</v>
      </c>
      <c r="D943" t="s">
        <v>20</v>
      </c>
      <c r="E943" t="s">
        <v>30</v>
      </c>
      <c r="F943" t="s">
        <v>43</v>
      </c>
      <c r="G943">
        <f>VALUE(IF(AND(ISERR(FIND(".",'Raw Data'!G943)),LEN('Raw Data'!G943)=5), IF(YEAR('Raw Data'!G943)=2026,CONCATENATE(DAY('Raw Data'!G943),".",IF(LEN(MONTH('Raw Data'!G943))=2,MONTH('Raw Data'!G943),CONCATENATE("0",MONTH('Raw Data'!G943)))),CONCATENATE(MONTH('Raw Data'!G943),".",RIGHT(YEAR('Raw Data'!G943),2))),'Raw Data'!G943))</f>
        <v>99.82</v>
      </c>
      <c r="H943">
        <f>'Raw Data'!H943</f>
        <v>9</v>
      </c>
      <c r="I943" s="6">
        <f t="shared" si="42"/>
        <v>44.919000000000096</v>
      </c>
      <c r="J943" s="6">
        <f>'Raw Data'!J943</f>
        <v>943.29899999999998</v>
      </c>
      <c r="K943" s="1">
        <f>VALUE(IFERROR(VALUE('Raw Data'!K943),CONCATENATE(MID('Raw Data'!K943,3,2),".","0",LEFT('Raw Data'!K943,1),".", RIGHT('Raw Data'!K943,4))))</f>
        <v>43551</v>
      </c>
      <c r="L943" s="2">
        <f>'Raw Data'!L943</f>
        <v>0.4465277777777778</v>
      </c>
      <c r="M943" t="s">
        <v>29</v>
      </c>
      <c r="N943">
        <f>VALUE(IF(AND(ISERR(FIND(".",'Raw Data'!N943)),LEN('Raw Data'!N943)=5), IF(YEAR('Raw Data'!N943)=2026,CONCATENATE(DAY('Raw Data'!N943),".",IF(LEN(MONTH('Raw Data'!N943))=2,MONTH('Raw Data'!N943),CONCATENATE("0",MONTH('Raw Data'!N943)))),CONCATENATE(MONTH('Raw Data'!N943),".",RIGHT(YEAR('Raw Data'!N943),2))),'Raw Data'!N943))</f>
        <v>898.38</v>
      </c>
      <c r="O943" s="6">
        <f t="shared" si="43"/>
        <v>4.7619047619047601</v>
      </c>
      <c r="P943" s="6">
        <f t="shared" si="44"/>
        <v>44.918999999999983</v>
      </c>
      <c r="Q943">
        <f>VALUE(IF(AND(ISERR(FIND(".",'Raw Data'!Q943)),LEN('Raw Data'!Q943)=5), IF(YEAR('Raw Data'!Q943)=2026,CONCATENATE(DAY('Raw Data'!Q943),".",IF(LEN(MONTH('Raw Data'!Q943))=2,MONTH('Raw Data'!Q943),CONCATENATE(MONTH('Raw Data'!Q943)))),CONCATENATE(MONTH('Raw Data'!Q943),".",RIGHT(YEAR('Raw Data'!Q943),2))),'Raw Data'!Q943))</f>
        <v>6.6</v>
      </c>
    </row>
    <row r="944" spans="1:17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f>VALUE(IF(AND(ISERR(FIND(".",'Raw Data'!G944)),LEN('Raw Data'!G944)=5), IF(YEAR('Raw Data'!G944)=2026,CONCATENATE(DAY('Raw Data'!G944),".",IF(LEN(MONTH('Raw Data'!G944))=2,MONTH('Raw Data'!G944),CONCATENATE("0",MONTH('Raw Data'!G944)))),CONCATENATE(MONTH('Raw Data'!G944),".",RIGHT(YEAR('Raw Data'!G944),2))),'Raw Data'!G944))</f>
        <v>45.68</v>
      </c>
      <c r="H944">
        <f>'Raw Data'!H944</f>
        <v>10</v>
      </c>
      <c r="I944" s="6">
        <f t="shared" si="42"/>
        <v>22.839999999999975</v>
      </c>
      <c r="J944" s="6">
        <f>'Raw Data'!J944</f>
        <v>479.64</v>
      </c>
      <c r="K944" s="1">
        <f>VALUE(IFERROR(VALUE('Raw Data'!K944),CONCATENATE(MID('Raw Data'!K944,3,2),".","0",LEFT('Raw Data'!K944,1),".", RIGHT('Raw Data'!K944,4))))</f>
        <v>43484</v>
      </c>
      <c r="L944" s="2">
        <f>'Raw Data'!L944</f>
        <v>0.8125</v>
      </c>
      <c r="M944" t="s">
        <v>23</v>
      </c>
      <c r="N944">
        <f>VALUE(IF(AND(ISERR(FIND(".",'Raw Data'!N944)),LEN('Raw Data'!N944)=5), IF(YEAR('Raw Data'!N944)=2026,CONCATENATE(DAY('Raw Data'!N944),".",IF(LEN(MONTH('Raw Data'!N944))=2,MONTH('Raw Data'!N944),CONCATENATE("0",MONTH('Raw Data'!N944)))),CONCATENATE(MONTH('Raw Data'!N944),".",RIGHT(YEAR('Raw Data'!N944),2))),'Raw Data'!N944))</f>
        <v>456.8</v>
      </c>
      <c r="O944" s="6">
        <f t="shared" si="43"/>
        <v>4.7619047619047565</v>
      </c>
      <c r="P944" s="6">
        <f t="shared" si="44"/>
        <v>22.839999999999975</v>
      </c>
      <c r="Q944">
        <f>VALUE(IF(AND(ISERR(FIND(".",'Raw Data'!Q944)),LEN('Raw Data'!Q944)=5), IF(YEAR('Raw Data'!Q944)=2026,CONCATENATE(DAY('Raw Data'!Q944),".",IF(LEN(MONTH('Raw Data'!Q944))=2,MONTH('Raw Data'!Q944),CONCATENATE(MONTH('Raw Data'!Q944)))),CONCATENATE(MONTH('Raw Data'!Q944),".",RIGHT(YEAR('Raw Data'!Q944),2))),'Raw Data'!Q944))</f>
        <v>5.7</v>
      </c>
    </row>
    <row r="945" spans="1:17">
      <c r="A945" t="s">
        <v>1032</v>
      </c>
      <c r="B945" t="s">
        <v>18</v>
      </c>
      <c r="C945" t="s">
        <v>19</v>
      </c>
      <c r="D945" t="s">
        <v>27</v>
      </c>
      <c r="E945" t="s">
        <v>30</v>
      </c>
      <c r="F945" t="s">
        <v>22</v>
      </c>
      <c r="G945">
        <f>VALUE(IF(AND(ISERR(FIND(".",'Raw Data'!G945)),LEN('Raw Data'!G945)=5), IF(YEAR('Raw Data'!G945)=2026,CONCATENATE(DAY('Raw Data'!G945),".",IF(LEN(MONTH('Raw Data'!G945))=2,MONTH('Raw Data'!G945),CONCATENATE("0",MONTH('Raw Data'!G945)))),CONCATENATE(MONTH('Raw Data'!G945),".",RIGHT(YEAR('Raw Data'!G945),2))),'Raw Data'!G945))</f>
        <v>50.79</v>
      </c>
      <c r="H945">
        <f>'Raw Data'!H945</f>
        <v>5</v>
      </c>
      <c r="I945" s="6">
        <f t="shared" si="42"/>
        <v>12.697499999999991</v>
      </c>
      <c r="J945" s="6">
        <f>'Raw Data'!J945</f>
        <v>266.64749999999998</v>
      </c>
      <c r="K945" s="1">
        <f>VALUE(IFERROR(VALUE('Raw Data'!K945),CONCATENATE(MID('Raw Data'!K945,3,2),".","0",LEFT('Raw Data'!K945,1),".", RIGHT('Raw Data'!K945,4))))</f>
        <v>43515</v>
      </c>
      <c r="L945" s="2">
        <f>'Raw Data'!L945</f>
        <v>0.62013888888888891</v>
      </c>
      <c r="M945" t="s">
        <v>33</v>
      </c>
      <c r="N945">
        <f>VALUE(IF(AND(ISERR(FIND(".",'Raw Data'!N945)),LEN('Raw Data'!N945)=5), IF(YEAR('Raw Data'!N945)=2026,CONCATENATE(DAY('Raw Data'!N945),".",IF(LEN(MONTH('Raw Data'!N945))=2,MONTH('Raw Data'!N945),CONCATENATE("0",MONTH('Raw Data'!N945)))),CONCATENATE(MONTH('Raw Data'!N945),".",RIGHT(YEAR('Raw Data'!N945),2))),'Raw Data'!N945))</f>
        <v>253.95</v>
      </c>
      <c r="O945" s="6">
        <f t="shared" si="43"/>
        <v>4.7619047619047592</v>
      </c>
      <c r="P945" s="6">
        <f t="shared" si="44"/>
        <v>12.697499999999991</v>
      </c>
      <c r="Q945">
        <f>VALUE(IF(AND(ISERR(FIND(".",'Raw Data'!Q945)),LEN('Raw Data'!Q945)=5), IF(YEAR('Raw Data'!Q945)=2026,CONCATENATE(DAY('Raw Data'!Q945),".",IF(LEN(MONTH('Raw Data'!Q945))=2,MONTH('Raw Data'!Q945),CONCATENATE(MONTH('Raw Data'!Q945)))),CONCATENATE(MONTH('Raw Data'!Q945),".",RIGHT(YEAR('Raw Data'!Q945),2))),'Raw Data'!Q945))</f>
        <v>5.3</v>
      </c>
    </row>
    <row r="946" spans="1:17">
      <c r="A946" t="s">
        <v>1033</v>
      </c>
      <c r="B946" t="s">
        <v>18</v>
      </c>
      <c r="C946" t="s">
        <v>19</v>
      </c>
      <c r="D946" t="s">
        <v>20</v>
      </c>
      <c r="E946" t="s">
        <v>30</v>
      </c>
      <c r="F946" t="s">
        <v>22</v>
      </c>
      <c r="G946">
        <f>VALUE(IF(AND(ISERR(FIND(".",'Raw Data'!G946)),LEN('Raw Data'!G946)=5), IF(YEAR('Raw Data'!G946)=2026,CONCATENATE(DAY('Raw Data'!G946),".",IF(LEN(MONTH('Raw Data'!G946))=2,MONTH('Raw Data'!G946),CONCATENATE("0",MONTH('Raw Data'!G946)))),CONCATENATE(MONTH('Raw Data'!G946),".",RIGHT(YEAR('Raw Data'!G946),2))),'Raw Data'!G946))</f>
        <v>10.08</v>
      </c>
      <c r="H946">
        <f>'Raw Data'!H946</f>
        <v>7</v>
      </c>
      <c r="I946" s="6">
        <f t="shared" si="42"/>
        <v>3.5279999999999916</v>
      </c>
      <c r="J946" s="6">
        <f>'Raw Data'!J946</f>
        <v>74.087999999999994</v>
      </c>
      <c r="K946" s="1">
        <f>VALUE(IFERROR(VALUE('Raw Data'!K946),CONCATENATE(MID('Raw Data'!K946,3,2),".","0",LEFT('Raw Data'!K946,1),".", RIGHT('Raw Data'!K946,4))))</f>
        <v>43552</v>
      </c>
      <c r="L946" s="2">
        <f>'Raw Data'!L946</f>
        <v>0.84305555555555556</v>
      </c>
      <c r="M946" t="s">
        <v>29</v>
      </c>
      <c r="N946">
        <f>VALUE(IF(AND(ISERR(FIND(".",'Raw Data'!N946)),LEN('Raw Data'!N946)=5), IF(YEAR('Raw Data'!N946)=2026,CONCATENATE(DAY('Raw Data'!N946),".",IF(LEN(MONTH('Raw Data'!N946))=2,MONTH('Raw Data'!N946),CONCATENATE("0",MONTH('Raw Data'!N946)))),CONCATENATE(MONTH('Raw Data'!N946),".",RIGHT(YEAR('Raw Data'!N946),2))),'Raw Data'!N946))</f>
        <v>70.56</v>
      </c>
      <c r="O946" s="6">
        <f t="shared" si="43"/>
        <v>4.7619047619047512</v>
      </c>
      <c r="P946" s="6">
        <f t="shared" si="44"/>
        <v>3.5279999999999916</v>
      </c>
      <c r="Q946">
        <f>VALUE(IF(AND(ISERR(FIND(".",'Raw Data'!Q946)),LEN('Raw Data'!Q946)=5), IF(YEAR('Raw Data'!Q946)=2026,CONCATENATE(DAY('Raw Data'!Q946),".",IF(LEN(MONTH('Raw Data'!Q946))=2,MONTH('Raw Data'!Q946),CONCATENATE(MONTH('Raw Data'!Q946)))),CONCATENATE(MONTH('Raw Data'!Q946),".",RIGHT(YEAR('Raw Data'!Q946),2))),'Raw Data'!Q946))</f>
        <v>4.2</v>
      </c>
    </row>
    <row r="947" spans="1:17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f>VALUE(IF(AND(ISERR(FIND(".",'Raw Data'!G947)),LEN('Raw Data'!G947)=5), IF(YEAR('Raw Data'!G947)=2026,CONCATENATE(DAY('Raw Data'!G947),".",IF(LEN(MONTH('Raw Data'!G947))=2,MONTH('Raw Data'!G947),CONCATENATE("0",MONTH('Raw Data'!G947)))),CONCATENATE(MONTH('Raw Data'!G947),".",RIGHT(YEAR('Raw Data'!G947),2))),'Raw Data'!G947))</f>
        <v>93.88</v>
      </c>
      <c r="H947">
        <f>'Raw Data'!H947</f>
        <v>7</v>
      </c>
      <c r="I947" s="6">
        <f t="shared" si="42"/>
        <v>32.858000000000061</v>
      </c>
      <c r="J947" s="6">
        <f>'Raw Data'!J947</f>
        <v>690.01800000000003</v>
      </c>
      <c r="K947" s="1">
        <f>VALUE(IFERROR(VALUE('Raw Data'!K947),CONCATENATE(MID('Raw Data'!K947,3,2),".","0",LEFT('Raw Data'!K947,1),".", RIGHT('Raw Data'!K947,4))))</f>
        <v>43586</v>
      </c>
      <c r="L947" s="2">
        <f>'Raw Data'!L947</f>
        <v>0.49374999999999997</v>
      </c>
      <c r="M947" t="s">
        <v>33</v>
      </c>
      <c r="N947">
        <f>VALUE(IF(AND(ISERR(FIND(".",'Raw Data'!N947)),LEN('Raw Data'!N947)=5), IF(YEAR('Raw Data'!N947)=2026,CONCATENATE(DAY('Raw Data'!N947),".",IF(LEN(MONTH('Raw Data'!N947))=2,MONTH('Raw Data'!N947),CONCATENATE("0",MONTH('Raw Data'!N947)))),CONCATENATE(MONTH('Raw Data'!N947),".",RIGHT(YEAR('Raw Data'!N947),2))),'Raw Data'!N947))</f>
        <v>657.16</v>
      </c>
      <c r="O947" s="6">
        <f t="shared" si="43"/>
        <v>4.7619047619047707</v>
      </c>
      <c r="P947" s="6">
        <f t="shared" si="44"/>
        <v>32.858000000000061</v>
      </c>
      <c r="Q947">
        <f>VALUE(IF(AND(ISERR(FIND(".",'Raw Data'!Q947)),LEN('Raw Data'!Q947)=5), IF(YEAR('Raw Data'!Q947)=2026,CONCATENATE(DAY('Raw Data'!Q947),".",IF(LEN(MONTH('Raw Data'!Q947))=2,MONTH('Raw Data'!Q947),CONCATENATE(MONTH('Raw Data'!Q947)))),CONCATENATE(MONTH('Raw Data'!Q947),".",RIGHT(YEAR('Raw Data'!Q947),2))),'Raw Data'!Q947))</f>
        <v>7.3</v>
      </c>
    </row>
    <row r="948" spans="1:17">
      <c r="A948" t="s">
        <v>1035</v>
      </c>
      <c r="B948" t="s">
        <v>25</v>
      </c>
      <c r="C948" t="s">
        <v>26</v>
      </c>
      <c r="D948" t="s">
        <v>20</v>
      </c>
      <c r="E948" t="s">
        <v>30</v>
      </c>
      <c r="F948" t="s">
        <v>28</v>
      </c>
      <c r="G948">
        <f>VALUE(IF(AND(ISERR(FIND(".",'Raw Data'!G948)),LEN('Raw Data'!G948)=5), IF(YEAR('Raw Data'!G948)=2026,CONCATENATE(DAY('Raw Data'!G948),".",IF(LEN(MONTH('Raw Data'!G948))=2,MONTH('Raw Data'!G948),CONCATENATE("0",MONTH('Raw Data'!G948)))),CONCATENATE(MONTH('Raw Data'!G948),".",RIGHT(YEAR('Raw Data'!G948),2))),'Raw Data'!G948))</f>
        <v>84.25</v>
      </c>
      <c r="H948">
        <f>'Raw Data'!H948</f>
        <v>2</v>
      </c>
      <c r="I948" s="6">
        <f t="shared" si="42"/>
        <v>8.4250000000000114</v>
      </c>
      <c r="J948" s="6">
        <f>'Raw Data'!J948</f>
        <v>176.92500000000001</v>
      </c>
      <c r="K948" s="1">
        <f>VALUE(IFERROR(VALUE('Raw Data'!K948),CONCATENATE(MID('Raw Data'!K948,3,2),".","0",LEFT('Raw Data'!K948,1),".", RIGHT('Raw Data'!K948,4))))</f>
        <v>43550</v>
      </c>
      <c r="L948" s="2">
        <f>'Raw Data'!L948</f>
        <v>0.59236111111111112</v>
      </c>
      <c r="M948" t="s">
        <v>33</v>
      </c>
      <c r="N948">
        <f>VALUE(IF(AND(ISERR(FIND(".",'Raw Data'!N948)),LEN('Raw Data'!N948)=5), IF(YEAR('Raw Data'!N948)=2026,CONCATENATE(DAY('Raw Data'!N948),".",IF(LEN(MONTH('Raw Data'!N948))=2,MONTH('Raw Data'!N948),CONCATENATE("0",MONTH('Raw Data'!N948)))),CONCATENATE(MONTH('Raw Data'!N948),".",RIGHT(YEAR('Raw Data'!N948),2))),'Raw Data'!N948))</f>
        <v>168.5</v>
      </c>
      <c r="O948" s="6">
        <f t="shared" si="43"/>
        <v>4.7619047619047681</v>
      </c>
      <c r="P948" s="6">
        <f t="shared" si="44"/>
        <v>8.4250000000000114</v>
      </c>
      <c r="Q948">
        <f>VALUE(IF(AND(ISERR(FIND(".",'Raw Data'!Q948)),LEN('Raw Data'!Q948)=5), IF(YEAR('Raw Data'!Q948)=2026,CONCATENATE(DAY('Raw Data'!Q948),".",IF(LEN(MONTH('Raw Data'!Q948))=2,MONTH('Raw Data'!Q948),CONCATENATE(MONTH('Raw Data'!Q948)))),CONCATENATE(MONTH('Raw Data'!Q948),".",RIGHT(YEAR('Raw Data'!Q948),2))),'Raw Data'!Q948))</f>
        <v>5.3</v>
      </c>
    </row>
    <row r="949" spans="1:17">
      <c r="A949" t="s">
        <v>1036</v>
      </c>
      <c r="B949" t="s">
        <v>34</v>
      </c>
      <c r="C949" t="s">
        <v>35</v>
      </c>
      <c r="D949" t="s">
        <v>20</v>
      </c>
      <c r="E949" t="s">
        <v>30</v>
      </c>
      <c r="F949" t="s">
        <v>43</v>
      </c>
      <c r="G949">
        <f>VALUE(IF(AND(ISERR(FIND(".",'Raw Data'!G949)),LEN('Raw Data'!G949)=5), IF(YEAR('Raw Data'!G949)=2026,CONCATENATE(DAY('Raw Data'!G949),".",IF(LEN(MONTH('Raw Data'!G949))=2,MONTH('Raw Data'!G949),CONCATENATE("0",MONTH('Raw Data'!G949)))),CONCATENATE(MONTH('Raw Data'!G949),".",RIGHT(YEAR('Raw Data'!G949),2))),'Raw Data'!G949))</f>
        <v>53.78</v>
      </c>
      <c r="H949">
        <f>'Raw Data'!H949</f>
        <v>1</v>
      </c>
      <c r="I949" s="6">
        <f t="shared" si="42"/>
        <v>2.6890000000000001</v>
      </c>
      <c r="J949" s="6">
        <f>'Raw Data'!J949</f>
        <v>56.469000000000001</v>
      </c>
      <c r="K949" s="1">
        <f>VALUE(IFERROR(VALUE('Raw Data'!K949),CONCATENATE(MID('Raw Data'!K949,3,2),".","0",LEFT('Raw Data'!K949,1),".", RIGHT('Raw Data'!K949,4))))</f>
        <v>43526</v>
      </c>
      <c r="L949" s="2">
        <f>'Raw Data'!L949</f>
        <v>0.84236111111111101</v>
      </c>
      <c r="M949" t="s">
        <v>23</v>
      </c>
      <c r="N949">
        <f>VALUE(IF(AND(ISERR(FIND(".",'Raw Data'!N949)),LEN('Raw Data'!N949)=5), IF(YEAR('Raw Data'!N949)=2026,CONCATENATE(DAY('Raw Data'!N949),".",IF(LEN(MONTH('Raw Data'!N949))=2,MONTH('Raw Data'!N949),CONCATENATE("0",MONTH('Raw Data'!N949)))),CONCATENATE(MONTH('Raw Data'!N949),".",RIGHT(YEAR('Raw Data'!N949),2))),'Raw Data'!N949))</f>
        <v>53.78</v>
      </c>
      <c r="O949" s="6">
        <f t="shared" si="43"/>
        <v>4.7619047619047619</v>
      </c>
      <c r="P949" s="6">
        <f t="shared" si="44"/>
        <v>2.6890000000000001</v>
      </c>
      <c r="Q949">
        <f>VALUE(IF(AND(ISERR(FIND(".",'Raw Data'!Q949)),LEN('Raw Data'!Q949)=5), IF(YEAR('Raw Data'!Q949)=2026,CONCATENATE(DAY('Raw Data'!Q949),".",IF(LEN(MONTH('Raw Data'!Q949))=2,MONTH('Raw Data'!Q949),CONCATENATE(MONTH('Raw Data'!Q949)))),CONCATENATE(MONTH('Raw Data'!Q949),".",RIGHT(YEAR('Raw Data'!Q949),2))),'Raw Data'!Q949))</f>
        <v>4.7</v>
      </c>
    </row>
    <row r="950" spans="1:17">
      <c r="A950" t="s">
        <v>1037</v>
      </c>
      <c r="B950" t="s">
        <v>25</v>
      </c>
      <c r="C950" t="s">
        <v>26</v>
      </c>
      <c r="D950" t="s">
        <v>20</v>
      </c>
      <c r="E950" t="s">
        <v>30</v>
      </c>
      <c r="F950" t="s">
        <v>32</v>
      </c>
      <c r="G950">
        <f>VALUE(IF(AND(ISERR(FIND(".",'Raw Data'!G950)),LEN('Raw Data'!G950)=5), IF(YEAR('Raw Data'!G950)=2026,CONCATENATE(DAY('Raw Data'!G950),".",IF(LEN(MONTH('Raw Data'!G950))=2,MONTH('Raw Data'!G950),CONCATENATE("0",MONTH('Raw Data'!G950)))),CONCATENATE(MONTH('Raw Data'!G950),".",RIGHT(YEAR('Raw Data'!G950),2))),'Raw Data'!G950))</f>
        <v>35.81</v>
      </c>
      <c r="H950">
        <f>'Raw Data'!H950</f>
        <v>5</v>
      </c>
      <c r="I950" s="6">
        <f t="shared" si="42"/>
        <v>8.9524999999999864</v>
      </c>
      <c r="J950" s="6">
        <f>'Raw Data'!J950</f>
        <v>188.0025</v>
      </c>
      <c r="K950" s="1">
        <f>VALUE(IFERROR(VALUE('Raw Data'!K950),CONCATENATE(MID('Raw Data'!K950,3,2),".","0",LEFT('Raw Data'!K950,1),".", RIGHT('Raw Data'!K950,4))))</f>
        <v>43618</v>
      </c>
      <c r="L950" s="2">
        <f>'Raw Data'!L950</f>
        <v>0.78055555555555556</v>
      </c>
      <c r="M950" t="s">
        <v>23</v>
      </c>
      <c r="N950">
        <f>VALUE(IF(AND(ISERR(FIND(".",'Raw Data'!N950)),LEN('Raw Data'!N950)=5), IF(YEAR('Raw Data'!N950)=2026,CONCATENATE(DAY('Raw Data'!N950),".",IF(LEN(MONTH('Raw Data'!N950))=2,MONTH('Raw Data'!N950),CONCATENATE("0",MONTH('Raw Data'!N950)))),CONCATENATE(MONTH('Raw Data'!N950),".",RIGHT(YEAR('Raw Data'!N950),2))),'Raw Data'!N950))</f>
        <v>179.05</v>
      </c>
      <c r="O950" s="6">
        <f t="shared" si="43"/>
        <v>4.7619047619047548</v>
      </c>
      <c r="P950" s="6">
        <f t="shared" si="44"/>
        <v>8.9524999999999864</v>
      </c>
      <c r="Q950">
        <f>VALUE(IF(AND(ISERR(FIND(".",'Raw Data'!Q950)),LEN('Raw Data'!Q950)=5), IF(YEAR('Raw Data'!Q950)=2026,CONCATENATE(DAY('Raw Data'!Q950),".",IF(LEN(MONTH('Raw Data'!Q950))=2,MONTH('Raw Data'!Q950),CONCATENATE(MONTH('Raw Data'!Q950)))),CONCATENATE(MONTH('Raw Data'!Q950),".",RIGHT(YEAR('Raw Data'!Q950),2))),'Raw Data'!Q950))</f>
        <v>7.9</v>
      </c>
    </row>
    <row r="951" spans="1:17">
      <c r="A951" t="s">
        <v>1038</v>
      </c>
      <c r="B951" t="s">
        <v>34</v>
      </c>
      <c r="C951" t="s">
        <v>35</v>
      </c>
      <c r="D951" t="s">
        <v>27</v>
      </c>
      <c r="E951" t="s">
        <v>21</v>
      </c>
      <c r="F951" t="s">
        <v>40</v>
      </c>
      <c r="G951">
        <f>VALUE(IF(AND(ISERR(FIND(".",'Raw Data'!G951)),LEN('Raw Data'!G951)=5), IF(YEAR('Raw Data'!G951)=2026,CONCATENATE(DAY('Raw Data'!G951),".",IF(LEN(MONTH('Raw Data'!G951))=2,MONTH('Raw Data'!G951),CONCATENATE("0",MONTH('Raw Data'!G951)))),CONCATENATE(MONTH('Raw Data'!G951),".",RIGHT(YEAR('Raw Data'!G951),2))),'Raw Data'!G951))</f>
        <v>26.43</v>
      </c>
      <c r="H951">
        <f>'Raw Data'!H951</f>
        <v>8</v>
      </c>
      <c r="I951" s="6">
        <f t="shared" si="42"/>
        <v>10.572000000000003</v>
      </c>
      <c r="J951" s="6">
        <f>'Raw Data'!J951</f>
        <v>222.012</v>
      </c>
      <c r="K951" s="1">
        <f>VALUE(IFERROR(VALUE('Raw Data'!K951),CONCATENATE(MID('Raw Data'!K951,3,2),".","0",LEFT('Raw Data'!K951,1),".", RIGHT('Raw Data'!K951,4))))</f>
        <v>43520</v>
      </c>
      <c r="L951" s="2">
        <f>'Raw Data'!L951</f>
        <v>0.60138888888888886</v>
      </c>
      <c r="M951" t="s">
        <v>23</v>
      </c>
      <c r="N951">
        <f>VALUE(IF(AND(ISERR(FIND(".",'Raw Data'!N951)),LEN('Raw Data'!N951)=5), IF(YEAR('Raw Data'!N951)=2026,CONCATENATE(DAY('Raw Data'!N951),".",IF(LEN(MONTH('Raw Data'!N951))=2,MONTH('Raw Data'!N951),CONCATENATE("0",MONTH('Raw Data'!N951)))),CONCATENATE(MONTH('Raw Data'!N951),".",RIGHT(YEAR('Raw Data'!N951),2))),'Raw Data'!N951))</f>
        <v>211.44</v>
      </c>
      <c r="O951" s="6">
        <f t="shared" si="43"/>
        <v>4.7619047619047628</v>
      </c>
      <c r="P951" s="6">
        <f t="shared" si="44"/>
        <v>10.572000000000003</v>
      </c>
      <c r="Q951">
        <f>VALUE(IF(AND(ISERR(FIND(".",'Raw Data'!Q951)),LEN('Raw Data'!Q951)=5), IF(YEAR('Raw Data'!Q951)=2026,CONCATENATE(DAY('Raw Data'!Q951),".",IF(LEN(MONTH('Raw Data'!Q951))=2,MONTH('Raw Data'!Q951),CONCATENATE(MONTH('Raw Data'!Q951)))),CONCATENATE(MONTH('Raw Data'!Q951),".",RIGHT(YEAR('Raw Data'!Q951),2))),'Raw Data'!Q951))</f>
        <v>8.9</v>
      </c>
    </row>
    <row r="952" spans="1:17">
      <c r="A952" t="s">
        <v>1039</v>
      </c>
      <c r="B952" t="s">
        <v>34</v>
      </c>
      <c r="C952" t="s">
        <v>35</v>
      </c>
      <c r="D952" t="s">
        <v>20</v>
      </c>
      <c r="E952" t="s">
        <v>30</v>
      </c>
      <c r="F952" t="s">
        <v>22</v>
      </c>
      <c r="G952">
        <f>VALUE(IF(AND(ISERR(FIND(".",'Raw Data'!G952)),LEN('Raw Data'!G952)=5), IF(YEAR('Raw Data'!G952)=2026,CONCATENATE(DAY('Raw Data'!G952),".",IF(LEN(MONTH('Raw Data'!G952))=2,MONTH('Raw Data'!G952),CONCATENATE("0",MONTH('Raw Data'!G952)))),CONCATENATE(MONTH('Raw Data'!G952),".",RIGHT(YEAR('Raw Data'!G952),2))),'Raw Data'!G952))</f>
        <v>39.909999999999997</v>
      </c>
      <c r="H952">
        <f>'Raw Data'!H952</f>
        <v>3</v>
      </c>
      <c r="I952" s="6">
        <f t="shared" si="42"/>
        <v>5.9865000000000066</v>
      </c>
      <c r="J952" s="6">
        <f>'Raw Data'!J952</f>
        <v>125.7165</v>
      </c>
      <c r="K952" s="1">
        <f>VALUE(IFERROR(VALUE('Raw Data'!K952),CONCATENATE(MID('Raw Data'!K952,3,2),".","0",LEFT('Raw Data'!K952,1),".", RIGHT('Raw Data'!K952,4))))</f>
        <v>43517</v>
      </c>
      <c r="L952" s="2">
        <f>'Raw Data'!L952</f>
        <v>0.52777777777777779</v>
      </c>
      <c r="M952" t="s">
        <v>23</v>
      </c>
      <c r="N952">
        <f>VALUE(IF(AND(ISERR(FIND(".",'Raw Data'!N952)),LEN('Raw Data'!N952)=5), IF(YEAR('Raw Data'!N952)=2026,CONCATENATE(DAY('Raw Data'!N952),".",IF(LEN(MONTH('Raw Data'!N952))=2,MONTH('Raw Data'!N952),CONCATENATE("0",MONTH('Raw Data'!N952)))),CONCATENATE(MONTH('Raw Data'!N952),".",RIGHT(YEAR('Raw Data'!N952),2))),'Raw Data'!N952))</f>
        <v>119.73</v>
      </c>
      <c r="O952" s="6">
        <f t="shared" si="43"/>
        <v>4.7619047619047556</v>
      </c>
      <c r="P952" s="6">
        <f t="shared" si="44"/>
        <v>5.9864999999999924</v>
      </c>
      <c r="Q952">
        <f>VALUE(IF(AND(ISERR(FIND(".",'Raw Data'!Q952)),LEN('Raw Data'!Q952)=5), IF(YEAR('Raw Data'!Q952)=2026,CONCATENATE(DAY('Raw Data'!Q952),".",IF(LEN(MONTH('Raw Data'!Q952))=2,MONTH('Raw Data'!Q952),CONCATENATE(MONTH('Raw Data'!Q952)))),CONCATENATE(MONTH('Raw Data'!Q952),".",RIGHT(YEAR('Raw Data'!Q952),2))),'Raw Data'!Q952))</f>
        <v>9.3000000000000007</v>
      </c>
    </row>
    <row r="953" spans="1:17">
      <c r="A953" t="s">
        <v>1040</v>
      </c>
      <c r="B953" t="s">
        <v>34</v>
      </c>
      <c r="C953" t="s">
        <v>35</v>
      </c>
      <c r="D953" t="s">
        <v>20</v>
      </c>
      <c r="E953" t="s">
        <v>21</v>
      </c>
      <c r="F953" t="s">
        <v>32</v>
      </c>
      <c r="G953">
        <f>VALUE(IF(AND(ISERR(FIND(".",'Raw Data'!G953)),LEN('Raw Data'!G953)=5), IF(YEAR('Raw Data'!G953)=2026,CONCATENATE(DAY('Raw Data'!G953),".",IF(LEN(MONTH('Raw Data'!G953))=2,MONTH('Raw Data'!G953),CONCATENATE("0",MONTH('Raw Data'!G953)))),CONCATENATE(MONTH('Raw Data'!G953),".",RIGHT(YEAR('Raw Data'!G953),2))),'Raw Data'!G953))</f>
        <v>21.09</v>
      </c>
      <c r="H953">
        <f>'Raw Data'!H953</f>
        <v>3</v>
      </c>
      <c r="I953" s="6">
        <f t="shared" si="42"/>
        <v>5.7150000000000034</v>
      </c>
      <c r="J953" s="6">
        <f>'Raw Data'!J953</f>
        <v>68.984999999999999</v>
      </c>
      <c r="K953" s="1">
        <f>VALUE(IFERROR(VALUE('Raw Data'!K953),CONCATENATE(MID('Raw Data'!K953,3,2),".","0",LEFT('Raw Data'!K953,1),".", RIGHT('Raw Data'!K953,4))))</f>
        <v>43709</v>
      </c>
      <c r="L953" s="2">
        <f>'Raw Data'!L953</f>
        <v>0.77986111111111101</v>
      </c>
      <c r="M953" t="s">
        <v>23</v>
      </c>
      <c r="N953">
        <f>VALUE(IF(AND(ISERR(FIND(".",'Raw Data'!N953)),LEN('Raw Data'!N953)=5), IF(YEAR('Raw Data'!N953)=2026,CONCATENATE(DAY('Raw Data'!N953),".",IF(LEN(MONTH('Raw Data'!N953))=2,MONTH('Raw Data'!N953),CONCATENATE("0",MONTH('Raw Data'!N953)))),CONCATENATE(MONTH('Raw Data'!N953),".",RIGHT(YEAR('Raw Data'!N953),2))),'Raw Data'!N953))</f>
        <v>65.7</v>
      </c>
      <c r="O953" s="6">
        <f t="shared" si="43"/>
        <v>4.7619047619047565</v>
      </c>
      <c r="P953" s="6">
        <f t="shared" si="44"/>
        <v>3.2849999999999966</v>
      </c>
      <c r="Q953">
        <f>VALUE(IF(AND(ISERR(FIND(".",'Raw Data'!Q953)),LEN('Raw Data'!Q953)=5), IF(YEAR('Raw Data'!Q953)=2026,CONCATENATE(DAY('Raw Data'!Q953),".",IF(LEN(MONTH('Raw Data'!Q953))=2,MONTH('Raw Data'!Q953),CONCATENATE(MONTH('Raw Data'!Q953)))),CONCATENATE(MONTH('Raw Data'!Q953),".",RIGHT(YEAR('Raw Data'!Q953),2))),'Raw Data'!Q953))</f>
        <v>4.7</v>
      </c>
    </row>
    <row r="954" spans="1:17">
      <c r="A954" t="s">
        <v>1041</v>
      </c>
      <c r="B954" t="s">
        <v>34</v>
      </c>
      <c r="C954" t="s">
        <v>35</v>
      </c>
      <c r="D954" t="s">
        <v>20</v>
      </c>
      <c r="E954" t="s">
        <v>21</v>
      </c>
      <c r="F954" t="s">
        <v>40</v>
      </c>
      <c r="G954">
        <f>VALUE(IF(AND(ISERR(FIND(".",'Raw Data'!G954)),LEN('Raw Data'!G954)=5), IF(YEAR('Raw Data'!G954)=2026,CONCATENATE(DAY('Raw Data'!G954),".",IF(LEN(MONTH('Raw Data'!G954))=2,MONTH('Raw Data'!G954),CONCATENATE("0",MONTH('Raw Data'!G954)))),CONCATENATE(MONTH('Raw Data'!G954),".",RIGHT(YEAR('Raw Data'!G954),2))),'Raw Data'!G954))</f>
        <v>62.85</v>
      </c>
      <c r="H954">
        <f>'Raw Data'!H954</f>
        <v>4</v>
      </c>
      <c r="I954" s="6">
        <f t="shared" si="42"/>
        <v>12.570000000000022</v>
      </c>
      <c r="J954" s="6">
        <f>'Raw Data'!J954</f>
        <v>263.97000000000003</v>
      </c>
      <c r="K954" s="1">
        <f>VALUE(IFERROR(VALUE('Raw Data'!K954),CONCATENATE(MID('Raw Data'!K954,3,2),".","0",LEFT('Raw Data'!K954,1),".", RIGHT('Raw Data'!K954,4))))</f>
        <v>43521</v>
      </c>
      <c r="L954" s="2">
        <f>'Raw Data'!L954</f>
        <v>0.55694444444444446</v>
      </c>
      <c r="M954" t="s">
        <v>23</v>
      </c>
      <c r="N954">
        <f>VALUE(IF(AND(ISERR(FIND(".",'Raw Data'!N954)),LEN('Raw Data'!N954)=5), IF(YEAR('Raw Data'!N954)=2026,CONCATENATE(DAY('Raw Data'!N954),".",IF(LEN(MONTH('Raw Data'!N954))=2,MONTH('Raw Data'!N954),CONCATENATE("0",MONTH('Raw Data'!N954)))),CONCATENATE(MONTH('Raw Data'!N954),".",RIGHT(YEAR('Raw Data'!N954),2))),'Raw Data'!N954))</f>
        <v>251.4</v>
      </c>
      <c r="O954" s="6">
        <f t="shared" si="43"/>
        <v>4.761904761904769</v>
      </c>
      <c r="P954" s="6">
        <f t="shared" si="44"/>
        <v>12.570000000000022</v>
      </c>
      <c r="Q954">
        <f>VALUE(IF(AND(ISERR(FIND(".",'Raw Data'!Q954)),LEN('Raw Data'!Q954)=5), IF(YEAR('Raw Data'!Q954)=2026,CONCATENATE(DAY('Raw Data'!Q954),".",IF(LEN(MONTH('Raw Data'!Q954))=2,MONTH('Raw Data'!Q954),CONCATENATE(MONTH('Raw Data'!Q954)))),CONCATENATE(MONTH('Raw Data'!Q954),".",RIGHT(YEAR('Raw Data'!Q954),2))),'Raw Data'!Q954))</f>
        <v>8.6999999999999993</v>
      </c>
    </row>
    <row r="955" spans="1:17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40</v>
      </c>
      <c r="G955">
        <f>VALUE(IF(AND(ISERR(FIND(".",'Raw Data'!G955)),LEN('Raw Data'!G955)=5), IF(YEAR('Raw Data'!G955)=2026,CONCATENATE(DAY('Raw Data'!G955),".",IF(LEN(MONTH('Raw Data'!G955))=2,MONTH('Raw Data'!G955),CONCATENATE("0",MONTH('Raw Data'!G955)))),CONCATENATE(MONTH('Raw Data'!G955),".",RIGHT(YEAR('Raw Data'!G955),2))),'Raw Data'!G955))</f>
        <v>21.04</v>
      </c>
      <c r="H955">
        <f>'Raw Data'!H955</f>
        <v>4</v>
      </c>
      <c r="I955" s="6">
        <f t="shared" si="42"/>
        <v>4.2079999999999984</v>
      </c>
      <c r="J955" s="6">
        <f>'Raw Data'!J955</f>
        <v>88.367999999999995</v>
      </c>
      <c r="K955" s="1">
        <f>VALUE(IFERROR(VALUE('Raw Data'!K955),CONCATENATE(MID('Raw Data'!K955,3,2),".","0",LEFT('Raw Data'!K955,1),".", RIGHT('Raw Data'!K955,4))))</f>
        <v>43478</v>
      </c>
      <c r="L955" s="2">
        <f>'Raw Data'!L955</f>
        <v>0.58194444444444449</v>
      </c>
      <c r="M955" t="s">
        <v>29</v>
      </c>
      <c r="N955">
        <f>VALUE(IF(AND(ISERR(FIND(".",'Raw Data'!N955)),LEN('Raw Data'!N955)=5), IF(YEAR('Raw Data'!N955)=2026,CONCATENATE(DAY('Raw Data'!N955),".",IF(LEN(MONTH('Raw Data'!N955))=2,MONTH('Raw Data'!N955),CONCATENATE("0",MONTH('Raw Data'!N955)))),CONCATENATE(MONTH('Raw Data'!N955),".",RIGHT(YEAR('Raw Data'!N955),2))),'Raw Data'!N955))</f>
        <v>84.16</v>
      </c>
      <c r="O955" s="6">
        <f t="shared" si="43"/>
        <v>4.7619047619047601</v>
      </c>
      <c r="P955" s="6">
        <f t="shared" si="44"/>
        <v>4.2079999999999984</v>
      </c>
      <c r="Q955">
        <f>VALUE(IF(AND(ISERR(FIND(".",'Raw Data'!Q955)),LEN('Raw Data'!Q955)=5), IF(YEAR('Raw Data'!Q955)=2026,CONCATENATE(DAY('Raw Data'!Q955),".",IF(LEN(MONTH('Raw Data'!Q955))=2,MONTH('Raw Data'!Q955),CONCATENATE(MONTH('Raw Data'!Q955)))),CONCATENATE(MONTH('Raw Data'!Q955),".",RIGHT(YEAR('Raw Data'!Q955),2))),'Raw Data'!Q955))</f>
        <v>7.6</v>
      </c>
    </row>
    <row r="956" spans="1:17">
      <c r="A956" t="s">
        <v>1043</v>
      </c>
      <c r="B956" t="s">
        <v>34</v>
      </c>
      <c r="C956" t="s">
        <v>35</v>
      </c>
      <c r="D956" t="s">
        <v>20</v>
      </c>
      <c r="E956" t="s">
        <v>30</v>
      </c>
      <c r="F956" t="s">
        <v>32</v>
      </c>
      <c r="G956">
        <f>VALUE(IF(AND(ISERR(FIND(".",'Raw Data'!G956)),LEN('Raw Data'!G956)=5), IF(YEAR('Raw Data'!G956)=2026,CONCATENATE(DAY('Raw Data'!G956),".",IF(LEN(MONTH('Raw Data'!G956))=2,MONTH('Raw Data'!G956),CONCATENATE("0",MONTH('Raw Data'!G956)))),CONCATENATE(MONTH('Raw Data'!G956),".",RIGHT(YEAR('Raw Data'!G956),2))),'Raw Data'!G956))</f>
        <v>65.91</v>
      </c>
      <c r="H956">
        <f>'Raw Data'!H956</f>
        <v>6</v>
      </c>
      <c r="I956" s="6">
        <f t="shared" si="42"/>
        <v>19.773000000000025</v>
      </c>
      <c r="J956" s="6">
        <f>'Raw Data'!J956</f>
        <v>415.233</v>
      </c>
      <c r="K956" s="1">
        <f>VALUE(IFERROR(VALUE('Raw Data'!K956),CONCATENATE(MID('Raw Data'!K956,3,2),".","0",LEFT('Raw Data'!K956,1),".", RIGHT('Raw Data'!K956,4))))</f>
        <v>43710</v>
      </c>
      <c r="L956" s="2">
        <f>'Raw Data'!L956</f>
        <v>0.48958333333333331</v>
      </c>
      <c r="M956" t="s">
        <v>29</v>
      </c>
      <c r="N956">
        <f>VALUE(IF(AND(ISERR(FIND(".",'Raw Data'!N956)),LEN('Raw Data'!N956)=5), IF(YEAR('Raw Data'!N956)=2026,CONCATENATE(DAY('Raw Data'!N956),".",IF(LEN(MONTH('Raw Data'!N956))=2,MONTH('Raw Data'!N956),CONCATENATE("0",MONTH('Raw Data'!N956)))),CONCATENATE(MONTH('Raw Data'!N956),".",RIGHT(YEAR('Raw Data'!N956),2))),'Raw Data'!N956))</f>
        <v>395.46</v>
      </c>
      <c r="O956" s="6">
        <f t="shared" si="43"/>
        <v>4.7619047619047681</v>
      </c>
      <c r="P956" s="6">
        <f t="shared" si="44"/>
        <v>19.773000000000025</v>
      </c>
      <c r="Q956">
        <f>VALUE(IF(AND(ISERR(FIND(".",'Raw Data'!Q956)),LEN('Raw Data'!Q956)=5), IF(YEAR('Raw Data'!Q956)=2026,CONCATENATE(DAY('Raw Data'!Q956),".",IF(LEN(MONTH('Raw Data'!Q956))=2,MONTH('Raw Data'!Q956),CONCATENATE(MONTH('Raw Data'!Q956)))),CONCATENATE(MONTH('Raw Data'!Q956),".",RIGHT(YEAR('Raw Data'!Q956),2))),'Raw Data'!Q956))</f>
        <v>5.7</v>
      </c>
    </row>
    <row r="957" spans="1:17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43</v>
      </c>
      <c r="G957">
        <f>VALUE(IF(AND(ISERR(FIND(".",'Raw Data'!G957)),LEN('Raw Data'!G957)=5), IF(YEAR('Raw Data'!G957)=2026,CONCATENATE(DAY('Raw Data'!G957),".",IF(LEN(MONTH('Raw Data'!G957))=2,MONTH('Raw Data'!G957),CONCATENATE("0",MONTH('Raw Data'!G957)))),CONCATENATE(MONTH('Raw Data'!G957),".",RIGHT(YEAR('Raw Data'!G957),2))),'Raw Data'!G957))</f>
        <v>42.57</v>
      </c>
      <c r="H957">
        <f>'Raw Data'!H957</f>
        <v>7</v>
      </c>
      <c r="I957" s="6">
        <f t="shared" si="42"/>
        <v>14.899499999999989</v>
      </c>
      <c r="J957" s="6">
        <f>'Raw Data'!J957</f>
        <v>312.8895</v>
      </c>
      <c r="K957" s="1">
        <f>VALUE(IFERROR(VALUE('Raw Data'!K957),CONCATENATE(MID('Raw Data'!K957,3,2),".","0",LEFT('Raw Data'!K957,1),".", RIGHT('Raw Data'!K957,4))))</f>
        <v>43617</v>
      </c>
      <c r="L957" s="2">
        <f>'Raw Data'!L957</f>
        <v>0.49374999999999997</v>
      </c>
      <c r="M957" t="s">
        <v>29</v>
      </c>
      <c r="N957">
        <f>VALUE(IF(AND(ISERR(FIND(".",'Raw Data'!N957)),LEN('Raw Data'!N957)=5), IF(YEAR('Raw Data'!N957)=2026,CONCATENATE(DAY('Raw Data'!N957),".",IF(LEN(MONTH('Raw Data'!N957))=2,MONTH('Raw Data'!N957),CONCATENATE("0",MONTH('Raw Data'!N957)))),CONCATENATE(MONTH('Raw Data'!N957),".",RIGHT(YEAR('Raw Data'!N957),2))),'Raw Data'!N957))</f>
        <v>297.99</v>
      </c>
      <c r="O957" s="6">
        <f t="shared" si="43"/>
        <v>4.7619047619047583</v>
      </c>
      <c r="P957" s="6">
        <f t="shared" si="44"/>
        <v>14.899499999999989</v>
      </c>
      <c r="Q957">
        <f>VALUE(IF(AND(ISERR(FIND(".",'Raw Data'!Q957)),LEN('Raw Data'!Q957)=5), IF(YEAR('Raw Data'!Q957)=2026,CONCATENATE(DAY('Raw Data'!Q957),".",IF(LEN(MONTH('Raw Data'!Q957))=2,MONTH('Raw Data'!Q957),CONCATENATE(MONTH('Raw Data'!Q957)))),CONCATENATE(MONTH('Raw Data'!Q957),".",RIGHT(YEAR('Raw Data'!Q957),2))),'Raw Data'!Q957))</f>
        <v>6.8</v>
      </c>
    </row>
    <row r="958" spans="1:17">
      <c r="A958" t="s">
        <v>1045</v>
      </c>
      <c r="B958" t="s">
        <v>25</v>
      </c>
      <c r="C958" t="s">
        <v>26</v>
      </c>
      <c r="D958" t="s">
        <v>20</v>
      </c>
      <c r="E958" t="s">
        <v>30</v>
      </c>
      <c r="F958" t="s">
        <v>40</v>
      </c>
      <c r="G958">
        <f>VALUE(IF(AND(ISERR(FIND(".",'Raw Data'!G958)),LEN('Raw Data'!G958)=5), IF(YEAR('Raw Data'!G958)=2026,CONCATENATE(DAY('Raw Data'!G958),".",IF(LEN(MONTH('Raw Data'!G958))=2,MONTH('Raw Data'!G958),CONCATENATE("0",MONTH('Raw Data'!G958)))),CONCATENATE(MONTH('Raw Data'!G958),".",RIGHT(YEAR('Raw Data'!G958),2))),'Raw Data'!G958))</f>
        <v>50.49</v>
      </c>
      <c r="H958">
        <f>'Raw Data'!H958</f>
        <v>9</v>
      </c>
      <c r="I958" s="6">
        <f t="shared" si="42"/>
        <v>22.720499999999959</v>
      </c>
      <c r="J958" s="6">
        <f>'Raw Data'!J958</f>
        <v>477.13049999999998</v>
      </c>
      <c r="K958" s="1">
        <f>VALUE(IFERROR(VALUE('Raw Data'!K958),CONCATENATE(MID('Raw Data'!K958,3,2),".","0",LEFT('Raw Data'!K958,1),".", RIGHT('Raw Data'!K958,4))))</f>
        <v>43739</v>
      </c>
      <c r="L958" s="2">
        <f>'Raw Data'!L958</f>
        <v>0.71944444444444444</v>
      </c>
      <c r="M958" t="s">
        <v>29</v>
      </c>
      <c r="N958">
        <f>VALUE(IF(AND(ISERR(FIND(".",'Raw Data'!N958)),LEN('Raw Data'!N958)=5), IF(YEAR('Raw Data'!N958)=2026,CONCATENATE(DAY('Raw Data'!N958),".",IF(LEN(MONTH('Raw Data'!N958))=2,MONTH('Raw Data'!N958),CONCATENATE("0",MONTH('Raw Data'!N958)))),CONCATENATE(MONTH('Raw Data'!N958),".",RIGHT(YEAR('Raw Data'!N958),2))),'Raw Data'!N958))</f>
        <v>454.41</v>
      </c>
      <c r="O958" s="6">
        <f t="shared" si="43"/>
        <v>4.761904761904753</v>
      </c>
      <c r="P958" s="6">
        <f t="shared" si="44"/>
        <v>22.720499999999959</v>
      </c>
      <c r="Q958">
        <f>VALUE(IF(AND(ISERR(FIND(".",'Raw Data'!Q958)),LEN('Raw Data'!Q958)=5), IF(YEAR('Raw Data'!Q958)=2026,CONCATENATE(DAY('Raw Data'!Q958),".",IF(LEN(MONTH('Raw Data'!Q958))=2,MONTH('Raw Data'!Q958),CONCATENATE(MONTH('Raw Data'!Q958)))),CONCATENATE(MONTH('Raw Data'!Q958),".",RIGHT(YEAR('Raw Data'!Q958),2))),'Raw Data'!Q958))</f>
        <v>5.4</v>
      </c>
    </row>
    <row r="959" spans="1:17">
      <c r="A959" t="s">
        <v>1046</v>
      </c>
      <c r="B959" t="s">
        <v>34</v>
      </c>
      <c r="C959" t="s">
        <v>35</v>
      </c>
      <c r="D959" t="s">
        <v>27</v>
      </c>
      <c r="E959" t="s">
        <v>30</v>
      </c>
      <c r="F959" t="s">
        <v>28</v>
      </c>
      <c r="G959">
        <f>VALUE(IF(AND(ISERR(FIND(".",'Raw Data'!G959)),LEN('Raw Data'!G959)=5), IF(YEAR('Raw Data'!G959)=2026,CONCATENATE(DAY('Raw Data'!G959),".",IF(LEN(MONTH('Raw Data'!G959))=2,MONTH('Raw Data'!G959),CONCATENATE("0",MONTH('Raw Data'!G959)))),CONCATENATE(MONTH('Raw Data'!G959),".",RIGHT(YEAR('Raw Data'!G959),2))),'Raw Data'!G959))</f>
        <v>46.02</v>
      </c>
      <c r="H959">
        <f>'Raw Data'!H959</f>
        <v>6</v>
      </c>
      <c r="I959" s="6">
        <f t="shared" si="42"/>
        <v>13.805999999999983</v>
      </c>
      <c r="J959" s="6">
        <f>'Raw Data'!J959</f>
        <v>289.92599999999999</v>
      </c>
      <c r="K959" s="1">
        <f>VALUE(IFERROR(VALUE('Raw Data'!K959),CONCATENATE(MID('Raw Data'!K959,3,2),".","0",LEFT('Raw Data'!K959,1),".", RIGHT('Raw Data'!K959,4))))</f>
        <v>43648</v>
      </c>
      <c r="L959" s="2">
        <f>'Raw Data'!L959</f>
        <v>0.66319444444444442</v>
      </c>
      <c r="M959" t="s">
        <v>29</v>
      </c>
      <c r="N959">
        <f>VALUE(IF(AND(ISERR(FIND(".",'Raw Data'!N959)),LEN('Raw Data'!N959)=5), IF(YEAR('Raw Data'!N959)=2026,CONCATENATE(DAY('Raw Data'!N959),".",IF(LEN(MONTH('Raw Data'!N959))=2,MONTH('Raw Data'!N959),CONCATENATE("0",MONTH('Raw Data'!N959)))),CONCATENATE(MONTH('Raw Data'!N959),".",RIGHT(YEAR('Raw Data'!N959),2))),'Raw Data'!N959))</f>
        <v>276.12</v>
      </c>
      <c r="O959" s="6">
        <f t="shared" si="43"/>
        <v>4.7619047619047556</v>
      </c>
      <c r="P959" s="6">
        <f t="shared" si="44"/>
        <v>13.805999999999983</v>
      </c>
      <c r="Q959">
        <f>VALUE(IF(AND(ISERR(FIND(".",'Raw Data'!Q959)),LEN('Raw Data'!Q959)=5), IF(YEAR('Raw Data'!Q959)=2026,CONCATENATE(DAY('Raw Data'!Q959),".",IF(LEN(MONTH('Raw Data'!Q959))=2,MONTH('Raw Data'!Q959),CONCATENATE(MONTH('Raw Data'!Q959)))),CONCATENATE(MONTH('Raw Data'!Q959),".",RIGHT(YEAR('Raw Data'!Q959),2))),'Raw Data'!Q959))</f>
        <v>7.1</v>
      </c>
    </row>
    <row r="960" spans="1:17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f>VALUE(IF(AND(ISERR(FIND(".",'Raw Data'!G960)),LEN('Raw Data'!G960)=5), IF(YEAR('Raw Data'!G960)=2026,CONCATENATE(DAY('Raw Data'!G960),".",IF(LEN(MONTH('Raw Data'!G960))=2,MONTH('Raw Data'!G960),CONCATENATE("0",MONTH('Raw Data'!G960)))),CONCATENATE(MONTH('Raw Data'!G960),".",RIGHT(YEAR('Raw Data'!G960),2))),'Raw Data'!G960))</f>
        <v>15.08</v>
      </c>
      <c r="H960">
        <f>'Raw Data'!H960</f>
        <v>10</v>
      </c>
      <c r="I960" s="6">
        <f t="shared" si="42"/>
        <v>15.099999999999994</v>
      </c>
      <c r="J960" s="6">
        <f>'Raw Data'!J960</f>
        <v>165.9</v>
      </c>
      <c r="K960" s="1">
        <f>VALUE(IFERROR(VALUE('Raw Data'!K960),CONCATENATE(MID('Raw Data'!K960,3,2),".","0",LEFT('Raw Data'!K960,1),".", RIGHT('Raw Data'!K960,4))))</f>
        <v>43709</v>
      </c>
      <c r="L960" s="2">
        <f>'Raw Data'!L960</f>
        <v>0.50486111111111109</v>
      </c>
      <c r="M960" t="s">
        <v>29</v>
      </c>
      <c r="N960">
        <f>VALUE(IF(AND(ISERR(FIND(".",'Raw Data'!N960)),LEN('Raw Data'!N960)=5), IF(YEAR('Raw Data'!N960)=2026,CONCATENATE(DAY('Raw Data'!N960),".",IF(LEN(MONTH('Raw Data'!N960))=2,MONTH('Raw Data'!N960),CONCATENATE("0",MONTH('Raw Data'!N960)))),CONCATENATE(MONTH('Raw Data'!N960),".",RIGHT(YEAR('Raw Data'!N960),2))),'Raw Data'!N960))</f>
        <v>158</v>
      </c>
      <c r="O960" s="6">
        <f t="shared" si="43"/>
        <v>4.7619047619047654</v>
      </c>
      <c r="P960" s="6">
        <f t="shared" si="44"/>
        <v>7.9000000000000057</v>
      </c>
      <c r="Q960">
        <f>VALUE(IF(AND(ISERR(FIND(".",'Raw Data'!Q960)),LEN('Raw Data'!Q960)=5), IF(YEAR('Raw Data'!Q960)=2026,CONCATENATE(DAY('Raw Data'!Q960),".",IF(LEN(MONTH('Raw Data'!Q960))=2,MONTH('Raw Data'!Q960),CONCATENATE(MONTH('Raw Data'!Q960)))),CONCATENATE(MONTH('Raw Data'!Q960),".",RIGHT(YEAR('Raw Data'!Q960),2))),'Raw Data'!Q960))</f>
        <v>7.8</v>
      </c>
    </row>
    <row r="961" spans="1:17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40</v>
      </c>
      <c r="G961">
        <f>VALUE(IF(AND(ISERR(FIND(".",'Raw Data'!G961)),LEN('Raw Data'!G961)=5), IF(YEAR('Raw Data'!G961)=2026,CONCATENATE(DAY('Raw Data'!G961),".",IF(LEN(MONTH('Raw Data'!G961))=2,MONTH('Raw Data'!G961),CONCATENATE("0",MONTH('Raw Data'!G961)))),CONCATENATE(MONTH('Raw Data'!G961),".",RIGHT(YEAR('Raw Data'!G961),2))),'Raw Data'!G961))</f>
        <v>98.66</v>
      </c>
      <c r="H961">
        <f>'Raw Data'!H961</f>
        <v>9</v>
      </c>
      <c r="I961" s="6">
        <f t="shared" si="42"/>
        <v>44.397000000000048</v>
      </c>
      <c r="J961" s="6">
        <f>'Raw Data'!J961</f>
        <v>932.33699999999999</v>
      </c>
      <c r="K961" s="1">
        <f>VALUE(IFERROR(VALUE('Raw Data'!K961),CONCATENATE(MID('Raw Data'!K961,3,2),".","0",LEFT('Raw Data'!K961,1),".", RIGHT('Raw Data'!K961,4))))</f>
        <v>43515</v>
      </c>
      <c r="L961" s="2">
        <f>'Raw Data'!L961</f>
        <v>0.62986111111111109</v>
      </c>
      <c r="M961" t="s">
        <v>29</v>
      </c>
      <c r="N961">
        <f>VALUE(IF(AND(ISERR(FIND(".",'Raw Data'!N961)),LEN('Raw Data'!N961)=5), IF(YEAR('Raw Data'!N961)=2026,CONCATENATE(DAY('Raw Data'!N961),".",IF(LEN(MONTH('Raw Data'!N961))=2,MONTH('Raw Data'!N961),CONCATENATE("0",MONTH('Raw Data'!N961)))),CONCATENATE(MONTH('Raw Data'!N961),".",RIGHT(YEAR('Raw Data'!N961),2))),'Raw Data'!N961))</f>
        <v>887.94</v>
      </c>
      <c r="O961" s="6">
        <f t="shared" si="43"/>
        <v>4.7619047619047548</v>
      </c>
      <c r="P961" s="6">
        <f t="shared" si="44"/>
        <v>44.396999999999935</v>
      </c>
      <c r="Q961">
        <f>VALUE(IF(AND(ISERR(FIND(".",'Raw Data'!Q961)),LEN('Raw Data'!Q961)=5), IF(YEAR('Raw Data'!Q961)=2026,CONCATENATE(DAY('Raw Data'!Q961),".",IF(LEN(MONTH('Raw Data'!Q961))=2,MONTH('Raw Data'!Q961),CONCATENATE(MONTH('Raw Data'!Q961)))),CONCATENATE(MONTH('Raw Data'!Q961),".",RIGHT(YEAR('Raw Data'!Q961),2))),'Raw Data'!Q961))</f>
        <v>8.4</v>
      </c>
    </row>
    <row r="962" spans="1:17">
      <c r="A962" t="s">
        <v>1049</v>
      </c>
      <c r="B962" t="s">
        <v>25</v>
      </c>
      <c r="C962" t="s">
        <v>26</v>
      </c>
      <c r="D962" t="s">
        <v>20</v>
      </c>
      <c r="E962" t="s">
        <v>30</v>
      </c>
      <c r="F962" t="s">
        <v>43</v>
      </c>
      <c r="G962">
        <f>VALUE(IF(AND(ISERR(FIND(".",'Raw Data'!G962)),LEN('Raw Data'!G962)=5), IF(YEAR('Raw Data'!G962)=2026,CONCATENATE(DAY('Raw Data'!G962),".",IF(LEN(MONTH('Raw Data'!G962))=2,MONTH('Raw Data'!G962),CONCATENATE("0",MONTH('Raw Data'!G962)))),CONCATENATE(MONTH('Raw Data'!G962),".",RIGHT(YEAR('Raw Data'!G962),2))),'Raw Data'!G962))</f>
        <v>91.98</v>
      </c>
      <c r="H962">
        <f>'Raw Data'!H962</f>
        <v>1</v>
      </c>
      <c r="I962" s="6">
        <f t="shared" si="42"/>
        <v>4.5989999999999895</v>
      </c>
      <c r="J962" s="6">
        <f>'Raw Data'!J962</f>
        <v>96.578999999999994</v>
      </c>
      <c r="K962" s="1">
        <f>VALUE(IFERROR(VALUE('Raw Data'!K962),CONCATENATE(MID('Raw Data'!K962,3,2),".","0",LEFT('Raw Data'!K962,1),".", RIGHT('Raw Data'!K962,4))))</f>
        <v>43542</v>
      </c>
      <c r="L962" s="2">
        <f>'Raw Data'!L962</f>
        <v>0.64513888888888882</v>
      </c>
      <c r="M962" t="s">
        <v>29</v>
      </c>
      <c r="N962">
        <f>VALUE(IF(AND(ISERR(FIND(".",'Raw Data'!N962)),LEN('Raw Data'!N962)=5), IF(YEAR('Raw Data'!N962)=2026,CONCATENATE(DAY('Raw Data'!N962),".",IF(LEN(MONTH('Raw Data'!N962))=2,MONTH('Raw Data'!N962),CONCATENATE("0",MONTH('Raw Data'!N962)))),CONCATENATE(MONTH('Raw Data'!N962),".",RIGHT(YEAR('Raw Data'!N962),2))),'Raw Data'!N962))</f>
        <v>91.98</v>
      </c>
      <c r="O962" s="6">
        <f t="shared" si="43"/>
        <v>4.7619047619047512</v>
      </c>
      <c r="P962" s="6">
        <f t="shared" si="44"/>
        <v>4.5989999999999895</v>
      </c>
      <c r="Q962">
        <f>VALUE(IF(AND(ISERR(FIND(".",'Raw Data'!Q962)),LEN('Raw Data'!Q962)=5), IF(YEAR('Raw Data'!Q962)=2026,CONCATENATE(DAY('Raw Data'!Q962),".",IF(LEN(MONTH('Raw Data'!Q962))=2,MONTH('Raw Data'!Q962),CONCATENATE(MONTH('Raw Data'!Q962)))),CONCATENATE(MONTH('Raw Data'!Q962),".",RIGHT(YEAR('Raw Data'!Q962),2))),'Raw Data'!Q962))</f>
        <v>9.8000000000000007</v>
      </c>
    </row>
    <row r="963" spans="1:17">
      <c r="A963" t="s">
        <v>1050</v>
      </c>
      <c r="B963" t="s">
        <v>18</v>
      </c>
      <c r="C963" t="s">
        <v>19</v>
      </c>
      <c r="D963" t="s">
        <v>20</v>
      </c>
      <c r="E963" t="s">
        <v>30</v>
      </c>
      <c r="F963" t="s">
        <v>28</v>
      </c>
      <c r="G963">
        <f>VALUE(IF(AND(ISERR(FIND(".",'Raw Data'!G963)),LEN('Raw Data'!G963)=5), IF(YEAR('Raw Data'!G963)=2026,CONCATENATE(DAY('Raw Data'!G963),".",IF(LEN(MONTH('Raw Data'!G963))=2,MONTH('Raw Data'!G963),CONCATENATE("0",MONTH('Raw Data'!G963)))),CONCATENATE(MONTH('Raw Data'!G963),".",RIGHT(YEAR('Raw Data'!G963),2))),'Raw Data'!G963))</f>
        <v>20.89</v>
      </c>
      <c r="H963">
        <f>'Raw Data'!H963</f>
        <v>2</v>
      </c>
      <c r="I963" s="6">
        <f t="shared" ref="I963:I1001" si="45">J963-G963*H963</f>
        <v>2.0889999999999986</v>
      </c>
      <c r="J963" s="6">
        <f>'Raw Data'!J963</f>
        <v>43.869</v>
      </c>
      <c r="K963" s="1">
        <f>VALUE(IFERROR(VALUE('Raw Data'!K963),CONCATENATE(MID('Raw Data'!K963,3,2),".","0",LEFT('Raw Data'!K963,1),".", RIGHT('Raw Data'!K963,4))))</f>
        <v>43587</v>
      </c>
      <c r="L963" s="2">
        <f>'Raw Data'!L963</f>
        <v>0.78125</v>
      </c>
      <c r="M963" t="s">
        <v>29</v>
      </c>
      <c r="N963">
        <f>VALUE(IF(AND(ISERR(FIND(".",'Raw Data'!N963)),LEN('Raw Data'!N963)=5), IF(YEAR('Raw Data'!N963)=2026,CONCATENATE(DAY('Raw Data'!N963),".",IF(LEN(MONTH('Raw Data'!N963))=2,MONTH('Raw Data'!N963),CONCATENATE("0",MONTH('Raw Data'!N963)))),CONCATENATE(MONTH('Raw Data'!N963),".",RIGHT(YEAR('Raw Data'!N963),2))),'Raw Data'!N963))</f>
        <v>41.78</v>
      </c>
      <c r="O963" s="6">
        <f t="shared" ref="O963:O1001" si="46">P963/J963*100</f>
        <v>4.7619047619047592</v>
      </c>
      <c r="P963" s="6">
        <f t="shared" ref="P963:P1001" si="47">J963-N963</f>
        <v>2.0889999999999986</v>
      </c>
      <c r="Q963">
        <f>VALUE(IF(AND(ISERR(FIND(".",'Raw Data'!Q963)),LEN('Raw Data'!Q963)=5), IF(YEAR('Raw Data'!Q963)=2026,CONCATENATE(DAY('Raw Data'!Q963),".",IF(LEN(MONTH('Raw Data'!Q963))=2,MONTH('Raw Data'!Q963),CONCATENATE(MONTH('Raw Data'!Q963)))),CONCATENATE(MONTH('Raw Data'!Q963),".",RIGHT(YEAR('Raw Data'!Q963),2))),'Raw Data'!Q963))</f>
        <v>9.8000000000000007</v>
      </c>
    </row>
    <row r="964" spans="1:17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43</v>
      </c>
      <c r="G964">
        <f>VALUE(IF(AND(ISERR(FIND(".",'Raw Data'!G964)),LEN('Raw Data'!G964)=5), IF(YEAR('Raw Data'!G964)=2026,CONCATENATE(DAY('Raw Data'!G964),".",IF(LEN(MONTH('Raw Data'!G964))=2,MONTH('Raw Data'!G964),CONCATENATE("0",MONTH('Raw Data'!G964)))),CONCATENATE(MONTH('Raw Data'!G964),".",RIGHT(YEAR('Raw Data'!G964),2))),'Raw Data'!G964))</f>
        <v>15.05</v>
      </c>
      <c r="H964">
        <f>'Raw Data'!H964</f>
        <v>1</v>
      </c>
      <c r="I964" s="6">
        <f t="shared" si="45"/>
        <v>1.2249999999999979</v>
      </c>
      <c r="J964" s="6">
        <f>'Raw Data'!J964</f>
        <v>16.274999999999999</v>
      </c>
      <c r="K964" s="1">
        <f>VALUE(IFERROR(VALUE('Raw Data'!K964),CONCATENATE(MID('Raw Data'!K964,3,2),".","0",LEFT('Raw Data'!K964,1),".", RIGHT('Raw Data'!K964,4))))</f>
        <v>43543</v>
      </c>
      <c r="L964" s="2">
        <f>'Raw Data'!L964</f>
        <v>0.64097222222222217</v>
      </c>
      <c r="M964" t="s">
        <v>33</v>
      </c>
      <c r="N964">
        <f>VALUE(IF(AND(ISERR(FIND(".",'Raw Data'!N964)),LEN('Raw Data'!N964)=5), IF(YEAR('Raw Data'!N964)=2026,CONCATENATE(DAY('Raw Data'!N964),".",IF(LEN(MONTH('Raw Data'!N964))=2,MONTH('Raw Data'!N964),CONCATENATE("0",MONTH('Raw Data'!N964)))),CONCATENATE(MONTH('Raw Data'!N964),".",RIGHT(YEAR('Raw Data'!N964),2))),'Raw Data'!N964))</f>
        <v>15.05</v>
      </c>
      <c r="O964" s="6">
        <f t="shared" si="46"/>
        <v>7.5268817204300955</v>
      </c>
      <c r="P964" s="6">
        <f t="shared" si="47"/>
        <v>1.2249999999999979</v>
      </c>
      <c r="Q964">
        <f>VALUE(IF(AND(ISERR(FIND(".",'Raw Data'!Q964)),LEN('Raw Data'!Q964)=5), IF(YEAR('Raw Data'!Q964)=2026,CONCATENATE(DAY('Raw Data'!Q964),".",IF(LEN(MONTH('Raw Data'!Q964))=2,MONTH('Raw Data'!Q964),CONCATENATE(MONTH('Raw Data'!Q964)))),CONCATENATE(MONTH('Raw Data'!Q964),".",RIGHT(YEAR('Raw Data'!Q964),2))),'Raw Data'!Q964))</f>
        <v>7.4</v>
      </c>
    </row>
    <row r="965" spans="1:17">
      <c r="A965" t="s">
        <v>1052</v>
      </c>
      <c r="B965" t="s">
        <v>25</v>
      </c>
      <c r="C965" t="s">
        <v>26</v>
      </c>
      <c r="D965" t="s">
        <v>20</v>
      </c>
      <c r="E965" t="s">
        <v>30</v>
      </c>
      <c r="F965" t="s">
        <v>28</v>
      </c>
      <c r="G965">
        <f>VALUE(IF(AND(ISERR(FIND(".",'Raw Data'!G965)),LEN('Raw Data'!G965)=5), IF(YEAR('Raw Data'!G965)=2026,CONCATENATE(DAY('Raw Data'!G965),".",IF(LEN(MONTH('Raw Data'!G965))=2,MONTH('Raw Data'!G965),CONCATENATE("0",MONTH('Raw Data'!G965)))),CONCATENATE(MONTH('Raw Data'!G965),".",RIGHT(YEAR('Raw Data'!G965),2))),'Raw Data'!G965))</f>
        <v>96.82</v>
      </c>
      <c r="H965">
        <f>'Raw Data'!H965</f>
        <v>3</v>
      </c>
      <c r="I965" s="6">
        <f t="shared" si="45"/>
        <v>14.523000000000025</v>
      </c>
      <c r="J965" s="6">
        <f>'Raw Data'!J965</f>
        <v>304.983</v>
      </c>
      <c r="K965" s="1">
        <f>VALUE(IFERROR(VALUE('Raw Data'!K965),CONCATENATE(MID('Raw Data'!K965,3,2),".","0",LEFT('Raw Data'!K965,1),".", RIGHT('Raw Data'!K965,4))))</f>
        <v>43554</v>
      </c>
      <c r="L965" s="2">
        <f>'Raw Data'!L965</f>
        <v>0.85902777777777783</v>
      </c>
      <c r="M965" t="s">
        <v>29</v>
      </c>
      <c r="N965">
        <f>VALUE(IF(AND(ISERR(FIND(".",'Raw Data'!N965)),LEN('Raw Data'!N965)=5), IF(YEAR('Raw Data'!N965)=2026,CONCATENATE(DAY('Raw Data'!N965),".",IF(LEN(MONTH('Raw Data'!N965))=2,MONTH('Raw Data'!N965),CONCATENATE("0",MONTH('Raw Data'!N965)))),CONCATENATE(MONTH('Raw Data'!N965),".",RIGHT(YEAR('Raw Data'!N965),2))),'Raw Data'!N965))</f>
        <v>290.45999999999998</v>
      </c>
      <c r="O965" s="6">
        <f t="shared" si="46"/>
        <v>4.7619047619047699</v>
      </c>
      <c r="P965" s="6">
        <f t="shared" si="47"/>
        <v>14.523000000000025</v>
      </c>
      <c r="Q965">
        <f>VALUE(IF(AND(ISERR(FIND(".",'Raw Data'!Q965)),LEN('Raw Data'!Q965)=5), IF(YEAR('Raw Data'!Q965)=2026,CONCATENATE(DAY('Raw Data'!Q965),".",IF(LEN(MONTH('Raw Data'!Q965))=2,MONTH('Raw Data'!Q965),CONCATENATE(MONTH('Raw Data'!Q965)))),CONCATENATE(MONTH('Raw Data'!Q965),".",RIGHT(YEAR('Raw Data'!Q965),2))),'Raw Data'!Q965))</f>
        <v>6.7</v>
      </c>
    </row>
    <row r="966" spans="1:17">
      <c r="A966" t="s">
        <v>1053</v>
      </c>
      <c r="B966" t="s">
        <v>34</v>
      </c>
      <c r="C966" t="s">
        <v>35</v>
      </c>
      <c r="D966" t="s">
        <v>27</v>
      </c>
      <c r="E966" t="s">
        <v>30</v>
      </c>
      <c r="F966" t="s">
        <v>40</v>
      </c>
      <c r="G966">
        <f>VALUE(IF(AND(ISERR(FIND(".",'Raw Data'!G966)),LEN('Raw Data'!G966)=5), IF(YEAR('Raw Data'!G966)=2026,CONCATENATE(DAY('Raw Data'!G966),".",IF(LEN(MONTH('Raw Data'!G966))=2,MONTH('Raw Data'!G966),CONCATENATE("0",MONTH('Raw Data'!G966)))),CONCATENATE(MONTH('Raw Data'!G966),".",RIGHT(YEAR('Raw Data'!G966),2))),'Raw Data'!G966))</f>
        <v>33.33</v>
      </c>
      <c r="H966">
        <f>'Raw Data'!H966</f>
        <v>2</v>
      </c>
      <c r="I966" s="6">
        <f t="shared" si="45"/>
        <v>3.3329999999999984</v>
      </c>
      <c r="J966" s="6">
        <f>'Raw Data'!J966</f>
        <v>69.992999999999995</v>
      </c>
      <c r="K966" s="1">
        <f>VALUE(IFERROR(VALUE('Raw Data'!K966),CONCATENATE(MID('Raw Data'!K966,3,2),".","0",LEFT('Raw Data'!K966,1),".", RIGHT('Raw Data'!K966,4))))</f>
        <v>43491</v>
      </c>
      <c r="L966" s="2">
        <f>'Raw Data'!L966</f>
        <v>0.6118055555555556</v>
      </c>
      <c r="M966" t="s">
        <v>33</v>
      </c>
      <c r="N966">
        <f>VALUE(IF(AND(ISERR(FIND(".",'Raw Data'!N966)),LEN('Raw Data'!N966)=5), IF(YEAR('Raw Data'!N966)=2026,CONCATENATE(DAY('Raw Data'!N966),".",IF(LEN(MONTH('Raw Data'!N966))=2,MONTH('Raw Data'!N966),CONCATENATE("0",MONTH('Raw Data'!N966)))),CONCATENATE(MONTH('Raw Data'!N966),".",RIGHT(YEAR('Raw Data'!N966),2))),'Raw Data'!N966))</f>
        <v>66.66</v>
      </c>
      <c r="O966" s="6">
        <f t="shared" si="46"/>
        <v>4.7619047619047601</v>
      </c>
      <c r="P966" s="6">
        <f t="shared" si="47"/>
        <v>3.3329999999999984</v>
      </c>
      <c r="Q966">
        <f>VALUE(IF(AND(ISERR(FIND(".",'Raw Data'!Q966)),LEN('Raw Data'!Q966)=5), IF(YEAR('Raw Data'!Q966)=2026,CONCATENATE(DAY('Raw Data'!Q966),".",IF(LEN(MONTH('Raw Data'!Q966))=2,MONTH('Raw Data'!Q966),CONCATENATE(MONTH('Raw Data'!Q966)))),CONCATENATE(MONTH('Raw Data'!Q966),".",RIGHT(YEAR('Raw Data'!Q966),2))),'Raw Data'!Q966))</f>
        <v>6.4</v>
      </c>
    </row>
    <row r="967" spans="1:17">
      <c r="A967" t="s">
        <v>1054</v>
      </c>
      <c r="B967" t="s">
        <v>34</v>
      </c>
      <c r="C967" t="s">
        <v>35</v>
      </c>
      <c r="D967" t="s">
        <v>27</v>
      </c>
      <c r="E967" t="s">
        <v>21</v>
      </c>
      <c r="F967" t="s">
        <v>28</v>
      </c>
      <c r="G967">
        <f>VALUE(IF(AND(ISERR(FIND(".",'Raw Data'!G967)),LEN('Raw Data'!G967)=5), IF(YEAR('Raw Data'!G967)=2026,CONCATENATE(DAY('Raw Data'!G967),".",IF(LEN(MONTH('Raw Data'!G967))=2,MONTH('Raw Data'!G967),CONCATENATE("0",MONTH('Raw Data'!G967)))),CONCATENATE(MONTH('Raw Data'!G967),".",RIGHT(YEAR('Raw Data'!G967),2))),'Raw Data'!G967))</f>
        <v>38.270000000000003</v>
      </c>
      <c r="H967">
        <f>'Raw Data'!H967</f>
        <v>2</v>
      </c>
      <c r="I967" s="6">
        <f t="shared" si="45"/>
        <v>3.8269999999999982</v>
      </c>
      <c r="J967" s="6">
        <f>'Raw Data'!J967</f>
        <v>80.367000000000004</v>
      </c>
      <c r="K967" s="1">
        <f>VALUE(IFERROR(VALUE('Raw Data'!K967),CONCATENATE(MID('Raw Data'!K967,3,2),".","0",LEFT('Raw Data'!K967,1),".", RIGHT('Raw Data'!K967,4))))</f>
        <v>43499</v>
      </c>
      <c r="L967" s="2">
        <f>'Raw Data'!L967</f>
        <v>0.76250000000000007</v>
      </c>
      <c r="M967" t="s">
        <v>33</v>
      </c>
      <c r="N967">
        <f>VALUE(IF(AND(ISERR(FIND(".",'Raw Data'!N967)),LEN('Raw Data'!N967)=5), IF(YEAR('Raw Data'!N967)=2026,CONCATENATE(DAY('Raw Data'!N967),".",IF(LEN(MONTH('Raw Data'!N967))=2,MONTH('Raw Data'!N967),CONCATENATE("0",MONTH('Raw Data'!N967)))),CONCATENATE(MONTH('Raw Data'!N967),".",RIGHT(YEAR('Raw Data'!N967),2))),'Raw Data'!N967))</f>
        <v>76.540000000000006</v>
      </c>
      <c r="O967" s="6">
        <f t="shared" si="46"/>
        <v>4.7619047619047592</v>
      </c>
      <c r="P967" s="6">
        <f t="shared" si="47"/>
        <v>3.8269999999999982</v>
      </c>
      <c r="Q967">
        <f>VALUE(IF(AND(ISERR(FIND(".",'Raw Data'!Q967)),LEN('Raw Data'!Q967)=5), IF(YEAR('Raw Data'!Q967)=2026,CONCATENATE(DAY('Raw Data'!Q967),".",IF(LEN(MONTH('Raw Data'!Q967))=2,MONTH('Raw Data'!Q967),CONCATENATE(MONTH('Raw Data'!Q967)))),CONCATENATE(MONTH('Raw Data'!Q967),".",RIGHT(YEAR('Raw Data'!Q967),2))),'Raw Data'!Q967))</f>
        <v>5.8</v>
      </c>
    </row>
    <row r="968" spans="1:17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f>VALUE(IF(AND(ISERR(FIND(".",'Raw Data'!G968)),LEN('Raw Data'!G968)=5), IF(YEAR('Raw Data'!G968)=2026,CONCATENATE(DAY('Raw Data'!G968),".",IF(LEN(MONTH('Raw Data'!G968))=2,MONTH('Raw Data'!G968),CONCATENATE("0",MONTH('Raw Data'!G968)))),CONCATENATE(MONTH('Raw Data'!G968),".",RIGHT(YEAR('Raw Data'!G968),2))),'Raw Data'!G968))</f>
        <v>33.299999999999997</v>
      </c>
      <c r="H968">
        <f>'Raw Data'!H968</f>
        <v>9</v>
      </c>
      <c r="I968" s="6">
        <f t="shared" si="45"/>
        <v>14.985000000000014</v>
      </c>
      <c r="J968" s="6">
        <f>'Raw Data'!J968</f>
        <v>314.685</v>
      </c>
      <c r="K968" s="1">
        <f>VALUE(IFERROR(VALUE('Raw Data'!K968),CONCATENATE(MID('Raw Data'!K968,3,2),".","0",LEFT('Raw Data'!K968,1),".", RIGHT('Raw Data'!K968,4))))</f>
        <v>43558</v>
      </c>
      <c r="L968" s="2">
        <f>'Raw Data'!L968</f>
        <v>0.64374999999999993</v>
      </c>
      <c r="M968" t="s">
        <v>23</v>
      </c>
      <c r="N968">
        <f>VALUE(IF(AND(ISERR(FIND(".",'Raw Data'!N968)),LEN('Raw Data'!N968)=5), IF(YEAR('Raw Data'!N968)=2026,CONCATENATE(DAY('Raw Data'!N968),".",IF(LEN(MONTH('Raw Data'!N968))=2,MONTH('Raw Data'!N968),CONCATENATE("0",MONTH('Raw Data'!N968)))),CONCATENATE(MONTH('Raw Data'!N968),".",RIGHT(YEAR('Raw Data'!N968),2))),'Raw Data'!N968))</f>
        <v>299.7</v>
      </c>
      <c r="O968" s="6">
        <f t="shared" si="46"/>
        <v>4.7619047619047663</v>
      </c>
      <c r="P968" s="6">
        <f t="shared" si="47"/>
        <v>14.985000000000014</v>
      </c>
      <c r="Q968">
        <f>VALUE(IF(AND(ISERR(FIND(".",'Raw Data'!Q968)),LEN('Raw Data'!Q968)=5), IF(YEAR('Raw Data'!Q968)=2026,CONCATENATE(DAY('Raw Data'!Q968),".",IF(LEN(MONTH('Raw Data'!Q968))=2,MONTH('Raw Data'!Q968),CONCATENATE(MONTH('Raw Data'!Q968)))),CONCATENATE(MONTH('Raw Data'!Q968),".",RIGHT(YEAR('Raw Data'!Q968),2))),'Raw Data'!Q968))</f>
        <v>7.2</v>
      </c>
    </row>
    <row r="969" spans="1:17">
      <c r="A969" t="s">
        <v>1056</v>
      </c>
      <c r="B969" t="s">
        <v>18</v>
      </c>
      <c r="C969" t="s">
        <v>19</v>
      </c>
      <c r="D969" t="s">
        <v>20</v>
      </c>
      <c r="E969" t="s">
        <v>30</v>
      </c>
      <c r="F969" t="s">
        <v>32</v>
      </c>
      <c r="G969">
        <f>VALUE(IF(AND(ISERR(FIND(".",'Raw Data'!G969)),LEN('Raw Data'!G969)=5), IF(YEAR('Raw Data'!G969)=2026,CONCATENATE(DAY('Raw Data'!G969),".",IF(LEN(MONTH('Raw Data'!G969))=2,MONTH('Raw Data'!G969),CONCATENATE("0",MONTH('Raw Data'!G969)))),CONCATENATE(MONTH('Raw Data'!G969),".",RIGHT(YEAR('Raw Data'!G969),2))),'Raw Data'!G969))</f>
        <v>81.010000000000005</v>
      </c>
      <c r="H969">
        <f>'Raw Data'!H969</f>
        <v>3</v>
      </c>
      <c r="I969" s="6">
        <f t="shared" si="45"/>
        <v>12.15149999999997</v>
      </c>
      <c r="J969" s="6">
        <f>'Raw Data'!J969</f>
        <v>255.1815</v>
      </c>
      <c r="K969" s="1">
        <f>VALUE(IFERROR(VALUE('Raw Data'!K969),CONCATENATE(MID('Raw Data'!K969,3,2),".","0",LEFT('Raw Data'!K969,1),".", RIGHT('Raw Data'!K969,4))))</f>
        <v>43478</v>
      </c>
      <c r="L969" s="2">
        <f>'Raw Data'!L969</f>
        <v>0.53819444444444442</v>
      </c>
      <c r="M969" t="s">
        <v>33</v>
      </c>
      <c r="N969">
        <f>VALUE(IF(AND(ISERR(FIND(".",'Raw Data'!N969)),LEN('Raw Data'!N969)=5), IF(YEAR('Raw Data'!N969)=2026,CONCATENATE(DAY('Raw Data'!N969),".",IF(LEN(MONTH('Raw Data'!N969))=2,MONTH('Raw Data'!N969),CONCATENATE("0",MONTH('Raw Data'!N969)))),CONCATENATE(MONTH('Raw Data'!N969),".",RIGHT(YEAR('Raw Data'!N969),2))),'Raw Data'!N969))</f>
        <v>243.03</v>
      </c>
      <c r="O969" s="6">
        <f t="shared" si="46"/>
        <v>4.7619047619047619</v>
      </c>
      <c r="P969" s="6">
        <f t="shared" si="47"/>
        <v>12.151499999999999</v>
      </c>
      <c r="Q969">
        <f>VALUE(IF(AND(ISERR(FIND(".",'Raw Data'!Q969)),LEN('Raw Data'!Q969)=5), IF(YEAR('Raw Data'!Q969)=2026,CONCATENATE(DAY('Raw Data'!Q969),".",IF(LEN(MONTH('Raw Data'!Q969))=2,MONTH('Raw Data'!Q969),CONCATENATE(MONTH('Raw Data'!Q969)))),CONCATENATE(MONTH('Raw Data'!Q969),".",RIGHT(YEAR('Raw Data'!Q969),2))),'Raw Data'!Q969))</f>
        <v>9.3000000000000007</v>
      </c>
    </row>
    <row r="970" spans="1:17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f>VALUE(IF(AND(ISERR(FIND(".",'Raw Data'!G970)),LEN('Raw Data'!G970)=5), IF(YEAR('Raw Data'!G970)=2026,CONCATENATE(DAY('Raw Data'!G970),".",IF(LEN(MONTH('Raw Data'!G970))=2,MONTH('Raw Data'!G970),CONCATENATE("0",MONTH('Raw Data'!G970)))),CONCATENATE(MONTH('Raw Data'!G970),".",RIGHT(YEAR('Raw Data'!G970),2))),'Raw Data'!G970))</f>
        <v>15.08</v>
      </c>
      <c r="H970">
        <f>'Raw Data'!H970</f>
        <v>3</v>
      </c>
      <c r="I970" s="6">
        <f t="shared" si="45"/>
        <v>4.5300000000000011</v>
      </c>
      <c r="J970" s="6">
        <f>'Raw Data'!J970</f>
        <v>49.77</v>
      </c>
      <c r="K970" s="1">
        <f>VALUE(IFERROR(VALUE('Raw Data'!K970),CONCATENATE(MID('Raw Data'!K970,3,2),".","0",LEFT('Raw Data'!K970,1),".", RIGHT('Raw Data'!K970,4))))</f>
        <v>43549</v>
      </c>
      <c r="L970" s="2">
        <f>'Raw Data'!L970</f>
        <v>0.75138888888888899</v>
      </c>
      <c r="M970" t="s">
        <v>29</v>
      </c>
      <c r="N970">
        <f>VALUE(IF(AND(ISERR(FIND(".",'Raw Data'!N970)),LEN('Raw Data'!N970)=5), IF(YEAR('Raw Data'!N970)=2026,CONCATENATE(DAY('Raw Data'!N970),".",IF(LEN(MONTH('Raw Data'!N970))=2,MONTH('Raw Data'!N970),CONCATENATE("0",MONTH('Raw Data'!N970)))),CONCATENATE(MONTH('Raw Data'!N970),".",RIGHT(YEAR('Raw Data'!N970),2))),'Raw Data'!N970))</f>
        <v>47.4</v>
      </c>
      <c r="O970" s="6">
        <f t="shared" si="46"/>
        <v>4.7619047619047707</v>
      </c>
      <c r="P970" s="6">
        <f t="shared" si="47"/>
        <v>2.3700000000000045</v>
      </c>
      <c r="Q970">
        <f>VALUE(IF(AND(ISERR(FIND(".",'Raw Data'!Q970)),LEN('Raw Data'!Q970)=5), IF(YEAR('Raw Data'!Q970)=2026,CONCATENATE(DAY('Raw Data'!Q970),".",IF(LEN(MONTH('Raw Data'!Q970))=2,MONTH('Raw Data'!Q970),CONCATENATE(MONTH('Raw Data'!Q970)))),CONCATENATE(MONTH('Raw Data'!Q970),".",RIGHT(YEAR('Raw Data'!Q970),2))),'Raw Data'!Q970))</f>
        <v>9.5</v>
      </c>
    </row>
    <row r="971" spans="1:17">
      <c r="A971" t="s">
        <v>1058</v>
      </c>
      <c r="B971" t="s">
        <v>34</v>
      </c>
      <c r="C971" t="s">
        <v>35</v>
      </c>
      <c r="D971" t="s">
        <v>20</v>
      </c>
      <c r="E971" t="s">
        <v>21</v>
      </c>
      <c r="F971" t="s">
        <v>28</v>
      </c>
      <c r="G971">
        <f>VALUE(IF(AND(ISERR(FIND(".",'Raw Data'!G971)),LEN('Raw Data'!G971)=5), IF(YEAR('Raw Data'!G971)=2026,CONCATENATE(DAY('Raw Data'!G971),".",IF(LEN(MONTH('Raw Data'!G971))=2,MONTH('Raw Data'!G971),CONCATENATE("0",MONTH('Raw Data'!G971)))),CONCATENATE(MONTH('Raw Data'!G971),".",RIGHT(YEAR('Raw Data'!G971),2))),'Raw Data'!G971))</f>
        <v>34.49</v>
      </c>
      <c r="H971">
        <f>'Raw Data'!H971</f>
        <v>5</v>
      </c>
      <c r="I971" s="6">
        <f t="shared" si="45"/>
        <v>8.6224999999999739</v>
      </c>
      <c r="J971" s="6">
        <f>'Raw Data'!J971</f>
        <v>181.07249999999999</v>
      </c>
      <c r="K971" s="1">
        <f>VALUE(IFERROR(VALUE('Raw Data'!K971),CONCATENATE(MID('Raw Data'!K971,3,2),".","0",LEFT('Raw Data'!K971,1),".", RIGHT('Raw Data'!K971,4))))</f>
        <v>43772</v>
      </c>
      <c r="L971" s="2">
        <f>'Raw Data'!L971</f>
        <v>0.8222222222222223</v>
      </c>
      <c r="M971" t="s">
        <v>33</v>
      </c>
      <c r="N971">
        <f>VALUE(IF(AND(ISERR(FIND(".",'Raw Data'!N971)),LEN('Raw Data'!N971)=5), IF(YEAR('Raw Data'!N971)=2026,CONCATENATE(DAY('Raw Data'!N971),".",IF(LEN(MONTH('Raw Data'!N971))=2,MONTH('Raw Data'!N971),CONCATENATE("0",MONTH('Raw Data'!N971)))),CONCATENATE(MONTH('Raw Data'!N971),".",RIGHT(YEAR('Raw Data'!N971),2))),'Raw Data'!N971))</f>
        <v>172.45</v>
      </c>
      <c r="O971" s="6">
        <f t="shared" si="46"/>
        <v>4.7619047619047636</v>
      </c>
      <c r="P971" s="6">
        <f t="shared" si="47"/>
        <v>8.6225000000000023</v>
      </c>
      <c r="Q971">
        <f>VALUE(IF(AND(ISERR(FIND(".",'Raw Data'!Q971)),LEN('Raw Data'!Q971)=5), IF(YEAR('Raw Data'!Q971)=2026,CONCATENATE(DAY('Raw Data'!Q971),".",IF(LEN(MONTH('Raw Data'!Q971))=2,MONTH('Raw Data'!Q971),CONCATENATE(MONTH('Raw Data'!Q971)))),CONCATENATE(MONTH('Raw Data'!Q971),".",RIGHT(YEAR('Raw Data'!Q971),2))),'Raw Data'!Q971))</f>
        <v>9</v>
      </c>
    </row>
    <row r="972" spans="1:17">
      <c r="A972" t="s">
        <v>1059</v>
      </c>
      <c r="B972" t="s">
        <v>34</v>
      </c>
      <c r="C972" t="s">
        <v>35</v>
      </c>
      <c r="D972" t="s">
        <v>20</v>
      </c>
      <c r="E972" t="s">
        <v>21</v>
      </c>
      <c r="F972" t="s">
        <v>40</v>
      </c>
      <c r="G972">
        <f>VALUE(IF(AND(ISERR(FIND(".",'Raw Data'!G972)),LEN('Raw Data'!G972)=5), IF(YEAR('Raw Data'!G972)=2026,CONCATENATE(DAY('Raw Data'!G972),".",IF(LEN(MONTH('Raw Data'!G972))=2,MONTH('Raw Data'!G972),CONCATENATE("0",MONTH('Raw Data'!G972)))),CONCATENATE(MONTH('Raw Data'!G972),".",RIGHT(YEAR('Raw Data'!G972),2))),'Raw Data'!G972))</f>
        <v>84.63</v>
      </c>
      <c r="H972">
        <f>'Raw Data'!H972</f>
        <v>10</v>
      </c>
      <c r="I972" s="6">
        <f t="shared" si="45"/>
        <v>42.315000000000055</v>
      </c>
      <c r="J972" s="6">
        <f>'Raw Data'!J972</f>
        <v>888.61500000000001</v>
      </c>
      <c r="K972" s="1">
        <f>VALUE(IFERROR(VALUE('Raw Data'!K972),CONCATENATE(MID('Raw Data'!K972,3,2),".","0",LEFT('Raw Data'!K972,1),".", RIGHT('Raw Data'!K972,4))))</f>
        <v>43466</v>
      </c>
      <c r="L972" s="2">
        <f>'Raw Data'!L972</f>
        <v>0.48333333333333334</v>
      </c>
      <c r="M972" t="s">
        <v>33</v>
      </c>
      <c r="N972">
        <f>VALUE(IF(AND(ISERR(FIND(".",'Raw Data'!N972)),LEN('Raw Data'!N972)=5), IF(YEAR('Raw Data'!N972)=2026,CONCATENATE(DAY('Raw Data'!N972),".",IF(LEN(MONTH('Raw Data'!N972))=2,MONTH('Raw Data'!N972),CONCATENATE("0",MONTH('Raw Data'!N972)))),CONCATENATE(MONTH('Raw Data'!N972),".",RIGHT(YEAR('Raw Data'!N972),2))),'Raw Data'!N972))</f>
        <v>846.3</v>
      </c>
      <c r="O972" s="6">
        <f t="shared" si="46"/>
        <v>4.7619047619047681</v>
      </c>
      <c r="P972" s="6">
        <f t="shared" si="47"/>
        <v>42.315000000000055</v>
      </c>
      <c r="Q972">
        <f>VALUE(IF(AND(ISERR(FIND(".",'Raw Data'!Q972)),LEN('Raw Data'!Q972)=5), IF(YEAR('Raw Data'!Q972)=2026,CONCATENATE(DAY('Raw Data'!Q972),".",IF(LEN(MONTH('Raw Data'!Q972))=2,MONTH('Raw Data'!Q972),CONCATENATE(MONTH('Raw Data'!Q972)))),CONCATENATE(MONTH('Raw Data'!Q972),".",RIGHT(YEAR('Raw Data'!Q972),2))),'Raw Data'!Q972))</f>
        <v>9</v>
      </c>
    </row>
    <row r="973" spans="1:17">
      <c r="A973" t="s">
        <v>1060</v>
      </c>
      <c r="B973" t="s">
        <v>34</v>
      </c>
      <c r="C973" t="s">
        <v>35</v>
      </c>
      <c r="D973" t="s">
        <v>20</v>
      </c>
      <c r="E973" t="s">
        <v>30</v>
      </c>
      <c r="F973" t="s">
        <v>32</v>
      </c>
      <c r="G973">
        <f>VALUE(IF(AND(ISERR(FIND(".",'Raw Data'!G973)),LEN('Raw Data'!G973)=5), IF(YEAR('Raw Data'!G973)=2026,CONCATENATE(DAY('Raw Data'!G973),".",IF(LEN(MONTH('Raw Data'!G973))=2,MONTH('Raw Data'!G973),CONCATENATE("0",MONTH('Raw Data'!G973)))),CONCATENATE(MONTH('Raw Data'!G973),".",RIGHT(YEAR('Raw Data'!G973),2))),'Raw Data'!G973))</f>
        <v>36.909999999999997</v>
      </c>
      <c r="H973">
        <f>'Raw Data'!H973</f>
        <v>7</v>
      </c>
      <c r="I973" s="6">
        <f t="shared" si="45"/>
        <v>12.918499999999995</v>
      </c>
      <c r="J973" s="6">
        <f>'Raw Data'!J973</f>
        <v>271.2885</v>
      </c>
      <c r="K973" s="1">
        <f>VALUE(IFERROR(VALUE('Raw Data'!K973),CONCATENATE(MID('Raw Data'!K973,3,2),".","0",LEFT('Raw Data'!K973,1),".", RIGHT('Raw Data'!K973,4))))</f>
        <v>43740</v>
      </c>
      <c r="L973" s="2">
        <f>'Raw Data'!L973</f>
        <v>0.57708333333333328</v>
      </c>
      <c r="M973" t="s">
        <v>23</v>
      </c>
      <c r="N973">
        <f>VALUE(IF(AND(ISERR(FIND(".",'Raw Data'!N973)),LEN('Raw Data'!N973)=5), IF(YEAR('Raw Data'!N973)=2026,CONCATENATE(DAY('Raw Data'!N973),".",IF(LEN(MONTH('Raw Data'!N973))=2,MONTH('Raw Data'!N973),CONCATENATE("0",MONTH('Raw Data'!N973)))),CONCATENATE(MONTH('Raw Data'!N973),".",RIGHT(YEAR('Raw Data'!N973),2))),'Raw Data'!N973))</f>
        <v>258.37</v>
      </c>
      <c r="O973" s="6">
        <f t="shared" si="46"/>
        <v>4.7619047619047601</v>
      </c>
      <c r="P973" s="6">
        <f t="shared" si="47"/>
        <v>12.918499999999995</v>
      </c>
      <c r="Q973">
        <f>VALUE(IF(AND(ISERR(FIND(".",'Raw Data'!Q973)),LEN('Raw Data'!Q973)=5), IF(YEAR('Raw Data'!Q973)=2026,CONCATENATE(DAY('Raw Data'!Q973),".",IF(LEN(MONTH('Raw Data'!Q973))=2,MONTH('Raw Data'!Q973),CONCATENATE(MONTH('Raw Data'!Q973)))),CONCATENATE(MONTH('Raw Data'!Q973),".",RIGHT(YEAR('Raw Data'!Q973),2))),'Raw Data'!Q973))</f>
        <v>6.7</v>
      </c>
    </row>
    <row r="974" spans="1:17">
      <c r="A974" t="s">
        <v>1061</v>
      </c>
      <c r="B974" t="s">
        <v>34</v>
      </c>
      <c r="C974" t="s">
        <v>35</v>
      </c>
      <c r="D974" t="s">
        <v>27</v>
      </c>
      <c r="E974" t="s">
        <v>30</v>
      </c>
      <c r="F974" t="s">
        <v>28</v>
      </c>
      <c r="G974">
        <f>VALUE(IF(AND(ISERR(FIND(".",'Raw Data'!G974)),LEN('Raw Data'!G974)=5), IF(YEAR('Raw Data'!G974)=2026,CONCATENATE(DAY('Raw Data'!G974),".",IF(LEN(MONTH('Raw Data'!G974))=2,MONTH('Raw Data'!G974),CONCATENATE("0",MONTH('Raw Data'!G974)))),CONCATENATE(MONTH('Raw Data'!G974),".",RIGHT(YEAR('Raw Data'!G974),2))),'Raw Data'!G974))</f>
        <v>87.08</v>
      </c>
      <c r="H974">
        <f>'Raw Data'!H974</f>
        <v>7</v>
      </c>
      <c r="I974" s="6">
        <f t="shared" si="45"/>
        <v>30.478000000000065</v>
      </c>
      <c r="J974" s="6">
        <f>'Raw Data'!J974</f>
        <v>640.03800000000001</v>
      </c>
      <c r="K974" s="1">
        <f>VALUE(IFERROR(VALUE('Raw Data'!K974),CONCATENATE(MID('Raw Data'!K974,3,2),".","0",LEFT('Raw Data'!K974,1),".", RIGHT('Raw Data'!K974,4))))</f>
        <v>43491</v>
      </c>
      <c r="L974" s="2">
        <f>'Raw Data'!L974</f>
        <v>0.63680555555555551</v>
      </c>
      <c r="M974" t="s">
        <v>29</v>
      </c>
      <c r="N974">
        <f>VALUE(IF(AND(ISERR(FIND(".",'Raw Data'!N974)),LEN('Raw Data'!N974)=5), IF(YEAR('Raw Data'!N974)=2026,CONCATENATE(DAY('Raw Data'!N974),".",IF(LEN(MONTH('Raw Data'!N974))=2,MONTH('Raw Data'!N974),CONCATENATE("0",MONTH('Raw Data'!N974)))),CONCATENATE(MONTH('Raw Data'!N974),".",RIGHT(YEAR('Raw Data'!N974),2))),'Raw Data'!N974))</f>
        <v>609.55999999999995</v>
      </c>
      <c r="O974" s="6">
        <f t="shared" si="46"/>
        <v>4.7619047619047716</v>
      </c>
      <c r="P974" s="6">
        <f t="shared" si="47"/>
        <v>30.478000000000065</v>
      </c>
      <c r="Q974">
        <f>VALUE(IF(AND(ISERR(FIND(".",'Raw Data'!Q974)),LEN('Raw Data'!Q974)=5), IF(YEAR('Raw Data'!Q974)=2026,CONCATENATE(DAY('Raw Data'!Q974),".",IF(LEN(MONTH('Raw Data'!Q974))=2,MONTH('Raw Data'!Q974),CONCATENATE(MONTH('Raw Data'!Q974)))),CONCATENATE(MONTH('Raw Data'!Q974),".",RIGHT(YEAR('Raw Data'!Q974),2))),'Raw Data'!Q974))</f>
        <v>5.5</v>
      </c>
    </row>
    <row r="975" spans="1:17">
      <c r="A975" t="s">
        <v>1062</v>
      </c>
      <c r="B975" t="s">
        <v>18</v>
      </c>
      <c r="C975" t="s">
        <v>19</v>
      </c>
      <c r="D975" t="s">
        <v>27</v>
      </c>
      <c r="E975" t="s">
        <v>30</v>
      </c>
      <c r="F975" t="s">
        <v>32</v>
      </c>
      <c r="G975">
        <f>VALUE(IF(AND(ISERR(FIND(".",'Raw Data'!G975)),LEN('Raw Data'!G975)=5), IF(YEAR('Raw Data'!G975)=2026,CONCATENATE(DAY('Raw Data'!G975),".",IF(LEN(MONTH('Raw Data'!G975))=2,MONTH('Raw Data'!G975),CONCATENATE("0",MONTH('Raw Data'!G975)))),CONCATENATE(MONTH('Raw Data'!G975),".",RIGHT(YEAR('Raw Data'!G975),2))),'Raw Data'!G975))</f>
        <v>80.08</v>
      </c>
      <c r="H975">
        <f>'Raw Data'!H975</f>
        <v>3</v>
      </c>
      <c r="I975" s="6">
        <f t="shared" si="45"/>
        <v>12.012</v>
      </c>
      <c r="J975" s="6">
        <f>'Raw Data'!J975</f>
        <v>252.25200000000001</v>
      </c>
      <c r="K975" s="1">
        <f>VALUE(IFERROR(VALUE('Raw Data'!K975),CONCATENATE(MID('Raw Data'!K975,3,2),".","0",LEFT('Raw Data'!K975,1),".", RIGHT('Raw Data'!K975,4))))</f>
        <v>43771</v>
      </c>
      <c r="L975" s="2">
        <f>'Raw Data'!L975</f>
        <v>0.64513888888888882</v>
      </c>
      <c r="M975" t="s">
        <v>29</v>
      </c>
      <c r="N975">
        <f>VALUE(IF(AND(ISERR(FIND(".",'Raw Data'!N975)),LEN('Raw Data'!N975)=5), IF(YEAR('Raw Data'!N975)=2026,CONCATENATE(DAY('Raw Data'!N975),".",IF(LEN(MONTH('Raw Data'!N975))=2,MONTH('Raw Data'!N975),CONCATENATE("0",MONTH('Raw Data'!N975)))),CONCATENATE(MONTH('Raw Data'!N975),".",RIGHT(YEAR('Raw Data'!N975),2))),'Raw Data'!N975))</f>
        <v>240.24</v>
      </c>
      <c r="O975" s="6">
        <f t="shared" si="46"/>
        <v>4.7619047619047619</v>
      </c>
      <c r="P975" s="6">
        <f t="shared" si="47"/>
        <v>12.012</v>
      </c>
      <c r="Q975">
        <f>VALUE(IF(AND(ISERR(FIND(".",'Raw Data'!Q975)),LEN('Raw Data'!Q975)=5), IF(YEAR('Raw Data'!Q975)=2026,CONCATENATE(DAY('Raw Data'!Q975),".",IF(LEN(MONTH('Raw Data'!Q975))=2,MONTH('Raw Data'!Q975),CONCATENATE(MONTH('Raw Data'!Q975)))),CONCATENATE(MONTH('Raw Data'!Q975),".",RIGHT(YEAR('Raw Data'!Q975),2))),'Raw Data'!Q975))</f>
        <v>5.4</v>
      </c>
    </row>
    <row r="976" spans="1:17">
      <c r="A976" t="s">
        <v>1063</v>
      </c>
      <c r="B976" t="s">
        <v>25</v>
      </c>
      <c r="C976" t="s">
        <v>26</v>
      </c>
      <c r="D976" t="s">
        <v>27</v>
      </c>
      <c r="E976" t="s">
        <v>30</v>
      </c>
      <c r="F976" t="s">
        <v>43</v>
      </c>
      <c r="G976">
        <f>VALUE(IF(AND(ISERR(FIND(".",'Raw Data'!G976)),LEN('Raw Data'!G976)=5), IF(YEAR('Raw Data'!G976)=2026,CONCATENATE(DAY('Raw Data'!G976),".",IF(LEN(MONTH('Raw Data'!G976))=2,MONTH('Raw Data'!G976),CONCATENATE("0",MONTH('Raw Data'!G976)))),CONCATENATE(MONTH('Raw Data'!G976),".",RIGHT(YEAR('Raw Data'!G976),2))),'Raw Data'!G976))</f>
        <v>86.13</v>
      </c>
      <c r="H976">
        <f>'Raw Data'!H976</f>
        <v>2</v>
      </c>
      <c r="I976" s="6">
        <f t="shared" si="45"/>
        <v>8.6129999999999995</v>
      </c>
      <c r="J976" s="6">
        <f>'Raw Data'!J976</f>
        <v>180.87299999999999</v>
      </c>
      <c r="K976" s="1">
        <f>VALUE(IFERROR(VALUE('Raw Data'!K976),CONCATENATE(MID('Raw Data'!K976,3,2),".","0",LEFT('Raw Data'!K976,1),".", RIGHT('Raw Data'!K976,4))))</f>
        <v>43648</v>
      </c>
      <c r="L976" s="2">
        <f>'Raw Data'!L976</f>
        <v>0.74930555555555556</v>
      </c>
      <c r="M976" t="s">
        <v>29</v>
      </c>
      <c r="N976">
        <f>VALUE(IF(AND(ISERR(FIND(".",'Raw Data'!N976)),LEN('Raw Data'!N976)=5), IF(YEAR('Raw Data'!N976)=2026,CONCATENATE(DAY('Raw Data'!N976),".",IF(LEN(MONTH('Raw Data'!N976))=2,MONTH('Raw Data'!N976),CONCATENATE("0",MONTH('Raw Data'!N976)))),CONCATENATE(MONTH('Raw Data'!N976),".",RIGHT(YEAR('Raw Data'!N976),2))),'Raw Data'!N976))</f>
        <v>172.26</v>
      </c>
      <c r="O976" s="6">
        <f t="shared" si="46"/>
        <v>4.7619047619047619</v>
      </c>
      <c r="P976" s="6">
        <f t="shared" si="47"/>
        <v>8.6129999999999995</v>
      </c>
      <c r="Q976">
        <f>VALUE(IF(AND(ISERR(FIND(".",'Raw Data'!Q976)),LEN('Raw Data'!Q976)=5), IF(YEAR('Raw Data'!Q976)=2026,CONCATENATE(DAY('Raw Data'!Q976),".",IF(LEN(MONTH('Raw Data'!Q976))=2,MONTH('Raw Data'!Q976),CONCATENATE(MONTH('Raw Data'!Q976)))),CONCATENATE(MONTH('Raw Data'!Q976),".",RIGHT(YEAR('Raw Data'!Q976),2))),'Raw Data'!Q976))</f>
        <v>8.1999999999999993</v>
      </c>
    </row>
    <row r="977" spans="1:17">
      <c r="A977" t="s">
        <v>1064</v>
      </c>
      <c r="B977" t="s">
        <v>34</v>
      </c>
      <c r="C977" t="s">
        <v>35</v>
      </c>
      <c r="D977" t="s">
        <v>20</v>
      </c>
      <c r="E977" t="s">
        <v>30</v>
      </c>
      <c r="F977" t="s">
        <v>43</v>
      </c>
      <c r="G977">
        <f>VALUE(IF(AND(ISERR(FIND(".",'Raw Data'!G977)),LEN('Raw Data'!G977)=5), IF(YEAR('Raw Data'!G977)=2026,CONCATENATE(DAY('Raw Data'!G977),".",IF(LEN(MONTH('Raw Data'!G977))=2,MONTH('Raw Data'!G977),CONCATENATE("0",MONTH('Raw Data'!G977)))),CONCATENATE(MONTH('Raw Data'!G977),".",RIGHT(YEAR('Raw Data'!G977),2))),'Raw Data'!G977))</f>
        <v>49.92</v>
      </c>
      <c r="H977">
        <f>'Raw Data'!H977</f>
        <v>2</v>
      </c>
      <c r="I977" s="6">
        <f t="shared" si="45"/>
        <v>4.9919999999999902</v>
      </c>
      <c r="J977" s="6">
        <f>'Raw Data'!J977</f>
        <v>104.83199999999999</v>
      </c>
      <c r="K977" s="1">
        <f>VALUE(IFERROR(VALUE('Raw Data'!K977),CONCATENATE(MID('Raw Data'!K977,3,2),".","0",LEFT('Raw Data'!K977,1),".", RIGHT('Raw Data'!K977,4))))</f>
        <v>43619</v>
      </c>
      <c r="L977" s="2">
        <f>'Raw Data'!L977</f>
        <v>0.49652777777777773</v>
      </c>
      <c r="M977" t="s">
        <v>33</v>
      </c>
      <c r="N977">
        <f>VALUE(IF(AND(ISERR(FIND(".",'Raw Data'!N977)),LEN('Raw Data'!N977)=5), IF(YEAR('Raw Data'!N977)=2026,CONCATENATE(DAY('Raw Data'!N977),".",IF(LEN(MONTH('Raw Data'!N977))=2,MONTH('Raw Data'!N977),CONCATENATE("0",MONTH('Raw Data'!N977)))),CONCATENATE(MONTH('Raw Data'!N977),".",RIGHT(YEAR('Raw Data'!N977),2))),'Raw Data'!N977))</f>
        <v>99.84</v>
      </c>
      <c r="O977" s="6">
        <f t="shared" si="46"/>
        <v>4.761904761904753</v>
      </c>
      <c r="P977" s="6">
        <f t="shared" si="47"/>
        <v>4.9919999999999902</v>
      </c>
      <c r="Q977">
        <f>VALUE(IF(AND(ISERR(FIND(".",'Raw Data'!Q977)),LEN('Raw Data'!Q977)=5), IF(YEAR('Raw Data'!Q977)=2026,CONCATENATE(DAY('Raw Data'!Q977),".",IF(LEN(MONTH('Raw Data'!Q977))=2,MONTH('Raw Data'!Q977),CONCATENATE(MONTH('Raw Data'!Q977)))),CONCATENATE(MONTH('Raw Data'!Q977),".",RIGHT(YEAR('Raw Data'!Q977),2))),'Raw Data'!Q977))</f>
        <v>7</v>
      </c>
    </row>
    <row r="978" spans="1:17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40</v>
      </c>
      <c r="G978">
        <f>VALUE(IF(AND(ISERR(FIND(".",'Raw Data'!G978)),LEN('Raw Data'!G978)=5), IF(YEAR('Raw Data'!G978)=2026,CONCATENATE(DAY('Raw Data'!G978),".",IF(LEN(MONTH('Raw Data'!G978))=2,MONTH('Raw Data'!G978),CONCATENATE("0",MONTH('Raw Data'!G978)))),CONCATENATE(MONTH('Raw Data'!G978),".",RIGHT(YEAR('Raw Data'!G978),2))),'Raw Data'!G978))</f>
        <v>74.66</v>
      </c>
      <c r="H978">
        <f>'Raw Data'!H978</f>
        <v>4</v>
      </c>
      <c r="I978" s="6">
        <f t="shared" si="45"/>
        <v>14.932000000000016</v>
      </c>
      <c r="J978" s="6">
        <f>'Raw Data'!J978</f>
        <v>313.572</v>
      </c>
      <c r="K978" s="1">
        <f>VALUE(IFERROR(VALUE('Raw Data'!K978),CONCATENATE(MID('Raw Data'!K978,3,2),".","0",LEFT('Raw Data'!K978,1),".", RIGHT('Raw Data'!K978,4))))</f>
        <v>43558</v>
      </c>
      <c r="L978" s="2">
        <f>'Raw Data'!L978</f>
        <v>0.44375000000000003</v>
      </c>
      <c r="M978" t="s">
        <v>29</v>
      </c>
      <c r="N978">
        <f>VALUE(IF(AND(ISERR(FIND(".",'Raw Data'!N978)),LEN('Raw Data'!N978)=5), IF(YEAR('Raw Data'!N978)=2026,CONCATENATE(DAY('Raw Data'!N978),".",IF(LEN(MONTH('Raw Data'!N978))=2,MONTH('Raw Data'!N978),CONCATENATE("0",MONTH('Raw Data'!N978)))),CONCATENATE(MONTH('Raw Data'!N978),".",RIGHT(YEAR('Raw Data'!N978),2))),'Raw Data'!N978))</f>
        <v>298.64</v>
      </c>
      <c r="O978" s="6">
        <f t="shared" si="46"/>
        <v>4.7619047619047672</v>
      </c>
      <c r="P978" s="6">
        <f t="shared" si="47"/>
        <v>14.932000000000016</v>
      </c>
      <c r="Q978">
        <f>VALUE(IF(AND(ISERR(FIND(".",'Raw Data'!Q978)),LEN('Raw Data'!Q978)=5), IF(YEAR('Raw Data'!Q978)=2026,CONCATENATE(DAY('Raw Data'!Q978),".",IF(LEN(MONTH('Raw Data'!Q978))=2,MONTH('Raw Data'!Q978),CONCATENATE(MONTH('Raw Data'!Q978)))),CONCATENATE(MONTH('Raw Data'!Q978),".",RIGHT(YEAR('Raw Data'!Q978),2))),'Raw Data'!Q978))</f>
        <v>8.5</v>
      </c>
    </row>
    <row r="979" spans="1:17">
      <c r="A979" t="s">
        <v>1066</v>
      </c>
      <c r="B979" t="s">
        <v>34</v>
      </c>
      <c r="C979" t="s">
        <v>35</v>
      </c>
      <c r="D979" t="s">
        <v>20</v>
      </c>
      <c r="E979" t="s">
        <v>30</v>
      </c>
      <c r="F979" t="s">
        <v>40</v>
      </c>
      <c r="G979">
        <f>VALUE(IF(AND(ISERR(FIND(".",'Raw Data'!G979)),LEN('Raw Data'!G979)=5), IF(YEAR('Raw Data'!G979)=2026,CONCATENATE(DAY('Raw Data'!G979),".",IF(LEN(MONTH('Raw Data'!G979))=2,MONTH('Raw Data'!G979),CONCATENATE("0",MONTH('Raw Data'!G979)))),CONCATENATE(MONTH('Raw Data'!G979),".",RIGHT(YEAR('Raw Data'!G979),2))),'Raw Data'!G979))</f>
        <v>26.06</v>
      </c>
      <c r="H979">
        <f>'Raw Data'!H979</f>
        <v>6</v>
      </c>
      <c r="I979" s="6">
        <f t="shared" si="45"/>
        <v>11.220000000000027</v>
      </c>
      <c r="J979" s="6">
        <f>'Raw Data'!J979</f>
        <v>167.58</v>
      </c>
      <c r="K979" s="1">
        <f>VALUE(IFERROR(VALUE('Raw Data'!K979),CONCATENATE(MID('Raw Data'!K979,3,2),".","0",LEFT('Raw Data'!K979,1),".", RIGHT('Raw Data'!K979,4))))</f>
        <v>43522</v>
      </c>
      <c r="L979" s="2">
        <f>'Raw Data'!L979</f>
        <v>0.63194444444444442</v>
      </c>
      <c r="M979" t="s">
        <v>23</v>
      </c>
      <c r="N979">
        <f>VALUE(IF(AND(ISERR(FIND(".",'Raw Data'!N979)),LEN('Raw Data'!N979)=5), IF(YEAR('Raw Data'!N979)=2026,CONCATENATE(DAY('Raw Data'!N979),".",IF(LEN(MONTH('Raw Data'!N979))=2,MONTH('Raw Data'!N979),CONCATENATE("0",MONTH('Raw Data'!N979)))),CONCATENATE(MONTH('Raw Data'!N979),".",RIGHT(YEAR('Raw Data'!N979),2))),'Raw Data'!N979))</f>
        <v>159.6</v>
      </c>
      <c r="O979" s="6">
        <f t="shared" si="46"/>
        <v>4.7619047619047725</v>
      </c>
      <c r="P979" s="6">
        <f t="shared" si="47"/>
        <v>7.9800000000000182</v>
      </c>
      <c r="Q979">
        <f>VALUE(IF(AND(ISERR(FIND(".",'Raw Data'!Q979)),LEN('Raw Data'!Q979)=5), IF(YEAR('Raw Data'!Q979)=2026,CONCATENATE(DAY('Raw Data'!Q979),".",IF(LEN(MONTH('Raw Data'!Q979))=2,MONTH('Raw Data'!Q979),CONCATENATE(MONTH('Raw Data'!Q979)))),CONCATENATE(MONTH('Raw Data'!Q979),".",RIGHT(YEAR('Raw Data'!Q979),2))),'Raw Data'!Q979))</f>
        <v>4.9000000000000004</v>
      </c>
    </row>
    <row r="980" spans="1:17">
      <c r="A980" t="s">
        <v>1067</v>
      </c>
      <c r="B980" t="s">
        <v>34</v>
      </c>
      <c r="C980" t="s">
        <v>35</v>
      </c>
      <c r="D980" t="s">
        <v>27</v>
      </c>
      <c r="E980" t="s">
        <v>21</v>
      </c>
      <c r="F980" t="s">
        <v>28</v>
      </c>
      <c r="G980">
        <f>VALUE(IF(AND(ISERR(FIND(".",'Raw Data'!G980)),LEN('Raw Data'!G980)=5), IF(YEAR('Raw Data'!G980)=2026,CONCATENATE(DAY('Raw Data'!G980),".",IF(LEN(MONTH('Raw Data'!G980))=2,MONTH('Raw Data'!G980),CONCATENATE("0",MONTH('Raw Data'!G980)))),CONCATENATE(MONTH('Raw Data'!G980),".",RIGHT(YEAR('Raw Data'!G980),2))),'Raw Data'!G980))</f>
        <v>25.45</v>
      </c>
      <c r="H980">
        <f>'Raw Data'!H980</f>
        <v>1</v>
      </c>
      <c r="I980" s="6">
        <f t="shared" si="45"/>
        <v>1.2725000000000009</v>
      </c>
      <c r="J980" s="6">
        <f>'Raw Data'!J980</f>
        <v>26.7225</v>
      </c>
      <c r="K980" s="1">
        <f>VALUE(IFERROR(VALUE('Raw Data'!K980),CONCATENATE(MID('Raw Data'!K980,3,2),".","0",LEFT('Raw Data'!K980,1),".", RIGHT('Raw Data'!K980,4))))</f>
        <v>43741</v>
      </c>
      <c r="L980" s="2">
        <f>'Raw Data'!L980</f>
        <v>0.75694444444444453</v>
      </c>
      <c r="M980" t="s">
        <v>33</v>
      </c>
      <c r="N980">
        <f>VALUE(IF(AND(ISERR(FIND(".",'Raw Data'!N980)),LEN('Raw Data'!N980)=5), IF(YEAR('Raw Data'!N980)=2026,CONCATENATE(DAY('Raw Data'!N980),".",IF(LEN(MONTH('Raw Data'!N980))=2,MONTH('Raw Data'!N980),CONCATENATE("0",MONTH('Raw Data'!N980)))),CONCATENATE(MONTH('Raw Data'!N980),".",RIGHT(YEAR('Raw Data'!N980),2))),'Raw Data'!N980))</f>
        <v>25.45</v>
      </c>
      <c r="O980" s="6">
        <f t="shared" si="46"/>
        <v>4.7619047619047654</v>
      </c>
      <c r="P980" s="6">
        <f t="shared" si="47"/>
        <v>1.2725000000000009</v>
      </c>
      <c r="Q980">
        <f>VALUE(IF(AND(ISERR(FIND(".",'Raw Data'!Q980)),LEN('Raw Data'!Q980)=5), IF(YEAR('Raw Data'!Q980)=2026,CONCATENATE(DAY('Raw Data'!Q980),".",IF(LEN(MONTH('Raw Data'!Q980))=2,MONTH('Raw Data'!Q980),CONCATENATE(MONTH('Raw Data'!Q980)))),CONCATENATE(MONTH('Raw Data'!Q980),".",RIGHT(YEAR('Raw Data'!Q980),2))),'Raw Data'!Q980))</f>
        <v>5.0999999999999996</v>
      </c>
    </row>
    <row r="981" spans="1:17">
      <c r="A981" t="s">
        <v>1068</v>
      </c>
      <c r="B981" t="s">
        <v>34</v>
      </c>
      <c r="C981" t="s">
        <v>35</v>
      </c>
      <c r="D981" t="s">
        <v>27</v>
      </c>
      <c r="E981" t="s">
        <v>21</v>
      </c>
      <c r="F981" t="s">
        <v>40</v>
      </c>
      <c r="G981">
        <f>VALUE(IF(AND(ISERR(FIND(".",'Raw Data'!G981)),LEN('Raw Data'!G981)=5), IF(YEAR('Raw Data'!G981)=2026,CONCATENATE(DAY('Raw Data'!G981),".",IF(LEN(MONTH('Raw Data'!G981))=2,MONTH('Raw Data'!G981),CONCATENATE("0",MONTH('Raw Data'!G981)))),CONCATENATE(MONTH('Raw Data'!G981),".",RIGHT(YEAR('Raw Data'!G981),2))),'Raw Data'!G981))</f>
        <v>67.77</v>
      </c>
      <c r="H981">
        <f>'Raw Data'!H981</f>
        <v>1</v>
      </c>
      <c r="I981" s="6">
        <f t="shared" si="45"/>
        <v>3.3885000000000076</v>
      </c>
      <c r="J981" s="6">
        <f>'Raw Data'!J981</f>
        <v>71.158500000000004</v>
      </c>
      <c r="K981" s="1">
        <f>VALUE(IFERROR(VALUE('Raw Data'!K981),CONCATENATE(MID('Raw Data'!K981,3,2),".","0",LEFT('Raw Data'!K981,1),".", RIGHT('Raw Data'!K981,4))))</f>
        <v>43557</v>
      </c>
      <c r="L981" s="2">
        <f>'Raw Data'!L981</f>
        <v>0.86319444444444438</v>
      </c>
      <c r="M981" t="s">
        <v>33</v>
      </c>
      <c r="N981">
        <f>VALUE(IF(AND(ISERR(FIND(".",'Raw Data'!N981)),LEN('Raw Data'!N981)=5), IF(YEAR('Raw Data'!N981)=2026,CONCATENATE(DAY('Raw Data'!N981),".",IF(LEN(MONTH('Raw Data'!N981))=2,MONTH('Raw Data'!N981),CONCATENATE("0",MONTH('Raw Data'!N981)))),CONCATENATE(MONTH('Raw Data'!N981),".",RIGHT(YEAR('Raw Data'!N981),2))),'Raw Data'!N981))</f>
        <v>67.77</v>
      </c>
      <c r="O981" s="6">
        <f t="shared" si="46"/>
        <v>4.7619047619047716</v>
      </c>
      <c r="P981" s="6">
        <f t="shared" si="47"/>
        <v>3.3885000000000076</v>
      </c>
      <c r="Q981">
        <f>VALUE(IF(AND(ISERR(FIND(".",'Raw Data'!Q981)),LEN('Raw Data'!Q981)=5), IF(YEAR('Raw Data'!Q981)=2026,CONCATENATE(DAY('Raw Data'!Q981),".",IF(LEN(MONTH('Raw Data'!Q981))=2,MONTH('Raw Data'!Q981),CONCATENATE(MONTH('Raw Data'!Q981)))),CONCATENATE(MONTH('Raw Data'!Q981),".",RIGHT(YEAR('Raw Data'!Q981),2))),'Raw Data'!Q981))</f>
        <v>6.5</v>
      </c>
    </row>
    <row r="982" spans="1:17">
      <c r="A982" t="s">
        <v>1069</v>
      </c>
      <c r="B982" t="s">
        <v>25</v>
      </c>
      <c r="C982" t="s">
        <v>26</v>
      </c>
      <c r="D982" t="s">
        <v>20</v>
      </c>
      <c r="E982" t="s">
        <v>30</v>
      </c>
      <c r="F982" t="s">
        <v>40</v>
      </c>
      <c r="G982">
        <f>VALUE(IF(AND(ISERR(FIND(".",'Raw Data'!G982)),LEN('Raw Data'!G982)=5), IF(YEAR('Raw Data'!G982)=2026,CONCATENATE(DAY('Raw Data'!G982),".",IF(LEN(MONTH('Raw Data'!G982))=2,MONTH('Raw Data'!G982),CONCATENATE("0",MONTH('Raw Data'!G982)))),CONCATENATE(MONTH('Raw Data'!G982),".",RIGHT(YEAR('Raw Data'!G982),2))),'Raw Data'!G982))</f>
        <v>59.59</v>
      </c>
      <c r="H982">
        <f>'Raw Data'!H982</f>
        <v>4</v>
      </c>
      <c r="I982" s="6">
        <f t="shared" si="45"/>
        <v>11.917999999999978</v>
      </c>
      <c r="J982" s="6">
        <f>'Raw Data'!J982</f>
        <v>250.27799999999999</v>
      </c>
      <c r="K982" s="1">
        <f>VALUE(IFERROR(VALUE('Raw Data'!K982),CONCATENATE(MID('Raw Data'!K982,3,2),".","0",LEFT('Raw Data'!K982,1),".", RIGHT('Raw Data'!K982,4))))</f>
        <v>43484</v>
      </c>
      <c r="L982" s="2">
        <f>'Raw Data'!L982</f>
        <v>0.53194444444444444</v>
      </c>
      <c r="M982" t="s">
        <v>29</v>
      </c>
      <c r="N982">
        <f>VALUE(IF(AND(ISERR(FIND(".",'Raw Data'!N982)),LEN('Raw Data'!N982)=5), IF(YEAR('Raw Data'!N982)=2026,CONCATENATE(DAY('Raw Data'!N982),".",IF(LEN(MONTH('Raw Data'!N982))=2,MONTH('Raw Data'!N982),CONCATENATE("0",MONTH('Raw Data'!N982)))),CONCATENATE(MONTH('Raw Data'!N982),".",RIGHT(YEAR('Raw Data'!N982),2))),'Raw Data'!N982))</f>
        <v>238.36</v>
      </c>
      <c r="O982" s="6">
        <f t="shared" si="46"/>
        <v>4.761904761904753</v>
      </c>
      <c r="P982" s="6">
        <f t="shared" si="47"/>
        <v>11.917999999999978</v>
      </c>
      <c r="Q982">
        <f>VALUE(IF(AND(ISERR(FIND(".",'Raw Data'!Q982)),LEN('Raw Data'!Q982)=5), IF(YEAR('Raw Data'!Q982)=2026,CONCATENATE(DAY('Raw Data'!Q982),".",IF(LEN(MONTH('Raw Data'!Q982))=2,MONTH('Raw Data'!Q982),CONCATENATE(MONTH('Raw Data'!Q982)))),CONCATENATE(MONTH('Raw Data'!Q982),".",RIGHT(YEAR('Raw Data'!Q982),2))),'Raw Data'!Q982))</f>
        <v>9.8000000000000007</v>
      </c>
    </row>
    <row r="983" spans="1:17">
      <c r="A983" t="s">
        <v>1070</v>
      </c>
      <c r="B983" t="s">
        <v>18</v>
      </c>
      <c r="C983" t="s">
        <v>19</v>
      </c>
      <c r="D983" t="s">
        <v>27</v>
      </c>
      <c r="E983" t="s">
        <v>30</v>
      </c>
      <c r="F983" t="s">
        <v>22</v>
      </c>
      <c r="G983">
        <f>VALUE(IF(AND(ISERR(FIND(".",'Raw Data'!G983)),LEN('Raw Data'!G983)=5), IF(YEAR('Raw Data'!G983)=2026,CONCATENATE(DAY('Raw Data'!G983),".",IF(LEN(MONTH('Raw Data'!G983))=2,MONTH('Raw Data'!G983),CONCATENATE("0",MONTH('Raw Data'!G983)))),CONCATENATE(MONTH('Raw Data'!G983),".",RIGHT(YEAR('Raw Data'!G983),2))),'Raw Data'!G983))</f>
        <v>58.15</v>
      </c>
      <c r="H983">
        <f>'Raw Data'!H983</f>
        <v>4</v>
      </c>
      <c r="I983" s="6">
        <f t="shared" si="45"/>
        <v>11.629999999999995</v>
      </c>
      <c r="J983" s="6">
        <f>'Raw Data'!J983</f>
        <v>244.23</v>
      </c>
      <c r="K983" s="1">
        <f>VALUE(IFERROR(VALUE('Raw Data'!K983),CONCATENATE(MID('Raw Data'!K983,3,2),".","0",LEFT('Raw Data'!K983,1),".", RIGHT('Raw Data'!K983,4))))</f>
        <v>43488</v>
      </c>
      <c r="L983" s="2">
        <f>'Raw Data'!L983</f>
        <v>0.73888888888888893</v>
      </c>
      <c r="M983" t="s">
        <v>29</v>
      </c>
      <c r="N983">
        <f>VALUE(IF(AND(ISERR(FIND(".",'Raw Data'!N983)),LEN('Raw Data'!N983)=5), IF(YEAR('Raw Data'!N983)=2026,CONCATENATE(DAY('Raw Data'!N983),".",IF(LEN(MONTH('Raw Data'!N983))=2,MONTH('Raw Data'!N983),CONCATENATE("0",MONTH('Raw Data'!N983)))),CONCATENATE(MONTH('Raw Data'!N983),".",RIGHT(YEAR('Raw Data'!N983),2))),'Raw Data'!N983))</f>
        <v>232.6</v>
      </c>
      <c r="O983" s="6">
        <f t="shared" si="46"/>
        <v>4.7619047619047601</v>
      </c>
      <c r="P983" s="6">
        <f t="shared" si="47"/>
        <v>11.629999999999995</v>
      </c>
      <c r="Q983">
        <f>VALUE(IF(AND(ISERR(FIND(".",'Raw Data'!Q983)),LEN('Raw Data'!Q983)=5), IF(YEAR('Raw Data'!Q983)=2026,CONCATENATE(DAY('Raw Data'!Q983),".",IF(LEN(MONTH('Raw Data'!Q983))=2,MONTH('Raw Data'!Q983),CONCATENATE(MONTH('Raw Data'!Q983)))),CONCATENATE(MONTH('Raw Data'!Q983),".",RIGHT(YEAR('Raw Data'!Q983),2))),'Raw Data'!Q983))</f>
        <v>8.4</v>
      </c>
    </row>
    <row r="984" spans="1:17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38</v>
      </c>
      <c r="G984">
        <f>VALUE(IF(AND(ISERR(FIND(".",'Raw Data'!G984)),LEN('Raw Data'!G984)=5), IF(YEAR('Raw Data'!G984)=2026,CONCATENATE(DAY('Raw Data'!G984),".",IF(LEN(MONTH('Raw Data'!G984))=2,MONTH('Raw Data'!G984),CONCATENATE("0",MONTH('Raw Data'!G984)))),CONCATENATE(MONTH('Raw Data'!G984),".",RIGHT(YEAR('Raw Data'!G984),2))),'Raw Data'!G984))</f>
        <v>97.48</v>
      </c>
      <c r="H984">
        <f>'Raw Data'!H984</f>
        <v>9</v>
      </c>
      <c r="I984" s="6">
        <f t="shared" si="45"/>
        <v>43.865999999999985</v>
      </c>
      <c r="J984" s="6">
        <f>'Raw Data'!J984</f>
        <v>921.18600000000004</v>
      </c>
      <c r="K984" s="1">
        <f>VALUE(IFERROR(VALUE('Raw Data'!K984),CONCATENATE(MID('Raw Data'!K984,3,2),".","0",LEFT('Raw Data'!K984,1),".", RIGHT('Raw Data'!K984,4))))</f>
        <v>43538</v>
      </c>
      <c r="L984" s="2">
        <f>'Raw Data'!L984</f>
        <v>0.59652777777777777</v>
      </c>
      <c r="M984" t="s">
        <v>23</v>
      </c>
      <c r="N984">
        <f>VALUE(IF(AND(ISERR(FIND(".",'Raw Data'!N984)),LEN('Raw Data'!N984)=5), IF(YEAR('Raw Data'!N984)=2026,CONCATENATE(DAY('Raw Data'!N984),".",IF(LEN(MONTH('Raw Data'!N984))=2,MONTH('Raw Data'!N984),CONCATENATE("0",MONTH('Raw Data'!N984)))),CONCATENATE(MONTH('Raw Data'!N984),".",RIGHT(YEAR('Raw Data'!N984),2))),'Raw Data'!N984))</f>
        <v>877.32</v>
      </c>
      <c r="O984" s="6">
        <f t="shared" si="46"/>
        <v>4.7619047619047601</v>
      </c>
      <c r="P984" s="6">
        <f t="shared" si="47"/>
        <v>43.865999999999985</v>
      </c>
      <c r="Q984">
        <f>VALUE(IF(AND(ISERR(FIND(".",'Raw Data'!Q984)),LEN('Raw Data'!Q984)=5), IF(YEAR('Raw Data'!Q984)=2026,CONCATENATE(DAY('Raw Data'!Q984),".",IF(LEN(MONTH('Raw Data'!Q984))=2,MONTH('Raw Data'!Q984),CONCATENATE(MONTH('Raw Data'!Q984)))),CONCATENATE(MONTH('Raw Data'!Q984),".",RIGHT(YEAR('Raw Data'!Q984),2))),'Raw Data'!Q984))</f>
        <v>7.4</v>
      </c>
    </row>
    <row r="985" spans="1:17">
      <c r="A985" t="s">
        <v>1072</v>
      </c>
      <c r="B985" t="s">
        <v>25</v>
      </c>
      <c r="C985" t="s">
        <v>26</v>
      </c>
      <c r="D985" t="s">
        <v>27</v>
      </c>
      <c r="E985" t="s">
        <v>30</v>
      </c>
      <c r="F985" t="s">
        <v>22</v>
      </c>
      <c r="G985">
        <f>VALUE(IF(AND(ISERR(FIND(".",'Raw Data'!G985)),LEN('Raw Data'!G985)=5), IF(YEAR('Raw Data'!G985)=2026,CONCATENATE(DAY('Raw Data'!G985),".",IF(LEN(MONTH('Raw Data'!G985))=2,MONTH('Raw Data'!G985),CONCATENATE("0",MONTH('Raw Data'!G985)))),CONCATENATE(MONTH('Raw Data'!G985),".",RIGHT(YEAR('Raw Data'!G985),2))),'Raw Data'!G985))</f>
        <v>99.96</v>
      </c>
      <c r="H985">
        <f>'Raw Data'!H985</f>
        <v>7</v>
      </c>
      <c r="I985" s="6">
        <f t="shared" si="45"/>
        <v>34.986000000000104</v>
      </c>
      <c r="J985" s="6">
        <f>'Raw Data'!J985</f>
        <v>734.70600000000002</v>
      </c>
      <c r="K985" s="1">
        <f>VALUE(IFERROR(VALUE('Raw Data'!K985),CONCATENATE(MID('Raw Data'!K985,3,2),".","0",LEFT('Raw Data'!K985,1),".", RIGHT('Raw Data'!K985,4))))</f>
        <v>43488</v>
      </c>
      <c r="L985" s="2">
        <f>'Raw Data'!L985</f>
        <v>0.43958333333333338</v>
      </c>
      <c r="M985" t="s">
        <v>29</v>
      </c>
      <c r="N985">
        <f>VALUE(IF(AND(ISERR(FIND(".",'Raw Data'!N985)),LEN('Raw Data'!N985)=5), IF(YEAR('Raw Data'!N985)=2026,CONCATENATE(DAY('Raw Data'!N985),".",IF(LEN(MONTH('Raw Data'!N985))=2,MONTH('Raw Data'!N985),CONCATENATE("0",MONTH('Raw Data'!N985)))),CONCATENATE(MONTH('Raw Data'!N985),".",RIGHT(YEAR('Raw Data'!N985),2))),'Raw Data'!N985))</f>
        <v>699.72</v>
      </c>
      <c r="O985" s="6">
        <f t="shared" si="46"/>
        <v>4.7619047619047601</v>
      </c>
      <c r="P985" s="6">
        <f t="shared" si="47"/>
        <v>34.98599999999999</v>
      </c>
      <c r="Q985">
        <f>VALUE(IF(AND(ISERR(FIND(".",'Raw Data'!Q985)),LEN('Raw Data'!Q985)=5), IF(YEAR('Raw Data'!Q985)=2026,CONCATENATE(DAY('Raw Data'!Q985),".",IF(LEN(MONTH('Raw Data'!Q985))=2,MONTH('Raw Data'!Q985),CONCATENATE(MONTH('Raw Data'!Q985)))),CONCATENATE(MONTH('Raw Data'!Q985),".",RIGHT(YEAR('Raw Data'!Q985),2))),'Raw Data'!Q985))</f>
        <v>6.1</v>
      </c>
    </row>
    <row r="986" spans="1:17">
      <c r="A986" t="s">
        <v>1073</v>
      </c>
      <c r="B986" t="s">
        <v>25</v>
      </c>
      <c r="C986" t="s">
        <v>26</v>
      </c>
      <c r="D986" t="s">
        <v>27</v>
      </c>
      <c r="E986" t="s">
        <v>30</v>
      </c>
      <c r="F986" t="s">
        <v>28</v>
      </c>
      <c r="G986">
        <f>VALUE(IF(AND(ISERR(FIND(".",'Raw Data'!G986)),LEN('Raw Data'!G986)=5), IF(YEAR('Raw Data'!G986)=2026,CONCATENATE(DAY('Raw Data'!G986),".",IF(LEN(MONTH('Raw Data'!G986))=2,MONTH('Raw Data'!G986),CONCATENATE("0",MONTH('Raw Data'!G986)))),CONCATENATE(MONTH('Raw Data'!G986),".",RIGHT(YEAR('Raw Data'!G986),2))),'Raw Data'!G986))</f>
        <v>96.37</v>
      </c>
      <c r="H986">
        <f>'Raw Data'!H986</f>
        <v>7</v>
      </c>
      <c r="I986" s="6">
        <f t="shared" si="45"/>
        <v>33.729499999999916</v>
      </c>
      <c r="J986" s="6">
        <f>'Raw Data'!J986</f>
        <v>708.31949999999995</v>
      </c>
      <c r="K986" s="1">
        <f>VALUE(IFERROR(VALUE('Raw Data'!K986),CONCATENATE(MID('Raw Data'!K986,3,2),".","0",LEFT('Raw Data'!K986,1),".", RIGHT('Raw Data'!K986,4))))</f>
        <v>43709</v>
      </c>
      <c r="L986" s="2">
        <f>'Raw Data'!L986</f>
        <v>0.4861111111111111</v>
      </c>
      <c r="M986" t="s">
        <v>29</v>
      </c>
      <c r="N986">
        <f>VALUE(IF(AND(ISERR(FIND(".",'Raw Data'!N986)),LEN('Raw Data'!N986)=5), IF(YEAR('Raw Data'!N986)=2026,CONCATENATE(DAY('Raw Data'!N986),".",IF(LEN(MONTH('Raw Data'!N986))=2,MONTH('Raw Data'!N986),CONCATENATE("0",MONTH('Raw Data'!N986)))),CONCATENATE(MONTH('Raw Data'!N986),".",RIGHT(YEAR('Raw Data'!N986),2))),'Raw Data'!N986))</f>
        <v>674.59</v>
      </c>
      <c r="O986" s="6">
        <f t="shared" si="46"/>
        <v>4.7619047619047503</v>
      </c>
      <c r="P986" s="6">
        <f t="shared" si="47"/>
        <v>33.729499999999916</v>
      </c>
      <c r="Q986">
        <f>VALUE(IF(AND(ISERR(FIND(".",'Raw Data'!Q986)),LEN('Raw Data'!Q986)=5), IF(YEAR('Raw Data'!Q986)=2026,CONCATENATE(DAY('Raw Data'!Q986),".",IF(LEN(MONTH('Raw Data'!Q986))=2,MONTH('Raw Data'!Q986),CONCATENATE(MONTH('Raw Data'!Q986)))),CONCATENATE(MONTH('Raw Data'!Q986),".",RIGHT(YEAR('Raw Data'!Q986),2))),'Raw Data'!Q986))</f>
        <v>6</v>
      </c>
    </row>
    <row r="987" spans="1:17">
      <c r="A987" t="s">
        <v>1074</v>
      </c>
      <c r="B987" t="s">
        <v>34</v>
      </c>
      <c r="C987" t="s">
        <v>35</v>
      </c>
      <c r="D987" t="s">
        <v>27</v>
      </c>
      <c r="E987" t="s">
        <v>21</v>
      </c>
      <c r="F987" t="s">
        <v>43</v>
      </c>
      <c r="G987">
        <f>VALUE(IF(AND(ISERR(FIND(".",'Raw Data'!G987)),LEN('Raw Data'!G987)=5), IF(YEAR('Raw Data'!G987)=2026,CONCATENATE(DAY('Raw Data'!G987),".",IF(LEN(MONTH('Raw Data'!G987))=2,MONTH('Raw Data'!G987),CONCATENATE("0",MONTH('Raw Data'!G987)))),CONCATENATE(MONTH('Raw Data'!G987),".",RIGHT(YEAR('Raw Data'!G987),2))),'Raw Data'!G987))</f>
        <v>63.71</v>
      </c>
      <c r="H987">
        <f>'Raw Data'!H987</f>
        <v>5</v>
      </c>
      <c r="I987" s="6">
        <f t="shared" si="45"/>
        <v>15.927500000000009</v>
      </c>
      <c r="J987" s="6">
        <f>'Raw Data'!J987</f>
        <v>334.47750000000002</v>
      </c>
      <c r="K987" s="1">
        <f>VALUE(IFERROR(VALUE('Raw Data'!K987),CONCATENATE(MID('Raw Data'!K987,3,2),".","0",LEFT('Raw Data'!K987,1),".", RIGHT('Raw Data'!K987,4))))</f>
        <v>43648</v>
      </c>
      <c r="L987" s="2">
        <f>'Raw Data'!L987</f>
        <v>0.8125</v>
      </c>
      <c r="M987" t="s">
        <v>23</v>
      </c>
      <c r="N987">
        <f>VALUE(IF(AND(ISERR(FIND(".",'Raw Data'!N987)),LEN('Raw Data'!N987)=5), IF(YEAR('Raw Data'!N987)=2026,CONCATENATE(DAY('Raw Data'!N987),".",IF(LEN(MONTH('Raw Data'!N987))=2,MONTH('Raw Data'!N987),CONCATENATE("0",MONTH('Raw Data'!N987)))),CONCATENATE(MONTH('Raw Data'!N987),".",RIGHT(YEAR('Raw Data'!N987),2))),'Raw Data'!N987))</f>
        <v>318.55</v>
      </c>
      <c r="O987" s="6">
        <f t="shared" si="46"/>
        <v>4.7619047619047645</v>
      </c>
      <c r="P987" s="6">
        <f t="shared" si="47"/>
        <v>15.927500000000009</v>
      </c>
      <c r="Q987">
        <f>VALUE(IF(AND(ISERR(FIND(".",'Raw Data'!Q987)),LEN('Raw Data'!Q987)=5), IF(YEAR('Raw Data'!Q987)=2026,CONCATENATE(DAY('Raw Data'!Q987),".",IF(LEN(MONTH('Raw Data'!Q987))=2,MONTH('Raw Data'!Q987),CONCATENATE(MONTH('Raw Data'!Q987)))),CONCATENATE(MONTH('Raw Data'!Q987),".",RIGHT(YEAR('Raw Data'!Q987),2))),'Raw Data'!Q987))</f>
        <v>8.5</v>
      </c>
    </row>
    <row r="988" spans="1:17">
      <c r="A988" t="s">
        <v>1075</v>
      </c>
      <c r="B988" t="s">
        <v>34</v>
      </c>
      <c r="C988" t="s">
        <v>35</v>
      </c>
      <c r="D988" t="s">
        <v>27</v>
      </c>
      <c r="E988" t="s">
        <v>21</v>
      </c>
      <c r="F988" t="s">
        <v>22</v>
      </c>
      <c r="G988">
        <f>VALUE(IF(AND(ISERR(FIND(".",'Raw Data'!G988)),LEN('Raw Data'!G988)=5), IF(YEAR('Raw Data'!G988)=2026,CONCATENATE(DAY('Raw Data'!G988),".",IF(LEN(MONTH('Raw Data'!G988))=2,MONTH('Raw Data'!G988),CONCATENATE("0",MONTH('Raw Data'!G988)))),CONCATENATE(MONTH('Raw Data'!G988),".",RIGHT(YEAR('Raw Data'!G988),2))),'Raw Data'!G988))</f>
        <v>14.76</v>
      </c>
      <c r="H988">
        <f>'Raw Data'!H988</f>
        <v>2</v>
      </c>
      <c r="I988" s="6">
        <f t="shared" si="45"/>
        <v>1.4759999999999991</v>
      </c>
      <c r="J988" s="6">
        <f>'Raw Data'!J988</f>
        <v>30.995999999999999</v>
      </c>
      <c r="K988" s="1">
        <f>VALUE(IFERROR(VALUE('Raw Data'!K988),CONCATENATE(MID('Raw Data'!K988,3,2),".","0",LEFT('Raw Data'!K988,1),".", RIGHT('Raw Data'!K988,4))))</f>
        <v>43514</v>
      </c>
      <c r="L988" s="2">
        <f>'Raw Data'!L988</f>
        <v>0.61249999999999993</v>
      </c>
      <c r="M988" t="s">
        <v>23</v>
      </c>
      <c r="N988">
        <f>VALUE(IF(AND(ISERR(FIND(".",'Raw Data'!N988)),LEN('Raw Data'!N988)=5), IF(YEAR('Raw Data'!N988)=2026,CONCATENATE(DAY('Raw Data'!N988),".",IF(LEN(MONTH('Raw Data'!N988))=2,MONTH('Raw Data'!N988),CONCATENATE("0",MONTH('Raw Data'!N988)))),CONCATENATE(MONTH('Raw Data'!N988),".",RIGHT(YEAR('Raw Data'!N988),2))),'Raw Data'!N988))</f>
        <v>29.52</v>
      </c>
      <c r="O988" s="6">
        <f t="shared" si="46"/>
        <v>4.7619047619047592</v>
      </c>
      <c r="P988" s="6">
        <f t="shared" si="47"/>
        <v>1.4759999999999991</v>
      </c>
      <c r="Q988">
        <f>VALUE(IF(AND(ISERR(FIND(".",'Raw Data'!Q988)),LEN('Raw Data'!Q988)=5), IF(YEAR('Raw Data'!Q988)=2026,CONCATENATE(DAY('Raw Data'!Q988),".",IF(LEN(MONTH('Raw Data'!Q988))=2,MONTH('Raw Data'!Q988),CONCATENATE(MONTH('Raw Data'!Q988)))),CONCATENATE(MONTH('Raw Data'!Q988),".",RIGHT(YEAR('Raw Data'!Q988),2))),'Raw Data'!Q988))</f>
        <v>4.3</v>
      </c>
    </row>
    <row r="989" spans="1:17">
      <c r="A989" t="s">
        <v>1076</v>
      </c>
      <c r="B989" t="s">
        <v>34</v>
      </c>
      <c r="C989" t="s">
        <v>35</v>
      </c>
      <c r="D989" t="s">
        <v>20</v>
      </c>
      <c r="E989" t="s">
        <v>30</v>
      </c>
      <c r="F989" t="s">
        <v>22</v>
      </c>
      <c r="G989">
        <f>VALUE(IF(AND(ISERR(FIND(".",'Raw Data'!G989)),LEN('Raw Data'!G989)=5), IF(YEAR('Raw Data'!G989)=2026,CONCATENATE(DAY('Raw Data'!G989),".",IF(LEN(MONTH('Raw Data'!G989))=2,MONTH('Raw Data'!G989),CONCATENATE("0",MONTH('Raw Data'!G989)))),CONCATENATE(MONTH('Raw Data'!G989),".",RIGHT(YEAR('Raw Data'!G989),2))),'Raw Data'!G989))</f>
        <v>62</v>
      </c>
      <c r="H989">
        <f>'Raw Data'!H989</f>
        <v>8</v>
      </c>
      <c r="I989" s="6">
        <f t="shared" si="45"/>
        <v>24.799999999999955</v>
      </c>
      <c r="J989" s="6">
        <f>'Raw Data'!J989</f>
        <v>520.79999999999995</v>
      </c>
      <c r="K989" s="1">
        <f>VALUE(IFERROR(VALUE('Raw Data'!K989),CONCATENATE(MID('Raw Data'!K989,3,2),".","0",LEFT('Raw Data'!K989,1),".", RIGHT('Raw Data'!K989,4))))</f>
        <v>43525</v>
      </c>
      <c r="L989" s="2">
        <f>'Raw Data'!L989</f>
        <v>0.79722222222222217</v>
      </c>
      <c r="M989" t="s">
        <v>33</v>
      </c>
      <c r="N989">
        <f>VALUE(IF(AND(ISERR(FIND(".",'Raw Data'!N989)),LEN('Raw Data'!N989)=5), IF(YEAR('Raw Data'!N989)=2026,CONCATENATE(DAY('Raw Data'!N989),".",IF(LEN(MONTH('Raw Data'!N989))=2,MONTH('Raw Data'!N989),CONCATENATE("0",MONTH('Raw Data'!N989)))),CONCATENATE(MONTH('Raw Data'!N989),".",RIGHT(YEAR('Raw Data'!N989),2))),'Raw Data'!N989))</f>
        <v>496</v>
      </c>
      <c r="O989" s="6">
        <f t="shared" si="46"/>
        <v>4.761904761904753</v>
      </c>
      <c r="P989" s="6">
        <f t="shared" si="47"/>
        <v>24.799999999999955</v>
      </c>
      <c r="Q989">
        <f>VALUE(IF(AND(ISERR(FIND(".",'Raw Data'!Q989)),LEN('Raw Data'!Q989)=5), IF(YEAR('Raw Data'!Q989)=2026,CONCATENATE(DAY('Raw Data'!Q989),".",IF(LEN(MONTH('Raw Data'!Q989))=2,MONTH('Raw Data'!Q989),CONCATENATE(MONTH('Raw Data'!Q989)))),CONCATENATE(MONTH('Raw Data'!Q989),".",RIGHT(YEAR('Raw Data'!Q989),2))),'Raw Data'!Q989))</f>
        <v>6.2</v>
      </c>
    </row>
    <row r="990" spans="1:17">
      <c r="A990" t="s">
        <v>1077</v>
      </c>
      <c r="B990" t="s">
        <v>25</v>
      </c>
      <c r="C990" t="s">
        <v>26</v>
      </c>
      <c r="D990" t="s">
        <v>20</v>
      </c>
      <c r="E990" t="s">
        <v>30</v>
      </c>
      <c r="F990" t="s">
        <v>28</v>
      </c>
      <c r="G990">
        <f>VALUE(IF(AND(ISERR(FIND(".",'Raw Data'!G990)),LEN('Raw Data'!G990)=5), IF(YEAR('Raw Data'!G990)=2026,CONCATENATE(DAY('Raw Data'!G990),".",IF(LEN(MONTH('Raw Data'!G990))=2,MONTH('Raw Data'!G990),CONCATENATE("0",MONTH('Raw Data'!G990)))),CONCATENATE(MONTH('Raw Data'!G990),".",RIGHT(YEAR('Raw Data'!G990),2))),'Raw Data'!G990))</f>
        <v>82.34</v>
      </c>
      <c r="H990">
        <f>'Raw Data'!H990</f>
        <v>10</v>
      </c>
      <c r="I990" s="6">
        <f t="shared" si="45"/>
        <v>41.169999999999959</v>
      </c>
      <c r="J990" s="6">
        <f>'Raw Data'!J990</f>
        <v>864.57</v>
      </c>
      <c r="K990" s="1">
        <f>VALUE(IFERROR(VALUE('Raw Data'!K990),CONCATENATE(MID('Raw Data'!K990,3,2),".","0",LEFT('Raw Data'!K990,1),".", RIGHT('Raw Data'!K990,4))))</f>
        <v>43553</v>
      </c>
      <c r="L990" s="2">
        <f>'Raw Data'!L990</f>
        <v>0.79999999999999993</v>
      </c>
      <c r="M990" t="s">
        <v>23</v>
      </c>
      <c r="N990">
        <f>VALUE(IF(AND(ISERR(FIND(".",'Raw Data'!N990)),LEN('Raw Data'!N990)=5), IF(YEAR('Raw Data'!N990)=2026,CONCATENATE(DAY('Raw Data'!N990),".",IF(LEN(MONTH('Raw Data'!N990))=2,MONTH('Raw Data'!N990),CONCATENATE("0",MONTH('Raw Data'!N990)))),CONCATENATE(MONTH('Raw Data'!N990),".",RIGHT(YEAR('Raw Data'!N990),2))),'Raw Data'!N990))</f>
        <v>823.4</v>
      </c>
      <c r="O990" s="6">
        <f t="shared" si="46"/>
        <v>4.7619047619047699</v>
      </c>
      <c r="P990" s="6">
        <f t="shared" si="47"/>
        <v>41.170000000000073</v>
      </c>
      <c r="Q990">
        <f>VALUE(IF(AND(ISERR(FIND(".",'Raw Data'!Q990)),LEN('Raw Data'!Q990)=5), IF(YEAR('Raw Data'!Q990)=2026,CONCATENATE(DAY('Raw Data'!Q990),".",IF(LEN(MONTH('Raw Data'!Q990))=2,MONTH('Raw Data'!Q990),CONCATENATE(MONTH('Raw Data'!Q990)))),CONCATENATE(MONTH('Raw Data'!Q990),".",RIGHT(YEAR('Raw Data'!Q990),2))),'Raw Data'!Q990))</f>
        <v>4.3</v>
      </c>
    </row>
    <row r="991" spans="1:17">
      <c r="A991" t="s">
        <v>1078</v>
      </c>
      <c r="B991" t="s">
        <v>34</v>
      </c>
      <c r="C991" t="s">
        <v>35</v>
      </c>
      <c r="D991" t="s">
        <v>20</v>
      </c>
      <c r="E991" t="s">
        <v>30</v>
      </c>
      <c r="F991" t="s">
        <v>22</v>
      </c>
      <c r="G991">
        <f>VALUE(IF(AND(ISERR(FIND(".",'Raw Data'!G991)),LEN('Raw Data'!G991)=5), IF(YEAR('Raw Data'!G991)=2026,CONCATENATE(DAY('Raw Data'!G991),".",IF(LEN(MONTH('Raw Data'!G991))=2,MONTH('Raw Data'!G991),CONCATENATE("0",MONTH('Raw Data'!G991)))),CONCATENATE(MONTH('Raw Data'!G991),".",RIGHT(YEAR('Raw Data'!G991),2))),'Raw Data'!G991))</f>
        <v>75.37</v>
      </c>
      <c r="H991">
        <f>'Raw Data'!H991</f>
        <v>8</v>
      </c>
      <c r="I991" s="6">
        <f t="shared" si="45"/>
        <v>30.147999999999911</v>
      </c>
      <c r="J991" s="6">
        <f>'Raw Data'!J991</f>
        <v>633.10799999999995</v>
      </c>
      <c r="K991" s="1">
        <f>VALUE(IFERROR(VALUE('Raw Data'!K991),CONCATENATE(MID('Raw Data'!K991,3,2),".","0",LEFT('Raw Data'!K991,1),".", RIGHT('Raw Data'!K991,4))))</f>
        <v>43493</v>
      </c>
      <c r="L991" s="2">
        <f>'Raw Data'!L991</f>
        <v>0.65694444444444444</v>
      </c>
      <c r="M991" t="s">
        <v>33</v>
      </c>
      <c r="N991">
        <f>VALUE(IF(AND(ISERR(FIND(".",'Raw Data'!N991)),LEN('Raw Data'!N991)=5), IF(YEAR('Raw Data'!N991)=2026,CONCATENATE(DAY('Raw Data'!N991),".",IF(LEN(MONTH('Raw Data'!N991))=2,MONTH('Raw Data'!N991),CONCATENATE("0",MONTH('Raw Data'!N991)))),CONCATENATE(MONTH('Raw Data'!N991),".",RIGHT(YEAR('Raw Data'!N991),2))),'Raw Data'!N991))</f>
        <v>602.96</v>
      </c>
      <c r="O991" s="6">
        <f t="shared" si="46"/>
        <v>4.7619047619047485</v>
      </c>
      <c r="P991" s="6">
        <f t="shared" si="47"/>
        <v>30.147999999999911</v>
      </c>
      <c r="Q991">
        <f>VALUE(IF(AND(ISERR(FIND(".",'Raw Data'!Q991)),LEN('Raw Data'!Q991)=5), IF(YEAR('Raw Data'!Q991)=2026,CONCATENATE(DAY('Raw Data'!Q991),".",IF(LEN(MONTH('Raw Data'!Q991))=2,MONTH('Raw Data'!Q991),CONCATENATE(MONTH('Raw Data'!Q991)))),CONCATENATE(MONTH('Raw Data'!Q991),".",RIGHT(YEAR('Raw Data'!Q991),2))),'Raw Data'!Q991))</f>
        <v>8.4</v>
      </c>
    </row>
    <row r="992" spans="1:17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40</v>
      </c>
      <c r="G992">
        <f>VALUE(IF(AND(ISERR(FIND(".",'Raw Data'!G992)),LEN('Raw Data'!G992)=5), IF(YEAR('Raw Data'!G992)=2026,CONCATENATE(DAY('Raw Data'!G992),".",IF(LEN(MONTH('Raw Data'!G992))=2,MONTH('Raw Data'!G992),CONCATENATE("0",MONTH('Raw Data'!G992)))),CONCATENATE(MONTH('Raw Data'!G992),".",RIGHT(YEAR('Raw Data'!G992),2))),'Raw Data'!G992))</f>
        <v>56.56</v>
      </c>
      <c r="H992">
        <f>'Raw Data'!H992</f>
        <v>5</v>
      </c>
      <c r="I992" s="6">
        <f t="shared" si="45"/>
        <v>14.139999999999986</v>
      </c>
      <c r="J992" s="6">
        <f>'Raw Data'!J992</f>
        <v>296.94</v>
      </c>
      <c r="K992" s="1">
        <f>VALUE(IFERROR(VALUE('Raw Data'!K992),CONCATENATE(MID('Raw Data'!K992,3,2),".","0",LEFT('Raw Data'!K992,1),".", RIGHT('Raw Data'!K992,4))))</f>
        <v>43546</v>
      </c>
      <c r="L992" s="2">
        <f>'Raw Data'!L992</f>
        <v>0.79583333333333339</v>
      </c>
      <c r="M992" t="s">
        <v>33</v>
      </c>
      <c r="N992">
        <f>VALUE(IF(AND(ISERR(FIND(".",'Raw Data'!N992)),LEN('Raw Data'!N992)=5), IF(YEAR('Raw Data'!N992)=2026,CONCATENATE(DAY('Raw Data'!N992),".",IF(LEN(MONTH('Raw Data'!N992))=2,MONTH('Raw Data'!N992),CONCATENATE("0",MONTH('Raw Data'!N992)))),CONCATENATE(MONTH('Raw Data'!N992),".",RIGHT(YEAR('Raw Data'!N992),2))),'Raw Data'!N992))</f>
        <v>282.8</v>
      </c>
      <c r="O992" s="6">
        <f t="shared" si="46"/>
        <v>4.7619047619047574</v>
      </c>
      <c r="P992" s="6">
        <f t="shared" si="47"/>
        <v>14.139999999999986</v>
      </c>
      <c r="Q992">
        <f>VALUE(IF(AND(ISERR(FIND(".",'Raw Data'!Q992)),LEN('Raw Data'!Q992)=5), IF(YEAR('Raw Data'!Q992)=2026,CONCATENATE(DAY('Raw Data'!Q992),".",IF(LEN(MONTH('Raw Data'!Q992))=2,MONTH('Raw Data'!Q992),CONCATENATE(MONTH('Raw Data'!Q992)))),CONCATENATE(MONTH('Raw Data'!Q992),".",RIGHT(YEAR('Raw Data'!Q992),2))),'Raw Data'!Q992))</f>
        <v>4.5</v>
      </c>
    </row>
    <row r="993" spans="1:17">
      <c r="A993" t="s">
        <v>1080</v>
      </c>
      <c r="B993" t="s">
        <v>34</v>
      </c>
      <c r="C993" t="s">
        <v>35</v>
      </c>
      <c r="D993" t="s">
        <v>27</v>
      </c>
      <c r="E993" t="s">
        <v>21</v>
      </c>
      <c r="F993" t="s">
        <v>38</v>
      </c>
      <c r="G993">
        <f>VALUE(IF(AND(ISERR(FIND(".",'Raw Data'!G993)),LEN('Raw Data'!G993)=5), IF(YEAR('Raw Data'!G993)=2026,CONCATENATE(DAY('Raw Data'!G993),".",IF(LEN(MONTH('Raw Data'!G993))=2,MONTH('Raw Data'!G993),CONCATENATE("0",MONTH('Raw Data'!G993)))),CONCATENATE(MONTH('Raw Data'!G993),".",RIGHT(YEAR('Raw Data'!G993),2))),'Raw Data'!G993))</f>
        <v>76.599999999999994</v>
      </c>
      <c r="H993">
        <f>'Raw Data'!H993</f>
        <v>10</v>
      </c>
      <c r="I993" s="6">
        <f t="shared" si="45"/>
        <v>38.299999999999955</v>
      </c>
      <c r="J993" s="6">
        <f>'Raw Data'!J993</f>
        <v>804.3</v>
      </c>
      <c r="K993" s="1">
        <f>VALUE(IFERROR(VALUE('Raw Data'!K993),CONCATENATE(MID('Raw Data'!K993,3,2),".","0",LEFT('Raw Data'!K993,1),".", RIGHT('Raw Data'!K993,4))))</f>
        <v>43489</v>
      </c>
      <c r="L993" s="2">
        <f>'Raw Data'!L993</f>
        <v>0.75694444444444453</v>
      </c>
      <c r="M993" t="s">
        <v>23</v>
      </c>
      <c r="N993">
        <f>VALUE(IF(AND(ISERR(FIND(".",'Raw Data'!N993)),LEN('Raw Data'!N993)=5), IF(YEAR('Raw Data'!N993)=2026,CONCATENATE(DAY('Raw Data'!N993),".",IF(LEN(MONTH('Raw Data'!N993))=2,MONTH('Raw Data'!N993),CONCATENATE("0",MONTH('Raw Data'!N993)))),CONCATENATE(MONTH('Raw Data'!N993),".",RIGHT(YEAR('Raw Data'!N993),2))),'Raw Data'!N993))</f>
        <v>766</v>
      </c>
      <c r="O993" s="6">
        <f t="shared" si="46"/>
        <v>4.7619047619047565</v>
      </c>
      <c r="P993" s="6">
        <f t="shared" si="47"/>
        <v>38.299999999999955</v>
      </c>
      <c r="Q993">
        <f>VALUE(IF(AND(ISERR(FIND(".",'Raw Data'!Q993)),LEN('Raw Data'!Q993)=5), IF(YEAR('Raw Data'!Q993)=2026,CONCATENATE(DAY('Raw Data'!Q993),".",IF(LEN(MONTH('Raw Data'!Q993))=2,MONTH('Raw Data'!Q993),CONCATENATE(MONTH('Raw Data'!Q993)))),CONCATENATE(MONTH('Raw Data'!Q993),".",RIGHT(YEAR('Raw Data'!Q993),2))),'Raw Data'!Q993))</f>
        <v>6</v>
      </c>
    </row>
    <row r="994" spans="1:17">
      <c r="A994" t="s">
        <v>1081</v>
      </c>
      <c r="B994" t="s">
        <v>18</v>
      </c>
      <c r="C994" t="s">
        <v>19</v>
      </c>
      <c r="D994" t="s">
        <v>27</v>
      </c>
      <c r="E994" t="s">
        <v>30</v>
      </c>
      <c r="F994" t="s">
        <v>28</v>
      </c>
      <c r="G994">
        <f>VALUE(IF(AND(ISERR(FIND(".",'Raw Data'!G994)),LEN('Raw Data'!G994)=5), IF(YEAR('Raw Data'!G994)=2026,CONCATENATE(DAY('Raw Data'!G994),".",IF(LEN(MONTH('Raw Data'!G994))=2,MONTH('Raw Data'!G994),CONCATENATE("0",MONTH('Raw Data'!G994)))),CONCATENATE(MONTH('Raw Data'!G994),".",RIGHT(YEAR('Raw Data'!G994),2))),'Raw Data'!G994))</f>
        <v>58.03</v>
      </c>
      <c r="H994">
        <f>'Raw Data'!H994</f>
        <v>2</v>
      </c>
      <c r="I994" s="6">
        <f t="shared" si="45"/>
        <v>5.8029999999999973</v>
      </c>
      <c r="J994" s="6">
        <f>'Raw Data'!J994</f>
        <v>121.863</v>
      </c>
      <c r="K994" s="1">
        <f>VALUE(IFERROR(VALUE('Raw Data'!K994),CONCATENATE(MID('Raw Data'!K994,3,2),".","0",LEFT('Raw Data'!K994,1),".", RIGHT('Raw Data'!K994,4))))</f>
        <v>43741</v>
      </c>
      <c r="L994" s="2">
        <f>'Raw Data'!L994</f>
        <v>0.8652777777777777</v>
      </c>
      <c r="M994" t="s">
        <v>23</v>
      </c>
      <c r="N994">
        <f>VALUE(IF(AND(ISERR(FIND(".",'Raw Data'!N994)),LEN('Raw Data'!N994)=5), IF(YEAR('Raw Data'!N994)=2026,CONCATENATE(DAY('Raw Data'!N994),".",IF(LEN(MONTH('Raw Data'!N994))=2,MONTH('Raw Data'!N994),CONCATENATE("0",MONTH('Raw Data'!N994)))),CONCATENATE(MONTH('Raw Data'!N994),".",RIGHT(YEAR('Raw Data'!N994),2))),'Raw Data'!N994))</f>
        <v>116.06</v>
      </c>
      <c r="O994" s="6">
        <f t="shared" si="46"/>
        <v>4.7619047619047592</v>
      </c>
      <c r="P994" s="6">
        <f t="shared" si="47"/>
        <v>5.8029999999999973</v>
      </c>
      <c r="Q994">
        <f>VALUE(IF(AND(ISERR(FIND(".",'Raw Data'!Q994)),LEN('Raw Data'!Q994)=5), IF(YEAR('Raw Data'!Q994)=2026,CONCATENATE(DAY('Raw Data'!Q994),".",IF(LEN(MONTH('Raw Data'!Q994))=2,MONTH('Raw Data'!Q994),CONCATENATE(MONTH('Raw Data'!Q994)))),CONCATENATE(MONTH('Raw Data'!Q994),".",RIGHT(YEAR('Raw Data'!Q994),2))),'Raw Data'!Q994))</f>
        <v>8.8000000000000007</v>
      </c>
    </row>
    <row r="995" spans="1:17">
      <c r="A995" t="s">
        <v>1082</v>
      </c>
      <c r="B995" t="s">
        <v>34</v>
      </c>
      <c r="C995" t="s">
        <v>35</v>
      </c>
      <c r="D995" t="s">
        <v>27</v>
      </c>
      <c r="E995" t="s">
        <v>30</v>
      </c>
      <c r="F995" t="s">
        <v>43</v>
      </c>
      <c r="G995">
        <f>VALUE(IF(AND(ISERR(FIND(".",'Raw Data'!G995)),LEN('Raw Data'!G995)=5), IF(YEAR('Raw Data'!G995)=2026,CONCATENATE(DAY('Raw Data'!G995),".",IF(LEN(MONTH('Raw Data'!G995))=2,MONTH('Raw Data'!G995),CONCATENATE("0",MONTH('Raw Data'!G995)))),CONCATENATE(MONTH('Raw Data'!G995),".",RIGHT(YEAR('Raw Data'!G995),2))),'Raw Data'!G995))</f>
        <v>17.489999999999998</v>
      </c>
      <c r="H995">
        <f>'Raw Data'!H995</f>
        <v>10</v>
      </c>
      <c r="I995" s="6">
        <f t="shared" si="45"/>
        <v>8.745000000000033</v>
      </c>
      <c r="J995" s="6">
        <f>'Raw Data'!J995</f>
        <v>183.64500000000001</v>
      </c>
      <c r="K995" s="1">
        <f>VALUE(IFERROR(VALUE('Raw Data'!K995),CONCATENATE(MID('Raw Data'!K995,3,2),".","0",LEFT('Raw Data'!K995,1),".", RIGHT('Raw Data'!K995,4))))</f>
        <v>43518</v>
      </c>
      <c r="L995" s="2">
        <f>'Raw Data'!L995</f>
        <v>0.77430555555555547</v>
      </c>
      <c r="M995" t="s">
        <v>23</v>
      </c>
      <c r="N995">
        <f>VALUE(IF(AND(ISERR(FIND(".",'Raw Data'!N995)),LEN('Raw Data'!N995)=5), IF(YEAR('Raw Data'!N995)=2026,CONCATENATE(DAY('Raw Data'!N995),".",IF(LEN(MONTH('Raw Data'!N995))=2,MONTH('Raw Data'!N995),CONCATENATE("0",MONTH('Raw Data'!N995)))),CONCATENATE(MONTH('Raw Data'!N995),".",RIGHT(YEAR('Raw Data'!N995),2))),'Raw Data'!N995))</f>
        <v>174.9</v>
      </c>
      <c r="O995" s="6">
        <f t="shared" si="46"/>
        <v>4.7619047619047645</v>
      </c>
      <c r="P995" s="6">
        <f t="shared" si="47"/>
        <v>8.7450000000000045</v>
      </c>
      <c r="Q995">
        <f>VALUE(IF(AND(ISERR(FIND(".",'Raw Data'!Q995)),LEN('Raw Data'!Q995)=5), IF(YEAR('Raw Data'!Q995)=2026,CONCATENATE(DAY('Raw Data'!Q995),".",IF(LEN(MONTH('Raw Data'!Q995))=2,MONTH('Raw Data'!Q995),CONCATENATE(MONTH('Raw Data'!Q995)))),CONCATENATE(MONTH('Raw Data'!Q995),".",RIGHT(YEAR('Raw Data'!Q995),2))),'Raw Data'!Q995))</f>
        <v>6.6</v>
      </c>
    </row>
    <row r="996" spans="1:17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f>VALUE(IF(AND(ISERR(FIND(".",'Raw Data'!G996)),LEN('Raw Data'!G996)=5), IF(YEAR('Raw Data'!G996)=2026,CONCATENATE(DAY('Raw Data'!G996),".",IF(LEN(MONTH('Raw Data'!G996))=2,MONTH('Raw Data'!G996),CONCATENATE("0",MONTH('Raw Data'!G996)))),CONCATENATE(MONTH('Raw Data'!G996),".",RIGHT(YEAR('Raw Data'!G996),2))),'Raw Data'!G996))</f>
        <v>60.95</v>
      </c>
      <c r="H996">
        <f>'Raw Data'!H996</f>
        <v>1</v>
      </c>
      <c r="I996" s="6">
        <f t="shared" si="45"/>
        <v>3.0474999999999994</v>
      </c>
      <c r="J996" s="6">
        <f>'Raw Data'!J996</f>
        <v>63.997500000000002</v>
      </c>
      <c r="K996" s="1">
        <f>VALUE(IFERROR(VALUE('Raw Data'!K996),CONCATENATE(MID('Raw Data'!K996,3,2),".","0",LEFT('Raw Data'!K996,1),".", RIGHT('Raw Data'!K996,4))))</f>
        <v>43514</v>
      </c>
      <c r="L996" s="2">
        <f>'Raw Data'!L996</f>
        <v>0.4861111111111111</v>
      </c>
      <c r="M996" t="s">
        <v>23</v>
      </c>
      <c r="N996">
        <f>VALUE(IF(AND(ISERR(FIND(".",'Raw Data'!N996)),LEN('Raw Data'!N996)=5), IF(YEAR('Raw Data'!N996)=2026,CONCATENATE(DAY('Raw Data'!N996),".",IF(LEN(MONTH('Raw Data'!N996))=2,MONTH('Raw Data'!N996),CONCATENATE("0",MONTH('Raw Data'!N996)))),CONCATENATE(MONTH('Raw Data'!N996),".",RIGHT(YEAR('Raw Data'!N996),2))),'Raw Data'!N996))</f>
        <v>60.95</v>
      </c>
      <c r="O996" s="6">
        <f t="shared" si="46"/>
        <v>4.761904761904761</v>
      </c>
      <c r="P996" s="6">
        <f t="shared" si="47"/>
        <v>3.0474999999999994</v>
      </c>
      <c r="Q996">
        <f>VALUE(IF(AND(ISERR(FIND(".",'Raw Data'!Q996)),LEN('Raw Data'!Q996)=5), IF(YEAR('Raw Data'!Q996)=2026,CONCATENATE(DAY('Raw Data'!Q996),".",IF(LEN(MONTH('Raw Data'!Q996))=2,MONTH('Raw Data'!Q996),CONCATENATE(MONTH('Raw Data'!Q996)))),CONCATENATE(MONTH('Raw Data'!Q996),".",RIGHT(YEAR('Raw Data'!Q996),2))),'Raw Data'!Q996))</f>
        <v>5.9</v>
      </c>
    </row>
    <row r="997" spans="1:17">
      <c r="A997" t="s">
        <v>1084</v>
      </c>
      <c r="B997" t="s">
        <v>25</v>
      </c>
      <c r="C997" t="s">
        <v>26</v>
      </c>
      <c r="D997" t="s">
        <v>27</v>
      </c>
      <c r="E997" t="s">
        <v>30</v>
      </c>
      <c r="F997" t="s">
        <v>22</v>
      </c>
      <c r="G997">
        <f>VALUE(IF(AND(ISERR(FIND(".",'Raw Data'!G997)),LEN('Raw Data'!G997)=5), IF(YEAR('Raw Data'!G997)=2026,CONCATENATE(DAY('Raw Data'!G997),".",IF(LEN(MONTH('Raw Data'!G997))=2,MONTH('Raw Data'!G997),CONCATENATE("0",MONTH('Raw Data'!G997)))),CONCATENATE(MONTH('Raw Data'!G997),".",RIGHT(YEAR('Raw Data'!G997),2))),'Raw Data'!G997))</f>
        <v>40.35</v>
      </c>
      <c r="H997">
        <f>'Raw Data'!H997</f>
        <v>1</v>
      </c>
      <c r="I997" s="6">
        <f t="shared" si="45"/>
        <v>2.0174999999999983</v>
      </c>
      <c r="J997" s="6">
        <f>'Raw Data'!J997</f>
        <v>42.3675</v>
      </c>
      <c r="K997" s="1">
        <f>VALUE(IFERROR(VALUE('Raw Data'!K997),CONCATENATE(MID('Raw Data'!K997,3,2),".","0",LEFT('Raw Data'!K997,1),".", RIGHT('Raw Data'!K997,4))))</f>
        <v>43494</v>
      </c>
      <c r="L997" s="2">
        <f>'Raw Data'!L997</f>
        <v>0.57361111111111118</v>
      </c>
      <c r="M997" t="s">
        <v>23</v>
      </c>
      <c r="N997">
        <f>VALUE(IF(AND(ISERR(FIND(".",'Raw Data'!N997)),LEN('Raw Data'!N997)=5), IF(YEAR('Raw Data'!N997)=2026,CONCATENATE(DAY('Raw Data'!N997),".",IF(LEN(MONTH('Raw Data'!N997))=2,MONTH('Raw Data'!N997),CONCATENATE("0",MONTH('Raw Data'!N997)))),CONCATENATE(MONTH('Raw Data'!N997),".",RIGHT(YEAR('Raw Data'!N997),2))),'Raw Data'!N997))</f>
        <v>40.35</v>
      </c>
      <c r="O997" s="6">
        <f t="shared" si="46"/>
        <v>4.7619047619047583</v>
      </c>
      <c r="P997" s="6">
        <f t="shared" si="47"/>
        <v>2.0174999999999983</v>
      </c>
      <c r="Q997">
        <f>VALUE(IF(AND(ISERR(FIND(".",'Raw Data'!Q997)),LEN('Raw Data'!Q997)=5), IF(YEAR('Raw Data'!Q997)=2026,CONCATENATE(DAY('Raw Data'!Q997),".",IF(LEN(MONTH('Raw Data'!Q997))=2,MONTH('Raw Data'!Q997),CONCATENATE(MONTH('Raw Data'!Q997)))),CONCATENATE(MONTH('Raw Data'!Q997),".",RIGHT(YEAR('Raw Data'!Q997),2))),'Raw Data'!Q997))</f>
        <v>6.2</v>
      </c>
    </row>
    <row r="998" spans="1:17">
      <c r="A998" t="s">
        <v>1085</v>
      </c>
      <c r="B998" t="s">
        <v>34</v>
      </c>
      <c r="C998" t="s">
        <v>35</v>
      </c>
      <c r="D998" t="s">
        <v>27</v>
      </c>
      <c r="E998" t="s">
        <v>21</v>
      </c>
      <c r="F998" t="s">
        <v>32</v>
      </c>
      <c r="G998">
        <f>VALUE(IF(AND(ISERR(FIND(".",'Raw Data'!G998)),LEN('Raw Data'!G998)=5), IF(YEAR('Raw Data'!G998)=2026,CONCATENATE(DAY('Raw Data'!G998),".",IF(LEN(MONTH('Raw Data'!G998))=2,MONTH('Raw Data'!G998),CONCATENATE("0",MONTH('Raw Data'!G998)))),CONCATENATE(MONTH('Raw Data'!G998),".",RIGHT(YEAR('Raw Data'!G998),2))),'Raw Data'!G998))</f>
        <v>97.38</v>
      </c>
      <c r="H998">
        <f>'Raw Data'!H998</f>
        <v>10</v>
      </c>
      <c r="I998" s="6">
        <f t="shared" si="45"/>
        <v>48.690000000000055</v>
      </c>
      <c r="J998" s="6">
        <f>'Raw Data'!J998</f>
        <v>1022.49</v>
      </c>
      <c r="K998" s="1">
        <f>VALUE(IFERROR(VALUE('Raw Data'!K998),CONCATENATE(MID('Raw Data'!K998,3,2),".","0",LEFT('Raw Data'!K998,1),".", RIGHT('Raw Data'!K998,4))))</f>
        <v>43499</v>
      </c>
      <c r="L998" s="2">
        <f>'Raw Data'!L998</f>
        <v>0.71944444444444444</v>
      </c>
      <c r="M998" t="s">
        <v>23</v>
      </c>
      <c r="N998">
        <f>VALUE(IF(AND(ISERR(FIND(".",'Raw Data'!N998)),LEN('Raw Data'!N998)=5), IF(YEAR('Raw Data'!N998)=2026,CONCATENATE(DAY('Raw Data'!N998),".",IF(LEN(MONTH('Raw Data'!N998))=2,MONTH('Raw Data'!N998),CONCATENATE("0",MONTH('Raw Data'!N998)))),CONCATENATE(MONTH('Raw Data'!N998),".",RIGHT(YEAR('Raw Data'!N998),2))),'Raw Data'!N998))</f>
        <v>973.8</v>
      </c>
      <c r="O998" s="6">
        <f t="shared" si="46"/>
        <v>4.7619047619047672</v>
      </c>
      <c r="P998" s="6">
        <f t="shared" si="47"/>
        <v>48.690000000000055</v>
      </c>
      <c r="Q998">
        <f>VALUE(IF(AND(ISERR(FIND(".",'Raw Data'!Q998)),LEN('Raw Data'!Q998)=5), IF(YEAR('Raw Data'!Q998)=2026,CONCATENATE(DAY('Raw Data'!Q998),".",IF(LEN(MONTH('Raw Data'!Q998))=2,MONTH('Raw Data'!Q998),CONCATENATE(MONTH('Raw Data'!Q998)))),CONCATENATE(MONTH('Raw Data'!Q998),".",RIGHT(YEAR('Raw Data'!Q998),2))),'Raw Data'!Q998))</f>
        <v>4.4000000000000004</v>
      </c>
    </row>
    <row r="999" spans="1:17">
      <c r="A999" t="s">
        <v>1086</v>
      </c>
      <c r="B999" t="s">
        <v>18</v>
      </c>
      <c r="C999" t="s">
        <v>19</v>
      </c>
      <c r="D999" t="s">
        <v>20</v>
      </c>
      <c r="E999" t="s">
        <v>30</v>
      </c>
      <c r="F999" t="s">
        <v>40</v>
      </c>
      <c r="G999">
        <f>VALUE(IF(AND(ISERR(FIND(".",'Raw Data'!G999)),LEN('Raw Data'!G999)=5), IF(YEAR('Raw Data'!G999)=2026,CONCATENATE(DAY('Raw Data'!G999),".",IF(LEN(MONTH('Raw Data'!G999))=2,MONTH('Raw Data'!G999),CONCATENATE("0",MONTH('Raw Data'!G999)))),CONCATENATE(MONTH('Raw Data'!G999),".",RIGHT(YEAR('Raw Data'!G999),2))),'Raw Data'!G999))</f>
        <v>31.84</v>
      </c>
      <c r="H999">
        <f>'Raw Data'!H999</f>
        <v>1</v>
      </c>
      <c r="I999" s="6">
        <f t="shared" si="45"/>
        <v>1.5920000000000023</v>
      </c>
      <c r="J999" s="6">
        <f>'Raw Data'!J999</f>
        <v>33.432000000000002</v>
      </c>
      <c r="K999" s="1">
        <f>VALUE(IFERROR(VALUE('Raw Data'!K999),CONCATENATE(MID('Raw Data'!K999,3,2),".","0",LEFT('Raw Data'!K999,1),".", RIGHT('Raw Data'!K999,4))))</f>
        <v>43710</v>
      </c>
      <c r="L999" s="2">
        <f>'Raw Data'!L999</f>
        <v>0.55694444444444446</v>
      </c>
      <c r="M999" t="s">
        <v>29</v>
      </c>
      <c r="N999">
        <f>VALUE(IF(AND(ISERR(FIND(".",'Raw Data'!N999)),LEN('Raw Data'!N999)=5), IF(YEAR('Raw Data'!N999)=2026,CONCATENATE(DAY('Raw Data'!N999),".",IF(LEN(MONTH('Raw Data'!N999))=2,MONTH('Raw Data'!N999),CONCATENATE("0",MONTH('Raw Data'!N999)))),CONCATENATE(MONTH('Raw Data'!N999),".",RIGHT(YEAR('Raw Data'!N999),2))),'Raw Data'!N999))</f>
        <v>31.84</v>
      </c>
      <c r="O999" s="6">
        <f t="shared" si="46"/>
        <v>4.761904761904769</v>
      </c>
      <c r="P999" s="6">
        <f t="shared" si="47"/>
        <v>1.5920000000000023</v>
      </c>
      <c r="Q999">
        <f>VALUE(IF(AND(ISERR(FIND(".",'Raw Data'!Q999)),LEN('Raw Data'!Q999)=5), IF(YEAR('Raw Data'!Q999)=2026,CONCATENATE(DAY('Raw Data'!Q999),".",IF(LEN(MONTH('Raw Data'!Q999))=2,MONTH('Raw Data'!Q999),CONCATENATE(MONTH('Raw Data'!Q999)))),CONCATENATE(MONTH('Raw Data'!Q999),".",RIGHT(YEAR('Raw Data'!Q999),2))),'Raw Data'!Q999))</f>
        <v>7.7</v>
      </c>
    </row>
    <row r="1000" spans="1:17">
      <c r="A1000" t="s">
        <v>1087</v>
      </c>
      <c r="B1000" t="s">
        <v>18</v>
      </c>
      <c r="C1000" t="s">
        <v>19</v>
      </c>
      <c r="D1000" t="s">
        <v>27</v>
      </c>
      <c r="E1000" t="s">
        <v>30</v>
      </c>
      <c r="F1000" t="s">
        <v>32</v>
      </c>
      <c r="G1000">
        <f>VALUE(IF(AND(ISERR(FIND(".",'Raw Data'!G1000)),LEN('Raw Data'!G1000)=5), IF(YEAR('Raw Data'!G1000)=2026,CONCATENATE(DAY('Raw Data'!G1000),".",IF(LEN(MONTH('Raw Data'!G1000))=2,MONTH('Raw Data'!G1000),CONCATENATE("0",MONTH('Raw Data'!G1000)))),CONCATENATE(MONTH('Raw Data'!G1000),".",RIGHT(YEAR('Raw Data'!G1000),2))),'Raw Data'!G1000))</f>
        <v>65.819999999999993</v>
      </c>
      <c r="H1000">
        <f>'Raw Data'!H1000</f>
        <v>1</v>
      </c>
      <c r="I1000" s="6">
        <f t="shared" si="45"/>
        <v>3.291000000000011</v>
      </c>
      <c r="J1000" s="6">
        <f>'Raw Data'!J1000</f>
        <v>69.111000000000004</v>
      </c>
      <c r="K1000" s="1">
        <f>VALUE(IFERROR(VALUE('Raw Data'!K1000),CONCATENATE(MID('Raw Data'!K1000,3,2),".","0",LEFT('Raw Data'!K1000,1),".", RIGHT('Raw Data'!K1000,4))))</f>
        <v>43518</v>
      </c>
      <c r="L1000" s="2">
        <f>'Raw Data'!L1000</f>
        <v>0.6479166666666667</v>
      </c>
      <c r="M1000" t="s">
        <v>29</v>
      </c>
      <c r="N1000">
        <f>VALUE(IF(AND(ISERR(FIND(".",'Raw Data'!N1000)),LEN('Raw Data'!N1000)=5), IF(YEAR('Raw Data'!N1000)=2026,CONCATENATE(DAY('Raw Data'!N1000),".",IF(LEN(MONTH('Raw Data'!N1000))=2,MONTH('Raw Data'!N1000),CONCATENATE("0",MONTH('Raw Data'!N1000)))),CONCATENATE(MONTH('Raw Data'!N1000),".",RIGHT(YEAR('Raw Data'!N1000),2))),'Raw Data'!N1000))</f>
        <v>65.819999999999993</v>
      </c>
      <c r="O1000" s="6">
        <f t="shared" si="46"/>
        <v>4.7619047619047778</v>
      </c>
      <c r="P1000" s="6">
        <f t="shared" si="47"/>
        <v>3.291000000000011</v>
      </c>
      <c r="Q1000">
        <f>VALUE(IF(AND(ISERR(FIND(".",'Raw Data'!Q1000)),LEN('Raw Data'!Q1000)=5), IF(YEAR('Raw Data'!Q1000)=2026,CONCATENATE(DAY('Raw Data'!Q1000),".",IF(LEN(MONTH('Raw Data'!Q1000))=2,MONTH('Raw Data'!Q1000),CONCATENATE(MONTH('Raw Data'!Q1000)))),CONCATENATE(MONTH('Raw Data'!Q1000),".",RIGHT(YEAR('Raw Data'!Q1000),2))),'Raw Data'!Q1000))</f>
        <v>4.0999999999999996</v>
      </c>
    </row>
    <row r="1001" spans="1:17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43</v>
      </c>
      <c r="G1001">
        <f>VALUE(IF(AND(ISERR(FIND(".",'Raw Data'!G1001)),LEN('Raw Data'!G1001)=5), IF(YEAR('Raw Data'!G1001)=2026,CONCATENATE(DAY('Raw Data'!G1001),".",IF(LEN(MONTH('Raw Data'!G1001))=2,MONTH('Raw Data'!G1001),CONCATENATE("0",MONTH('Raw Data'!G1001)))),CONCATENATE(MONTH('Raw Data'!G1001),".",RIGHT(YEAR('Raw Data'!G1001),2))),'Raw Data'!G1001))</f>
        <v>88.34</v>
      </c>
      <c r="H1001">
        <f>'Raw Data'!H1001</f>
        <v>7</v>
      </c>
      <c r="I1001" s="6">
        <f t="shared" si="45"/>
        <v>30.918999999999983</v>
      </c>
      <c r="J1001" s="6">
        <f>'Raw Data'!J1001</f>
        <v>649.29899999999998</v>
      </c>
      <c r="K1001" s="1">
        <f>VALUE(IFERROR(VALUE('Raw Data'!K1001),CONCATENATE(MID('Raw Data'!K1001,3,2),".","0",LEFT('Raw Data'!K1001,1),".", RIGHT('Raw Data'!K1001,4))))</f>
        <v>43514</v>
      </c>
      <c r="L1001" s="2">
        <f>'Raw Data'!L1001</f>
        <v>0.56111111111111112</v>
      </c>
      <c r="M1001" t="s">
        <v>29</v>
      </c>
      <c r="N1001">
        <f>VALUE(IF(AND(ISERR(FIND(".",'Raw Data'!N1001)),LEN('Raw Data'!N1001)=5), IF(YEAR('Raw Data'!N1001)=2026,CONCATENATE(DAY('Raw Data'!N1001),".",IF(LEN(MONTH('Raw Data'!N1001))=2,MONTH('Raw Data'!N1001),CONCATENATE("0",MONTH('Raw Data'!N1001)))),CONCATENATE(MONTH('Raw Data'!N1001),".",RIGHT(YEAR('Raw Data'!N1001),2))),'Raw Data'!N1001))</f>
        <v>618.38</v>
      </c>
      <c r="O1001" s="6">
        <f t="shared" si="46"/>
        <v>4.7619047619047592</v>
      </c>
      <c r="P1001" s="6">
        <f t="shared" si="47"/>
        <v>30.918999999999983</v>
      </c>
      <c r="Q1001">
        <f>VALUE(IF(AND(ISERR(FIND(".",'Raw Data'!Q1001)),LEN('Raw Data'!Q1001)=5), IF(YEAR('Raw Data'!Q1001)=2026,CONCATENATE(DAY('Raw Data'!Q1001),".",IF(LEN(MONTH('Raw Data'!Q1001))=2,MONTH('Raw Data'!Q1001),CONCATENATE(MONTH('Raw Data'!Q1001)))),CONCATENATE(MONTH('Raw Data'!Q1001),".",RIGHT(YEAR('Raw Data'!Q1001),2))),'Raw Data'!Q1001))</f>
        <v>6.6</v>
      </c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notEqual" id="{79C02490-8B4D-44B5-8E43-52428473D046}">
            <xm:f>'Raw Data'!$J2</xm:f>
            <x14:dxf>
              <fill>
                <patternFill>
                  <bgColor rgb="FF00B0F0"/>
                </patternFill>
              </fill>
            </x14:dxf>
          </x14:cfRule>
          <xm:sqref>J2:J1001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41"/>
  <sheetViews>
    <sheetView topLeftCell="B16" workbookViewId="0">
      <selection activeCell="I35" sqref="I35"/>
    </sheetView>
  </sheetViews>
  <sheetFormatPr defaultRowHeight="14.5"/>
  <cols>
    <col min="1" max="1" width="16.7265625" style="14" customWidth="1"/>
    <col min="2" max="2" width="14.81640625" style="14" bestFit="1" customWidth="1"/>
    <col min="3" max="3" width="20.36328125" style="14" bestFit="1" customWidth="1"/>
    <col min="4" max="4" width="15.26953125" style="14" bestFit="1" customWidth="1"/>
    <col min="5" max="5" width="6.54296875" style="14" customWidth="1"/>
    <col min="6" max="6" width="11.1796875" style="14" customWidth="1"/>
    <col min="7" max="7" width="9.08984375" style="14" customWidth="1"/>
    <col min="8" max="8" width="8.7265625" style="14" customWidth="1"/>
    <col min="9" max="9" width="15.6328125" style="14" customWidth="1"/>
    <col min="10" max="10" width="12.81640625" style="14" customWidth="1"/>
    <col min="11" max="11" width="9.08984375" style="14" bestFit="1" customWidth="1"/>
    <col min="12" max="16384" width="8.7265625" style="14"/>
  </cols>
  <sheetData>
    <row r="1" spans="1:12" ht="18.5">
      <c r="A1" s="27" t="s">
        <v>1130</v>
      </c>
      <c r="B1" s="27"/>
      <c r="C1" s="27"/>
      <c r="D1" s="27"/>
      <c r="E1" s="27"/>
      <c r="F1" s="27" t="s">
        <v>1129</v>
      </c>
      <c r="G1" s="27"/>
      <c r="H1" s="27"/>
      <c r="I1" s="33" t="s">
        <v>1131</v>
      </c>
      <c r="J1" s="33"/>
    </row>
    <row r="2" spans="1:12" ht="10" customHeight="1"/>
    <row r="3" spans="1:12">
      <c r="A3" s="28" t="s">
        <v>1118</v>
      </c>
      <c r="B3" s="28" t="s">
        <v>4</v>
      </c>
      <c r="C3" s="29"/>
      <c r="D3" s="29"/>
      <c r="F3" s="28" t="s">
        <v>1127</v>
      </c>
      <c r="G3" s="29"/>
      <c r="I3" s="28" t="s">
        <v>1126</v>
      </c>
      <c r="J3" s="29"/>
    </row>
    <row r="4" spans="1:12">
      <c r="A4" s="28" t="s">
        <v>5</v>
      </c>
      <c r="B4" s="29" t="s">
        <v>21</v>
      </c>
      <c r="C4" s="29" t="s">
        <v>30</v>
      </c>
      <c r="D4" s="29" t="s">
        <v>1089</v>
      </c>
      <c r="F4" s="28" t="s">
        <v>4</v>
      </c>
      <c r="G4" s="29" t="s">
        <v>1090</v>
      </c>
      <c r="I4" s="28" t="s">
        <v>3</v>
      </c>
      <c r="J4" s="29" t="s">
        <v>1090</v>
      </c>
    </row>
    <row r="5" spans="1:12">
      <c r="A5" s="29" t="s">
        <v>28</v>
      </c>
      <c r="B5" s="30">
        <v>27102.022499999999</v>
      </c>
      <c r="C5" s="30">
        <v>27235.508999999998</v>
      </c>
      <c r="D5" s="30">
        <v>54337.531499999997</v>
      </c>
      <c r="F5" s="29" t="s">
        <v>21</v>
      </c>
      <c r="G5" s="30">
        <v>184642.23050000001</v>
      </c>
      <c r="I5" s="29" t="s">
        <v>20</v>
      </c>
      <c r="J5" s="30">
        <v>501</v>
      </c>
    </row>
    <row r="6" spans="1:12">
      <c r="A6" s="29" t="s">
        <v>43</v>
      </c>
      <c r="B6" s="30">
        <v>47196.705500000011</v>
      </c>
      <c r="C6" s="30">
        <v>23868.494999999999</v>
      </c>
      <c r="D6" s="30">
        <v>71065.200500000006</v>
      </c>
      <c r="F6" s="29" t="s">
        <v>30</v>
      </c>
      <c r="G6" s="30">
        <v>186394.14550000013</v>
      </c>
      <c r="I6" s="29" t="s">
        <v>27</v>
      </c>
      <c r="J6" s="30">
        <v>499</v>
      </c>
    </row>
    <row r="7" spans="1:12">
      <c r="A7" s="29" t="s">
        <v>40</v>
      </c>
      <c r="B7" s="30">
        <v>33170.917499999996</v>
      </c>
      <c r="C7" s="30">
        <v>22973.92649999999</v>
      </c>
      <c r="D7" s="30">
        <v>56144.843999999983</v>
      </c>
      <c r="F7" s="29" t="s">
        <v>1089</v>
      </c>
      <c r="G7" s="30">
        <v>371036.37600000016</v>
      </c>
      <c r="I7" s="29" t="s">
        <v>1089</v>
      </c>
      <c r="J7" s="30">
        <v>1000</v>
      </c>
    </row>
    <row r="8" spans="1:12">
      <c r="A8" s="29" t="s">
        <v>22</v>
      </c>
      <c r="B8" s="30">
        <v>18560.986499999995</v>
      </c>
      <c r="C8" s="30">
        <v>30632.752499999995</v>
      </c>
      <c r="D8" s="30">
        <v>49193.738999999987</v>
      </c>
    </row>
    <row r="9" spans="1:12">
      <c r="A9" s="29" t="s">
        <v>32</v>
      </c>
      <c r="B9" s="30">
        <v>30036.877500000006</v>
      </c>
      <c r="C9" s="30">
        <v>23825.035499999998</v>
      </c>
      <c r="D9" s="30">
        <v>53861.913</v>
      </c>
    </row>
    <row r="10" spans="1:12">
      <c r="A10" s="29" t="s">
        <v>38</v>
      </c>
      <c r="B10" s="30">
        <v>28574.72099999999</v>
      </c>
      <c r="C10" s="30">
        <v>57858.426999999996</v>
      </c>
      <c r="D10" s="30">
        <v>86433.147999999986</v>
      </c>
      <c r="I10" s="13"/>
    </row>
    <row r="11" spans="1:12">
      <c r="A11" s="29" t="s">
        <v>1089</v>
      </c>
      <c r="B11" s="30">
        <v>184642.23050000001</v>
      </c>
      <c r="C11" s="30">
        <v>186394.14549999998</v>
      </c>
      <c r="D11" s="30">
        <v>371036.37599999999</v>
      </c>
      <c r="I11" s="13"/>
    </row>
    <row r="12" spans="1:12">
      <c r="I12" s="13"/>
    </row>
    <row r="13" spans="1:12" ht="18.5">
      <c r="A13" s="27" t="s">
        <v>1132</v>
      </c>
      <c r="F13" s="27" t="s">
        <v>1139</v>
      </c>
    </row>
    <row r="15" spans="1:12">
      <c r="A15" s="29"/>
      <c r="B15" s="28" t="s">
        <v>1091</v>
      </c>
      <c r="C15" s="29"/>
      <c r="D15" s="29"/>
      <c r="F15" s="29"/>
      <c r="G15" s="28" t="s">
        <v>1091</v>
      </c>
      <c r="H15" s="29"/>
      <c r="J15" s="29"/>
      <c r="K15" s="28" t="s">
        <v>1091</v>
      </c>
      <c r="L15" s="29"/>
    </row>
    <row r="16" spans="1:12" ht="43.5">
      <c r="A16" s="28" t="s">
        <v>5</v>
      </c>
      <c r="B16" s="31" t="s">
        <v>1118</v>
      </c>
      <c r="C16" s="31" t="s">
        <v>1120</v>
      </c>
      <c r="D16" s="31" t="s">
        <v>1119</v>
      </c>
      <c r="F16" s="28" t="s">
        <v>2</v>
      </c>
      <c r="G16" s="31" t="s">
        <v>1128</v>
      </c>
      <c r="H16" s="31" t="s">
        <v>1119</v>
      </c>
      <c r="J16" s="28" t="s">
        <v>1</v>
      </c>
      <c r="K16" s="31" t="s">
        <v>1128</v>
      </c>
      <c r="L16" s="31" t="s">
        <v>1119</v>
      </c>
    </row>
    <row r="17" spans="1:12">
      <c r="A17" s="29" t="s">
        <v>28</v>
      </c>
      <c r="B17" s="30">
        <v>54337.531500000005</v>
      </c>
      <c r="C17" s="30">
        <v>51750.029999999984</v>
      </c>
      <c r="D17" s="30">
        <v>2587.5014999999999</v>
      </c>
      <c r="F17" s="29" t="s">
        <v>35</v>
      </c>
      <c r="G17" s="30">
        <v>1820</v>
      </c>
      <c r="H17" s="30">
        <v>5057.0320000000011</v>
      </c>
      <c r="J17" s="29" t="s">
        <v>18</v>
      </c>
      <c r="K17" s="30">
        <v>1859</v>
      </c>
      <c r="L17" s="30">
        <v>21817.545999999995</v>
      </c>
    </row>
    <row r="18" spans="1:12">
      <c r="A18" s="29" t="s">
        <v>43</v>
      </c>
      <c r="B18" s="30">
        <v>71065.200499999977</v>
      </c>
      <c r="C18" s="30">
        <v>51718.819999999978</v>
      </c>
      <c r="D18" s="30">
        <v>19346.380499999999</v>
      </c>
      <c r="F18" s="29" t="s">
        <v>26</v>
      </c>
      <c r="G18" s="30">
        <v>1831</v>
      </c>
      <c r="H18" s="30">
        <v>36575.497999999985</v>
      </c>
      <c r="J18" s="29" t="s">
        <v>34</v>
      </c>
      <c r="K18" s="30">
        <v>1820</v>
      </c>
      <c r="L18" s="30">
        <v>5057.0320000000011</v>
      </c>
    </row>
    <row r="19" spans="1:12">
      <c r="A19" s="29" t="s">
        <v>40</v>
      </c>
      <c r="B19" s="30">
        <v>56144.844000000005</v>
      </c>
      <c r="C19" s="30">
        <v>53471.280000000057</v>
      </c>
      <c r="D19" s="30">
        <v>2673.5640000000012</v>
      </c>
      <c r="F19" s="29" t="s">
        <v>19</v>
      </c>
      <c r="G19" s="30">
        <v>1859</v>
      </c>
      <c r="H19" s="30">
        <v>21817.545999999995</v>
      </c>
      <c r="J19" s="29" t="s">
        <v>25</v>
      </c>
      <c r="K19" s="30">
        <v>1831</v>
      </c>
      <c r="L19" s="30">
        <v>36575.497999999985</v>
      </c>
    </row>
    <row r="20" spans="1:12">
      <c r="A20" s="29" t="s">
        <v>22</v>
      </c>
      <c r="B20" s="30">
        <v>49193.739000000016</v>
      </c>
      <c r="C20" s="30">
        <v>46851.179999999978</v>
      </c>
      <c r="D20" s="30">
        <v>2342.5590000000002</v>
      </c>
      <c r="F20" s="29" t="s">
        <v>1089</v>
      </c>
      <c r="G20" s="30">
        <v>5510</v>
      </c>
      <c r="H20" s="30">
        <v>63450.075999999979</v>
      </c>
      <c r="J20" s="29" t="s">
        <v>1089</v>
      </c>
      <c r="K20" s="30">
        <v>5510</v>
      </c>
      <c r="L20" s="30">
        <v>63450.075999999979</v>
      </c>
    </row>
    <row r="21" spans="1:12">
      <c r="A21" s="29" t="s">
        <v>32</v>
      </c>
      <c r="B21" s="30">
        <v>53861.913000000008</v>
      </c>
      <c r="C21" s="30">
        <v>51297.059999999983</v>
      </c>
      <c r="D21" s="30">
        <v>2564.8530000000019</v>
      </c>
    </row>
    <row r="22" spans="1:12">
      <c r="A22" s="29" t="s">
        <v>38</v>
      </c>
      <c r="B22" s="30">
        <v>86433.147999999986</v>
      </c>
      <c r="C22" s="30">
        <v>52497.930000000022</v>
      </c>
      <c r="D22" s="30">
        <v>33935.218000000015</v>
      </c>
      <c r="E22" s="13"/>
    </row>
    <row r="23" spans="1:12">
      <c r="A23" s="29" t="s">
        <v>1089</v>
      </c>
      <c r="B23" s="30">
        <v>371036.37599999999</v>
      </c>
      <c r="C23" s="30">
        <v>307586.30000000005</v>
      </c>
      <c r="D23" s="30">
        <v>63450.076000000015</v>
      </c>
      <c r="E23" s="13"/>
    </row>
    <row r="24" spans="1:12">
      <c r="A24" s="13"/>
      <c r="B24" s="13"/>
      <c r="C24" s="13"/>
      <c r="D24" s="13"/>
      <c r="E24" s="13"/>
    </row>
    <row r="25" spans="1:12" ht="18.5">
      <c r="A25" s="27" t="s">
        <v>1140</v>
      </c>
      <c r="B25" s="13"/>
      <c r="C25" s="13"/>
      <c r="D25" s="13"/>
      <c r="E25" s="13"/>
      <c r="F25" s="27" t="s">
        <v>1141</v>
      </c>
      <c r="J25" s="27" t="s">
        <v>1142</v>
      </c>
    </row>
    <row r="27" spans="1:12">
      <c r="A27" s="28" t="s">
        <v>1092</v>
      </c>
      <c r="B27" s="29"/>
      <c r="F27" s="28" t="s">
        <v>1118</v>
      </c>
      <c r="G27" s="29"/>
      <c r="H27" s="29"/>
      <c r="J27" s="28" t="s">
        <v>1118</v>
      </c>
      <c r="K27" s="29"/>
    </row>
    <row r="28" spans="1:12">
      <c r="A28" s="28" t="s">
        <v>12</v>
      </c>
      <c r="B28" s="29" t="s">
        <v>1090</v>
      </c>
      <c r="F28" s="28" t="s">
        <v>1093</v>
      </c>
      <c r="G28" s="28" t="s">
        <v>11</v>
      </c>
      <c r="H28" s="29" t="s">
        <v>1090</v>
      </c>
      <c r="J28" s="28" t="s">
        <v>1105</v>
      </c>
      <c r="K28" s="29" t="s">
        <v>1090</v>
      </c>
    </row>
    <row r="29" spans="1:12">
      <c r="A29" s="29" t="s">
        <v>29</v>
      </c>
      <c r="B29" s="32">
        <v>344</v>
      </c>
      <c r="F29" s="29" t="s">
        <v>1094</v>
      </c>
      <c r="G29" s="29"/>
      <c r="H29" s="30">
        <v>31421.481000000011</v>
      </c>
      <c r="J29" s="29" t="s">
        <v>1106</v>
      </c>
      <c r="K29" s="30">
        <v>103321.87250000003</v>
      </c>
    </row>
    <row r="30" spans="1:12">
      <c r="A30" s="29" t="s">
        <v>33</v>
      </c>
      <c r="B30" s="32">
        <v>311</v>
      </c>
      <c r="F30" s="29" t="s">
        <v>1095</v>
      </c>
      <c r="G30" s="29"/>
      <c r="H30" s="30">
        <v>30377.329499999996</v>
      </c>
      <c r="J30" s="29" t="s">
        <v>1107</v>
      </c>
      <c r="K30" s="30">
        <v>63169.742999999995</v>
      </c>
    </row>
    <row r="31" spans="1:12">
      <c r="A31" s="29" t="s">
        <v>23</v>
      </c>
      <c r="B31" s="32">
        <v>345</v>
      </c>
      <c r="F31" s="29" t="s">
        <v>1096</v>
      </c>
      <c r="G31" s="29"/>
      <c r="H31" s="30">
        <v>26065.882499999996</v>
      </c>
      <c r="J31" s="29" t="s">
        <v>1108</v>
      </c>
      <c r="K31" s="30">
        <v>72749.249999999956</v>
      </c>
    </row>
    <row r="32" spans="1:12">
      <c r="A32" s="29" t="s">
        <v>1089</v>
      </c>
      <c r="B32" s="32">
        <v>1000</v>
      </c>
      <c r="F32" s="29" t="s">
        <v>1097</v>
      </c>
      <c r="G32" s="29"/>
      <c r="H32" s="30">
        <v>34723.227000000014</v>
      </c>
      <c r="J32" s="29" t="s">
        <v>1109</v>
      </c>
      <c r="K32" s="30">
        <v>7957.6245000000017</v>
      </c>
    </row>
    <row r="33" spans="6:11">
      <c r="F33" s="29" t="s">
        <v>1098</v>
      </c>
      <c r="G33" s="29"/>
      <c r="H33" s="30">
        <v>62138.72050000001</v>
      </c>
      <c r="J33" s="29" t="s">
        <v>1110</v>
      </c>
      <c r="K33" s="30">
        <v>12798.691500000003</v>
      </c>
    </row>
    <row r="34" spans="6:11">
      <c r="F34" s="29" t="s">
        <v>1099</v>
      </c>
      <c r="G34" s="29"/>
      <c r="H34" s="30">
        <v>31179.508499999996</v>
      </c>
      <c r="J34" s="29" t="s">
        <v>1111</v>
      </c>
      <c r="K34" s="30">
        <v>9612.2250000000004</v>
      </c>
    </row>
    <row r="35" spans="6:11">
      <c r="F35" s="29" t="s">
        <v>1100</v>
      </c>
      <c r="G35" s="29"/>
      <c r="H35" s="30">
        <v>25226.323499999995</v>
      </c>
      <c r="J35" s="29" t="s">
        <v>1112</v>
      </c>
      <c r="K35" s="30">
        <v>42811.034500000002</v>
      </c>
    </row>
    <row r="36" spans="6:11">
      <c r="F36" s="29" t="s">
        <v>1101</v>
      </c>
      <c r="G36" s="29"/>
      <c r="H36" s="30">
        <v>24445.218000000001</v>
      </c>
      <c r="J36" s="29" t="s">
        <v>1113</v>
      </c>
      <c r="K36" s="30">
        <v>13503.777000000002</v>
      </c>
    </row>
    <row r="37" spans="6:11">
      <c r="F37" s="29" t="s">
        <v>1102</v>
      </c>
      <c r="G37" s="29"/>
      <c r="H37" s="30">
        <v>42789.645499999999</v>
      </c>
      <c r="J37" s="29" t="s">
        <v>1114</v>
      </c>
      <c r="K37" s="30">
        <v>13767.285000000002</v>
      </c>
    </row>
    <row r="38" spans="6:11">
      <c r="F38" s="29" t="s">
        <v>1103</v>
      </c>
      <c r="G38" s="29"/>
      <c r="H38" s="30">
        <v>39699.513000000021</v>
      </c>
      <c r="J38" s="29" t="s">
        <v>1115</v>
      </c>
      <c r="K38" s="30">
        <v>9865.2014999999992</v>
      </c>
    </row>
    <row r="39" spans="6:11">
      <c r="F39" s="29" t="s">
        <v>1104</v>
      </c>
      <c r="G39" s="29"/>
      <c r="H39" s="30">
        <v>22969.527000000002</v>
      </c>
      <c r="J39" s="29" t="s">
        <v>1116</v>
      </c>
      <c r="K39" s="30">
        <v>9618.3675000000003</v>
      </c>
    </row>
    <row r="40" spans="6:11">
      <c r="F40" s="29" t="s">
        <v>1089</v>
      </c>
      <c r="G40" s="29"/>
      <c r="H40" s="30">
        <v>371036.37600000005</v>
      </c>
      <c r="J40" s="29" t="s">
        <v>1117</v>
      </c>
      <c r="K40" s="30">
        <v>11861.303999999998</v>
      </c>
    </row>
    <row r="41" spans="6:11">
      <c r="J41" s="29" t="s">
        <v>1089</v>
      </c>
      <c r="K41" s="30">
        <v>371036.37599999999</v>
      </c>
    </row>
  </sheetData>
  <mergeCells count="1">
    <mergeCell ref="I1:J1"/>
  </mergeCells>
  <conditionalFormatting pivot="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{A0B8C501-A28C-44EA-B711-222E00344986}</x14:id>
        </ext>
      </extLst>
    </cfRule>
  </conditionalFormatting>
  <conditionalFormatting pivot="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{8826A2CC-53D3-4F39-A5D2-7D1BC9E789B6}</x14:id>
        </ext>
      </extLst>
    </cfRule>
  </conditionalFormatting>
  <pageMargins left="0.7" right="0.7" top="0.75" bottom="0.75" header="0.3" footer="0.3"/>
  <pageSetup paperSize="9" orientation="portrait" r:id="rId10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0B8C501-A28C-44EA-B711-222E003449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8826A2CC-53D3-4F39-A5D2-7D1BC9E789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P168"/>
  <sheetViews>
    <sheetView zoomScale="85" zoomScaleNormal="85" workbookViewId="0">
      <pane ySplit="1" topLeftCell="A152" activePane="bottomLeft" state="frozen"/>
      <selection pane="bottomLeft" activeCell="K7" sqref="K7"/>
    </sheetView>
  </sheetViews>
  <sheetFormatPr defaultRowHeight="14.5"/>
  <cols>
    <col min="11" max="13" width="8.453125" customWidth="1"/>
  </cols>
  <sheetData>
    <row r="1" spans="1:16" ht="18.5" customHeight="1">
      <c r="A1" s="36" t="s">
        <v>1121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14.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</row>
    <row r="3" spans="1:16" ht="15.5">
      <c r="A3" s="15" t="s">
        <v>1122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N3" s="17"/>
      <c r="O3" s="17"/>
      <c r="P3" s="17"/>
    </row>
    <row r="4" spans="1:16">
      <c r="A4" s="16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7"/>
      <c r="N4" s="17"/>
      <c r="O4" s="17"/>
      <c r="P4" s="17"/>
    </row>
    <row r="5" spans="1:16" ht="15.5">
      <c r="A5" s="19" t="s">
        <v>1123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7"/>
      <c r="N5" s="17"/>
      <c r="O5" s="17"/>
      <c r="P5" s="17"/>
    </row>
    <row r="6" spans="1:1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7"/>
      <c r="N6" s="17"/>
      <c r="O6" s="17"/>
      <c r="P6" s="17"/>
    </row>
    <row r="7" spans="1:16" ht="15.5">
      <c r="A7" s="11" t="s">
        <v>1124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7"/>
      <c r="N7" s="17"/>
      <c r="O7" s="17"/>
      <c r="P7" s="17"/>
    </row>
    <row r="8" spans="1:16" ht="15.5" customHeight="1">
      <c r="A8" s="34" t="s">
        <v>1158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</row>
    <row r="9" spans="1:16" ht="15.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</row>
    <row r="10" spans="1:16" ht="15.5">
      <c r="A10" s="20" t="s">
        <v>1159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9" spans="1:16" ht="15.5" customHeight="1"/>
    <row r="30" spans="1:16" ht="15.5" customHeight="1"/>
    <row r="31" spans="1:16" ht="15.5" customHeight="1"/>
    <row r="33" spans="1:1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43" spans="1:16" ht="15.5">
      <c r="A43" s="11" t="s">
        <v>1125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spans="1:16">
      <c r="A44" s="34" t="s">
        <v>1156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</row>
    <row r="45" spans="1:16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</row>
    <row r="46" spans="1:16">
      <c r="A46" s="37" t="s">
        <v>1157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</row>
    <row r="47" spans="1:16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1" spans="1:16" ht="15.5" customHeight="1"/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spans="1:1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</row>
    <row r="58" spans="1:1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5" spans="1:16" ht="15.5">
      <c r="A65" s="11" t="s">
        <v>1134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</row>
    <row r="66" spans="1:16">
      <c r="A66" s="34" t="s">
        <v>1133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</row>
    <row r="67" spans="1:16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</row>
    <row r="68" spans="1:16" ht="15.5">
      <c r="A68" s="21" t="s">
        <v>1155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</row>
    <row r="69" spans="1:1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spans="1:1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2" spans="1:16" ht="15.5" customHeight="1"/>
    <row r="75" spans="1:1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</row>
    <row r="76" spans="1:1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spans="1:1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spans="1:1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spans="1:1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</row>
    <row r="80" spans="1:1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5" spans="1:16" ht="15.5">
      <c r="A85" s="11" t="s">
        <v>1136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</row>
    <row r="86" spans="1:16">
      <c r="A86" s="34" t="s">
        <v>1135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</row>
    <row r="87" spans="1:16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</row>
    <row r="88" spans="1:16" ht="15.5">
      <c r="A88" s="20" t="s">
        <v>1154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</row>
    <row r="93" spans="1:16" ht="15.5" customHeight="1"/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</row>
    <row r="100" spans="1:1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</row>
    <row r="101" spans="1:1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</row>
    <row r="102" spans="1:1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</row>
    <row r="103" spans="1:1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</row>
    <row r="114" spans="1:16" ht="15.5" customHeight="1"/>
    <row r="115" spans="1:16" ht="14.5" customHeight="1"/>
    <row r="117" spans="1:16" ht="15.5" customHeight="1"/>
    <row r="121" spans="1:16" ht="15.5">
      <c r="A121" s="11" t="s">
        <v>1138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</row>
    <row r="122" spans="1:16">
      <c r="A122" s="34" t="s">
        <v>1137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</row>
    <row r="123" spans="1:16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</row>
    <row r="124" spans="1:16" ht="15.5">
      <c r="A124" s="21" t="s">
        <v>1153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</row>
    <row r="157" spans="1:16" ht="15.5">
      <c r="A157" s="19" t="s">
        <v>1143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</row>
    <row r="158" spans="1:16" ht="15.5">
      <c r="A158" s="22" t="s">
        <v>1146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</row>
    <row r="159" spans="1:16" ht="14.5" customHeight="1">
      <c r="A159" s="24" t="s">
        <v>1147</v>
      </c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</row>
    <row r="160" spans="1:16" ht="14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</row>
    <row r="161" spans="1:16" ht="15.5">
      <c r="A161" s="25" t="s">
        <v>1145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</row>
    <row r="162" spans="1:16">
      <c r="A162" s="35" t="s">
        <v>1144</v>
      </c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16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</row>
    <row r="164" spans="1:16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</row>
    <row r="165" spans="1:16" ht="15.5">
      <c r="A165" s="26" t="s">
        <v>1148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</row>
    <row r="166" spans="1:16" ht="15.5">
      <c r="A166" s="10" t="s">
        <v>1151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</row>
    <row r="167" spans="1:16" ht="15.5">
      <c r="A167" s="10" t="s">
        <v>1149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</row>
    <row r="168" spans="1:16" ht="15.5">
      <c r="A168" s="10" t="s">
        <v>1150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</row>
  </sheetData>
  <mergeCells count="8">
    <mergeCell ref="A122:P123"/>
    <mergeCell ref="A162:P163"/>
    <mergeCell ref="A1:P1"/>
    <mergeCell ref="A8:P9"/>
    <mergeCell ref="A44:P45"/>
    <mergeCell ref="A46:P47"/>
    <mergeCell ref="A66:P67"/>
    <mergeCell ref="A86:P87"/>
  </mergeCells>
  <pageMargins left="0.7" right="0.7" top="0.75" bottom="0.75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README</vt:lpstr>
      <vt:lpstr>Raw Data</vt:lpstr>
      <vt:lpstr>Cleaned Data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avitoseller4</dc:creator>
  <cp:lastModifiedBy>avitoseller4</cp:lastModifiedBy>
  <cp:lastPrinted>2026-05-22T12:34:55Z</cp:lastPrinted>
  <dcterms:created xsi:type="dcterms:W3CDTF">2026-05-22T10:55:36Z</dcterms:created>
  <dcterms:modified xsi:type="dcterms:W3CDTF">2026-05-22T12:59:27Z</dcterms:modified>
</cp:coreProperties>
</file>